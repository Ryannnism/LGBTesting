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MOA workflow steps" sheetId="2" state="visible" r:id="rId2"/>
    <sheet name="MOA role matrix" sheetId="3" state="hidden" r:id="rId3"/>
    <sheet name="Divisions" sheetId="4" state="visible" r:id="rId4"/>
    <sheet name="Who we invoice" sheetId="5" state="visible" r:id="rId5"/>
    <sheet name="Companies" sheetId="6" state="visible" r:id="rId6"/>
    <sheet name="Client contacts" sheetId="7" state="visible" r:id="rId7"/>
    <sheet name="Company MOA setup" sheetId="8" state="visible" r:id="rId8"/>
    <sheet name="Contracts" sheetId="9" state="visible" r:id="rId9"/>
    <sheet name="Package 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3" fillId="6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LGB — customer data collection (for Sharon)</t>
        </is>
      </c>
    </row>
    <row r="2">
      <c r="A2" t="inlineStr"/>
    </row>
    <row r="3">
      <c r="A3" t="inlineStr">
        <is>
          <t>Open in Excel or Numbers — not in a code editor. Formulas need Excel 365 or Excel 2021+.</t>
        </is>
      </c>
    </row>
    <row r="4">
      <c r="A4" t="inlineStr"/>
    </row>
    <row r="5">
      <c r="A5" t="inlineStr">
        <is>
          <t>Fill in this order:</t>
        </is>
      </c>
    </row>
    <row r="6">
      <c r="A6" t="inlineStr">
        <is>
          <t xml:space="preserve">  1. Who we invoice</t>
        </is>
      </c>
    </row>
    <row r="7">
      <c r="A7" t="inlineStr">
        <is>
          <t xml:space="preserve">  2. Divisions — MOI managers + emails</t>
        </is>
      </c>
    </row>
    <row r="8">
      <c r="A8" t="inlineStr">
        <is>
          <t xml:space="preserve">  3. Companies — basics (division, LOA, billing)</t>
        </is>
      </c>
    </row>
    <row r="9">
      <c r="A9" t="inlineStr">
        <is>
          <t xml:space="preserve">  4. Client contacts — who fills MOI, signs MOA, starts requests</t>
        </is>
      </c>
    </row>
    <row r="10">
      <c r="A10" t="inlineStr">
        <is>
          <t xml:space="preserve">  5. Company MOA setup — pick workflow per company; fill name/email blanks</t>
        </is>
      </c>
    </row>
    <row r="11">
      <c r="A11" t="inlineStr">
        <is>
          <t xml:space="preserve">  6. Contracts — packages + extra LGB staff only</t>
        </is>
      </c>
    </row>
    <row r="12">
      <c r="A12" t="inlineStr"/>
    </row>
    <row r="13">
      <c r="A13" t="inlineStr">
        <is>
          <t>MOA workflows (read MOA workflow steps + MOA role matrix tabs):</t>
        </is>
      </c>
    </row>
    <row r="14">
      <c r="A14" t="inlineStr">
        <is>
          <t xml:space="preserve">  • Each company can use a different MOA workflow.</t>
        </is>
      </c>
    </row>
    <row r="15">
      <c r="A15" t="inlineStr">
        <is>
          <t xml:space="preserve">  • Row 2 on Company MOA setup shows what each column needs (Fill / Auto / —).</t>
        </is>
      </c>
    </row>
    <row r="16">
      <c r="A16" t="inlineStr">
        <is>
          <t xml:space="preserve">  • Blue cells auto-pull from Client contacts or Companies.</t>
        </is>
      </c>
    </row>
    <row r="17">
      <c r="A17" t="inlineStr">
        <is>
          <t xml:space="preserve">  • Yellow cells = Sharon fills in names/emails for that company's approvers.</t>
        </is>
      </c>
    </row>
    <row r="18">
      <c r="A18" t="inlineStr">
        <is>
          <t xml:space="preserve">  • CEO, CFO, board, LOA holders differ per company — only fill columns that apply.</t>
        </is>
      </c>
    </row>
    <row r="19">
      <c r="A19" t="inlineStr"/>
    </row>
    <row r="20">
      <c r="A20" t="inlineStr">
        <is>
          <t>Delete example rows before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36" customWidth="1" min="3" max="3"/>
    <col width="36" customWidth="1" min="4" max="4"/>
  </cols>
  <sheetData>
    <row r="1">
      <c r="A1" s="2" t="inlineStr">
        <is>
          <t>MOA workflow</t>
        </is>
      </c>
      <c r="B1" s="2" t="inlineStr">
        <is>
          <t>Step</t>
        </is>
      </c>
      <c r="C1" s="2" t="inlineStr">
        <is>
          <t>Approver role</t>
        </is>
      </c>
      <c r="D1" s="2" t="inlineStr">
        <is>
          <t>Who Sharon fills</t>
        </is>
      </c>
    </row>
    <row r="2">
      <c r="A2" s="3" t="inlineStr">
        <is>
          <t>MOA — No LOA</t>
        </is>
      </c>
      <c r="B2" s="3" t="n">
        <v>1</v>
      </c>
      <c r="C2" s="3" t="inlineStr">
        <is>
          <t>Senior Manager, Company Secretarial</t>
        </is>
      </c>
      <c r="D2" s="3" t="inlineStr">
        <is>
          <t>LGB internal (fixed)</t>
        </is>
      </c>
    </row>
    <row r="3">
      <c r="A3" s="3" t="inlineStr">
        <is>
          <t>MOA — No LOA</t>
        </is>
      </c>
      <c r="B3" s="3" t="n">
        <v>2</v>
      </c>
      <c r="C3" s="3" t="inlineStr">
        <is>
          <t>Project initiator</t>
        </is>
      </c>
      <c r="D3" s="3" t="inlineStr">
        <is>
          <t>Per company — client contact</t>
        </is>
      </c>
    </row>
    <row r="4">
      <c r="A4" s="3" t="inlineStr">
        <is>
          <t>MOA — No LOA</t>
        </is>
      </c>
      <c r="B4" s="3" t="n">
        <v>3</v>
      </c>
      <c r="C4" s="3" t="inlineStr">
        <is>
          <t>Head of Finance / CFO</t>
        </is>
      </c>
      <c r="D4" s="3" t="inlineStr">
        <is>
          <t>Per company — when finance-related</t>
        </is>
      </c>
    </row>
    <row r="5">
      <c r="A5" s="3" t="inlineStr">
        <is>
          <t>MOA — No LOA</t>
        </is>
      </c>
      <c r="B5" s="3" t="n">
        <v>4</v>
      </c>
      <c r="C5" s="3" t="inlineStr">
        <is>
          <t>CEO / COO / GM</t>
        </is>
      </c>
      <c r="D5" s="3" t="inlineStr">
        <is>
          <t>Per company — when finance / share movement</t>
        </is>
      </c>
    </row>
    <row r="6">
      <c r="A6" s="3" t="inlineStr">
        <is>
          <t>MOA — No LOA</t>
        </is>
      </c>
      <c r="B6" s="3" t="n">
        <v>5</v>
      </c>
      <c r="C6" s="3" t="inlineStr">
        <is>
          <t>Ms Teh</t>
        </is>
      </c>
      <c r="D6" s="3" t="inlineStr">
        <is>
          <t>LGB internal (bank signatory matters)</t>
        </is>
      </c>
    </row>
    <row r="7">
      <c r="A7" s="3" t="inlineStr">
        <is>
          <t>MOA — No LOA</t>
        </is>
      </c>
      <c r="B7" s="3" t="n">
        <v>6</v>
      </c>
      <c r="C7" s="3" t="inlineStr">
        <is>
          <t>Full Board</t>
        </is>
      </c>
      <c r="D7" s="3" t="inlineStr">
        <is>
          <t>Per company — board member names</t>
        </is>
      </c>
    </row>
    <row r="8">
      <c r="A8" s="3" t="inlineStr">
        <is>
          <t>MOA — No LOA</t>
        </is>
      </c>
      <c r="B8" s="3" t="n">
        <v>7</v>
      </c>
      <c r="C8" s="3" t="inlineStr">
        <is>
          <t>DLCM</t>
        </is>
      </c>
      <c r="D8" s="3" t="inlineStr">
        <is>
          <t>LGB / external (fixed)</t>
        </is>
      </c>
    </row>
    <row r="9">
      <c r="A9" s="3" t="inlineStr">
        <is>
          <t>MOA — With LOA</t>
        </is>
      </c>
      <c r="B9" s="3" t="n">
        <v>1</v>
      </c>
      <c r="C9" s="3" t="inlineStr">
        <is>
          <t>Senior Manager, Company Secretarial</t>
        </is>
      </c>
      <c r="D9" s="3" t="inlineStr">
        <is>
          <t>LGB internal (fixed)</t>
        </is>
      </c>
    </row>
    <row r="10">
      <c r="A10" s="3" t="inlineStr">
        <is>
          <t>MOA — With LOA</t>
        </is>
      </c>
      <c r="B10" s="3" t="n">
        <v>2</v>
      </c>
      <c r="C10" s="3" t="inlineStr">
        <is>
          <t>Project initiator</t>
        </is>
      </c>
      <c r="D10" s="3" t="inlineStr">
        <is>
          <t>Per company — client contact</t>
        </is>
      </c>
    </row>
    <row r="11">
      <c r="A11" s="3" t="inlineStr">
        <is>
          <t>MOA — With LOA</t>
        </is>
      </c>
      <c r="B11" s="3" t="n">
        <v>3</v>
      </c>
      <c r="C11" s="3" t="inlineStr">
        <is>
          <t>Head of Finance / CFO</t>
        </is>
      </c>
      <c r="D11" s="3" t="inlineStr">
        <is>
          <t>Per company — when finance-related</t>
        </is>
      </c>
    </row>
    <row r="12">
      <c r="A12" s="3" t="inlineStr">
        <is>
          <t>MOA — With LOA</t>
        </is>
      </c>
      <c r="B12" s="3" t="n">
        <v>4</v>
      </c>
      <c r="C12" s="3" t="inlineStr">
        <is>
          <t>Ms Teh</t>
        </is>
      </c>
      <c r="D12" s="3" t="inlineStr">
        <is>
          <t>LGB internal (bank signatory matters)</t>
        </is>
      </c>
    </row>
    <row r="13">
      <c r="A13" s="3" t="inlineStr">
        <is>
          <t>MOA — With LOA</t>
        </is>
      </c>
      <c r="B13" s="3" t="n">
        <v>5</v>
      </c>
      <c r="C13" s="3" t="inlineStr">
        <is>
          <t>DLCM — all bank matters</t>
        </is>
      </c>
      <c r="D13" s="3" t="inlineStr">
        <is>
          <t>LGB / external (fixed)</t>
        </is>
      </c>
    </row>
    <row r="14">
      <c r="A14" s="3" t="inlineStr">
        <is>
          <t>MOA — SWM Group</t>
        </is>
      </c>
      <c r="B14" s="3" t="n">
        <v>1</v>
      </c>
      <c r="C14" s="3" t="inlineStr">
        <is>
          <t>Senior Manager, Company Secretarial</t>
        </is>
      </c>
      <c r="D14" s="3" t="inlineStr">
        <is>
          <t>LGB internal (fixed)</t>
        </is>
      </c>
    </row>
    <row r="15">
      <c r="A15" s="3" t="inlineStr">
        <is>
          <t>MOA — SWM Group</t>
        </is>
      </c>
      <c r="B15" s="3" t="n">
        <v>2</v>
      </c>
      <c r="C15" s="3" t="inlineStr">
        <is>
          <t>Project initiator</t>
        </is>
      </c>
      <c r="D15" s="3" t="inlineStr">
        <is>
          <t>Per company — client contact</t>
        </is>
      </c>
    </row>
    <row r="16">
      <c r="A16" s="3" t="inlineStr">
        <is>
          <t>MOA — SWM Group</t>
        </is>
      </c>
      <c r="B16" s="3" t="n">
        <v>3</v>
      </c>
      <c r="C16" s="3" t="inlineStr">
        <is>
          <t>Head of Finance / CFO</t>
        </is>
      </c>
      <c r="D16" s="3" t="inlineStr">
        <is>
          <t>Per company — when finance-related</t>
        </is>
      </c>
    </row>
    <row r="17">
      <c r="A17" s="3" t="inlineStr">
        <is>
          <t>MOA — SWM Group</t>
        </is>
      </c>
      <c r="B17" s="3" t="n">
        <v>4</v>
      </c>
      <c r="C17" s="3" t="inlineStr">
        <is>
          <t>LOA / BOD / EXCO holders</t>
        </is>
      </c>
      <c r="D17" s="3" t="inlineStr">
        <is>
          <t>Per company — LOA holder names</t>
        </is>
      </c>
    </row>
    <row r="18">
      <c r="A18" s="3" t="inlineStr">
        <is>
          <t>MOA — SWM Group</t>
        </is>
      </c>
      <c r="B18" s="3" t="n">
        <v>5</v>
      </c>
      <c r="C18" s="3" t="inlineStr">
        <is>
          <t>Regulator &amp; Compliance</t>
        </is>
      </c>
      <c r="D18" s="3" t="inlineStr">
        <is>
          <t>LGB internal (Shirley Nicholas)</t>
        </is>
      </c>
    </row>
    <row r="19">
      <c r="A19" s="3" t="inlineStr">
        <is>
          <t>MOA — SWM Group</t>
        </is>
      </c>
      <c r="B19" s="3" t="n">
        <v>6</v>
      </c>
      <c r="C19" s="3" t="inlineStr">
        <is>
          <t>CEO / COO / Janice Lim</t>
        </is>
      </c>
      <c r="D19" s="3" t="inlineStr">
        <is>
          <t>LGB internal (fixed)</t>
        </is>
      </c>
    </row>
    <row r="20">
      <c r="A20" s="3" t="inlineStr">
        <is>
          <t>MOA — SWM Group</t>
        </is>
      </c>
      <c r="B20" s="3" t="n">
        <v>7</v>
      </c>
      <c r="C20" s="3" t="inlineStr">
        <is>
          <t>Ms Teh</t>
        </is>
      </c>
      <c r="D20" s="3" t="inlineStr">
        <is>
          <t>LGB internal (bank signatory matters)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Role slot</t>
        </is>
      </c>
      <c r="B1" s="2" t="inlineStr">
        <is>
          <t>MOA — No LOA</t>
        </is>
      </c>
      <c r="C1" s="2" t="inlineStr">
        <is>
          <t>MOA — With LOA</t>
        </is>
      </c>
      <c r="D1" s="2" t="inlineStr">
        <is>
          <t>MOA — SWM Group</t>
        </is>
      </c>
    </row>
    <row r="2">
      <c r="A2" s="3" t="inlineStr">
        <is>
          <t>Project initiator</t>
        </is>
      </c>
      <c r="B2" s="3" t="inlineStr">
        <is>
          <t>Fill</t>
        </is>
      </c>
      <c r="C2" s="3" t="inlineStr">
        <is>
          <t>Fill</t>
        </is>
      </c>
      <c r="D2" s="3" t="inlineStr">
        <is>
          <t>Fill</t>
        </is>
      </c>
    </row>
    <row r="3">
      <c r="A3" s="3" t="inlineStr">
        <is>
          <t>MOA signers (client)</t>
        </is>
      </c>
      <c r="B3" s="3" t="inlineStr">
        <is>
          <t>Auto</t>
        </is>
      </c>
      <c r="C3" s="3" t="inlineStr">
        <is>
          <t>Auto</t>
        </is>
      </c>
      <c r="D3" s="3" t="inlineStr">
        <is>
          <t>Auto</t>
        </is>
      </c>
    </row>
    <row r="4">
      <c r="A4" s="3" t="inlineStr">
        <is>
          <t>CFO / Head of Finance</t>
        </is>
      </c>
      <c r="B4" s="3" t="inlineStr">
        <is>
          <t>If finance</t>
        </is>
      </c>
      <c r="C4" s="3" t="inlineStr">
        <is>
          <t>If finance</t>
        </is>
      </c>
      <c r="D4" s="3" t="inlineStr">
        <is>
          <t>If finance</t>
        </is>
      </c>
    </row>
    <row r="5">
      <c r="A5" s="3" t="inlineStr">
        <is>
          <t>CEO / COO / GM</t>
        </is>
      </c>
      <c r="B5" s="3" t="inlineStr">
        <is>
          <t>If finance</t>
        </is>
      </c>
      <c r="C5" s="3" t="inlineStr">
        <is>
          <t>—</t>
        </is>
      </c>
      <c r="D5" s="3" t="inlineStr">
        <is>
          <t>—</t>
        </is>
      </c>
    </row>
    <row r="6">
      <c r="A6" s="3" t="inlineStr">
        <is>
          <t>Board member 1</t>
        </is>
      </c>
      <c r="B6" s="3" t="inlineStr">
        <is>
          <t>Fill</t>
        </is>
      </c>
      <c r="C6" s="3" t="inlineStr">
        <is>
          <t>—</t>
        </is>
      </c>
      <c r="D6" s="3" t="inlineStr">
        <is>
          <t>—</t>
        </is>
      </c>
    </row>
    <row r="7">
      <c r="A7" s="3" t="inlineStr">
        <is>
          <t>Board member 2</t>
        </is>
      </c>
      <c r="B7" s="3" t="inlineStr">
        <is>
          <t>Fill</t>
        </is>
      </c>
      <c r="C7" s="3" t="inlineStr">
        <is>
          <t>—</t>
        </is>
      </c>
      <c r="D7" s="3" t="inlineStr">
        <is>
          <t>—</t>
        </is>
      </c>
    </row>
    <row r="8">
      <c r="A8" s="3" t="inlineStr">
        <is>
          <t>LOA holder 1</t>
        </is>
      </c>
      <c r="B8" s="3" t="inlineStr">
        <is>
          <t>—</t>
        </is>
      </c>
      <c r="C8" s="3" t="inlineStr">
        <is>
          <t>—</t>
        </is>
      </c>
      <c r="D8" s="3" t="inlineStr">
        <is>
          <t>Fill</t>
        </is>
      </c>
    </row>
    <row r="9">
      <c r="A9" s="3" t="inlineStr">
        <is>
          <t>LOA holder 2</t>
        </is>
      </c>
      <c r="B9" s="3" t="inlineStr">
        <is>
          <t>—</t>
        </is>
      </c>
      <c r="C9" s="3" t="inlineStr">
        <is>
          <t>—</t>
        </is>
      </c>
      <c r="D9" s="3" t="inlineStr">
        <is>
          <t>Fill</t>
        </is>
      </c>
    </row>
    <row r="10">
      <c r="A10" s="3" t="inlineStr">
        <is>
          <t>Senior Manager CoSec</t>
        </is>
      </c>
      <c r="B10" s="3" t="inlineStr">
        <is>
          <t>LGB fixed</t>
        </is>
      </c>
      <c r="C10" s="3" t="inlineStr">
        <is>
          <t>LGB fixed</t>
        </is>
      </c>
      <c r="D10" s="3" t="inlineStr">
        <is>
          <t>LGB fixed</t>
        </is>
      </c>
    </row>
    <row r="11">
      <c r="A11" s="3" t="inlineStr">
        <is>
          <t>Division MOI managers</t>
        </is>
      </c>
      <c r="B11" s="3" t="inlineStr">
        <is>
          <t>Auto</t>
        </is>
      </c>
      <c r="C11" s="3" t="inlineStr">
        <is>
          <t>Auto</t>
        </is>
      </c>
      <c r="D11" s="3" t="inlineStr">
        <is>
          <t>Auto</t>
        </is>
      </c>
    </row>
    <row r="12">
      <c r="A12" s="3" t="inlineStr">
        <is>
          <t>Ms Teh (bank)</t>
        </is>
      </c>
      <c r="B12" s="3" t="inlineStr">
        <is>
          <t>If bank</t>
        </is>
      </c>
      <c r="C12" s="3" t="inlineStr">
        <is>
          <t>If bank</t>
        </is>
      </c>
      <c r="D12" s="3" t="inlineStr">
        <is>
          <t>If bank</t>
        </is>
      </c>
    </row>
    <row r="13">
      <c r="A13" s="3" t="inlineStr">
        <is>
          <t>DLCM</t>
        </is>
      </c>
      <c r="B13" s="3" t="inlineStr">
        <is>
          <t>LGB fixed</t>
        </is>
      </c>
      <c r="C13" s="3" t="inlineStr">
        <is>
          <t>LGB fixed</t>
        </is>
      </c>
      <c r="D13" s="3" t="inlineStr">
        <is>
          <t>—</t>
        </is>
      </c>
    </row>
    <row r="14"/>
    <row r="15">
      <c r="A15" t="inlineStr">
        <is>
          <t>Legend: Fill = Sharon types name/email | Auto = formula from contacts | If finance = only when matter is finance-related | LGB fixed = system handles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6" customWidth="1" min="4" max="4"/>
    <col width="20" customWidth="1" min="5" max="5"/>
    <col width="26" customWidth="1" min="6" max="6"/>
    <col width="20" customWidth="1" min="7" max="7"/>
    <col width="26" customWidth="1" min="8" max="8"/>
    <col width="20" customWidth="1" min="9" max="9"/>
    <col width="26" customWidth="1" min="10" max="10"/>
    <col width="36" customWidth="1" min="11" max="11"/>
  </cols>
  <sheetData>
    <row r="1">
      <c r="A1" s="2" t="inlineStr">
        <is>
          <t>Division</t>
        </is>
      </c>
      <c r="B1" s="4" t="inlineStr">
        <is>
          <t>Default MOA workflow</t>
        </is>
      </c>
      <c r="C1" s="4" t="inlineStr">
        <is>
          <t>MOI recommender 1 name</t>
        </is>
      </c>
      <c r="D1" s="4" t="inlineStr">
        <is>
          <t>MOI recommender 1 email</t>
        </is>
      </c>
      <c r="E1" s="4" t="inlineStr">
        <is>
          <t>MOI recommender 2 name</t>
        </is>
      </c>
      <c r="F1" s="4" t="inlineStr">
        <is>
          <t>MOI recommender 2 email</t>
        </is>
      </c>
      <c r="G1" s="4" t="inlineStr">
        <is>
          <t>MOI recommender 3 name</t>
        </is>
      </c>
      <c r="H1" s="4" t="inlineStr">
        <is>
          <t>MOI recommender 3 email</t>
        </is>
      </c>
      <c r="I1" s="4" t="inlineStr">
        <is>
          <t>MOI recommender 4 name</t>
        </is>
      </c>
      <c r="J1" s="4" t="inlineStr">
        <is>
          <t>MOI recommender 4 email</t>
        </is>
      </c>
      <c r="K1" s="2" t="inlineStr">
        <is>
          <t>Notes</t>
        </is>
      </c>
    </row>
    <row r="2">
      <c r="A2" t="inlineStr">
        <is>
          <t>LGB</t>
        </is>
      </c>
      <c r="B2" t="inlineStr">
        <is>
          <t>MOA — No LOA</t>
        </is>
      </c>
      <c r="C2" t="inlineStr">
        <is>
          <t>Tai</t>
        </is>
      </c>
      <c r="D2" t="inlineStr"/>
      <c r="E2" t="inlineStr">
        <is>
          <t>Sam</t>
        </is>
      </c>
      <c r="F2" t="inlineStr"/>
      <c r="G2" t="inlineStr"/>
      <c r="H2" t="inlineStr"/>
      <c r="I2" t="inlineStr"/>
      <c r="J2" t="inlineStr"/>
      <c r="K2" t="inlineStr"/>
    </row>
    <row r="3">
      <c r="A3" s="3" t="inlineStr">
        <is>
          <t>LGB INS</t>
        </is>
      </c>
      <c r="B3" t="inlineStr">
        <is>
          <t>MOA — No LOA</t>
        </is>
      </c>
      <c r="C3" t="inlineStr">
        <is>
          <t>Steven</t>
        </is>
      </c>
      <c r="D3" t="inlineStr"/>
      <c r="E3" t="inlineStr">
        <is>
          <t>Tiew Siong Yi</t>
        </is>
      </c>
      <c r="F3" t="inlineStr"/>
      <c r="G3" t="inlineStr"/>
      <c r="H3" t="inlineStr"/>
      <c r="I3" t="inlineStr"/>
      <c r="J3" t="inlineStr"/>
      <c r="K3" t="inlineStr"/>
    </row>
    <row r="4">
      <c r="A4" s="3" t="inlineStr">
        <is>
          <t>Exitra</t>
        </is>
      </c>
      <c r="B4" t="inlineStr">
        <is>
          <t>MOA — No LOA</t>
        </is>
      </c>
      <c r="C4" t="inlineStr">
        <is>
          <t>Kevin Teoh</t>
        </is>
      </c>
      <c r="D4" t="inlineStr"/>
      <c r="E4" t="inlineStr">
        <is>
          <t>Tay</t>
        </is>
      </c>
      <c r="F4" t="inlineStr"/>
      <c r="G4" t="inlineStr">
        <is>
          <t>Jonas</t>
        </is>
      </c>
      <c r="H4" t="inlineStr"/>
      <c r="I4" t="inlineStr"/>
      <c r="J4" t="inlineStr"/>
      <c r="K4" t="inlineStr"/>
    </row>
    <row r="5">
      <c r="A5" s="3" t="inlineStr">
        <is>
          <t>Bellworth &amp; London</t>
        </is>
      </c>
      <c r="B5" t="inlineStr">
        <is>
          <t>MOA — No LOA</t>
        </is>
      </c>
      <c r="C5" t="inlineStr">
        <is>
          <t>Kevin Kuok</t>
        </is>
      </c>
      <c r="D5" t="inlineStr"/>
      <c r="E5" t="inlineStr">
        <is>
          <t>Jaslyn</t>
        </is>
      </c>
      <c r="F5" t="inlineStr"/>
      <c r="G5" t="inlineStr">
        <is>
          <t>Wong Wai Leng</t>
        </is>
      </c>
      <c r="H5" t="inlineStr"/>
      <c r="I5" t="inlineStr">
        <is>
          <t>Evelyn</t>
        </is>
      </c>
      <c r="J5" t="inlineStr"/>
      <c r="K5" t="inlineStr"/>
    </row>
    <row r="6">
      <c r="A6" s="3" t="inlineStr">
        <is>
          <t>UER</t>
        </is>
      </c>
      <c r="B6" t="inlineStr">
        <is>
          <t>MOA — No LOA</t>
        </is>
      </c>
      <c r="C6" t="inlineStr">
        <is>
          <t>Sam Lau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3" t="inlineStr">
        <is>
          <t>Parkwood</t>
        </is>
      </c>
      <c r="B7" t="inlineStr">
        <is>
          <t>MOA — No LOA</t>
        </is>
      </c>
      <c r="C7" t="inlineStr">
        <is>
          <t>Danny Ng</t>
        </is>
      </c>
      <c r="D7" t="inlineStr"/>
      <c r="E7" t="inlineStr">
        <is>
          <t>Casper Wong</t>
        </is>
      </c>
      <c r="F7" t="inlineStr"/>
      <c r="G7" t="inlineStr"/>
      <c r="H7" t="inlineStr"/>
      <c r="I7" t="inlineStr"/>
      <c r="J7" t="inlineStr"/>
      <c r="K7" t="inlineStr"/>
    </row>
    <row r="8">
      <c r="A8" s="3" t="inlineStr">
        <is>
          <t>SWM</t>
        </is>
      </c>
      <c r="B8" t="inlineStr">
        <is>
          <t>MOA — SWM Group</t>
        </is>
      </c>
      <c r="C8" t="inlineStr">
        <is>
          <t>Shirley</t>
        </is>
      </c>
      <c r="D8" t="inlineStr"/>
      <c r="E8" t="inlineStr">
        <is>
          <t>Bin</t>
        </is>
      </c>
      <c r="F8" t="inlineStr"/>
      <c r="G8" t="inlineStr">
        <is>
          <t>Yvonne</t>
        </is>
      </c>
      <c r="H8" t="inlineStr"/>
      <c r="I8" t="inlineStr">
        <is>
          <t>Thomas</t>
        </is>
      </c>
      <c r="J8" t="inlineStr"/>
      <c r="K8" t="inlineStr"/>
    </row>
    <row r="9">
      <c r="A9" s="3" t="inlineStr">
        <is>
          <t>DLAL</t>
        </is>
      </c>
      <c r="B9" t="inlineStr">
        <is>
          <t>MOA — No LOA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3" t="inlineStr">
        <is>
          <t>DLCM</t>
        </is>
      </c>
      <c r="B10" t="inlineStr">
        <is>
          <t>MOA — With LOA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3" t="inlineStr">
        <is>
          <t>DLCM &amp; KK</t>
        </is>
      </c>
      <c r="B11" t="inlineStr">
        <is>
          <t>MOA — With LOA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3" t="inlineStr">
        <is>
          <t>DLCM &amp; SEAN</t>
        </is>
      </c>
      <c r="B12" t="inlineStr">
        <is>
          <t>MOA — With LOA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3" t="inlineStr">
        <is>
          <t>HOLD ON</t>
        </is>
      </c>
      <c r="B13" t="inlineStr">
        <is>
          <t>MOA — No LOA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3" t="inlineStr">
        <is>
          <t>Nominees</t>
        </is>
      </c>
      <c r="B14" t="inlineStr">
        <is>
          <t>MOA — No LOA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3" t="inlineStr">
        <is>
          <t>TCB</t>
        </is>
      </c>
      <c r="B15" t="inlineStr">
        <is>
          <t>MOA — No LOA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3" t="inlineStr">
        <is>
          <t>KK</t>
        </is>
      </c>
      <c r="B16" t="inlineStr">
        <is>
          <t>MOA — With LOA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3" t="inlineStr">
        <is>
          <t>SEAN</t>
        </is>
      </c>
      <c r="B17" t="inlineStr">
        <is>
          <t>MOA — With LOA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3" t="inlineStr">
        <is>
          <t>ISHAK</t>
        </is>
      </c>
      <c r="B18" t="inlineStr">
        <is>
          <t>MOA — No LOA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3" t="inlineStr">
        <is>
          <t>JANICE</t>
        </is>
      </c>
      <c r="B19" t="inlineStr">
        <is>
          <t>MOA — No LOA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3" t="n"/>
    </row>
  </sheetData>
  <dataValidations count="1">
    <dataValidation sqref="B3:B50" showDropDown="0" showInputMessage="0" showErrorMessage="0" allowBlank="1" errorTitle="Invalid value" error="Please pick from the dropdown." type="list">
      <formula1>"MOA — No LOA","MOA — With LOA","MOA — SWM Group"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8" customWidth="1" min="3" max="3"/>
    <col width="30" customWidth="1" min="4" max="4"/>
  </cols>
  <sheetData>
    <row r="1">
      <c r="A1" s="4" t="inlineStr">
        <is>
          <t>Name on invoice / account</t>
        </is>
      </c>
      <c r="B1" s="4" t="inlineStr">
        <is>
          <t>Used for</t>
        </is>
      </c>
      <c r="C1" s="2" t="inlineStr">
        <is>
          <t>Active</t>
        </is>
      </c>
      <c r="D1" s="2" t="inlineStr">
        <is>
          <t>Notes</t>
        </is>
      </c>
    </row>
    <row r="2">
      <c r="A2" t="inlineStr">
        <is>
          <t>Acme Corp</t>
        </is>
      </c>
      <c r="B2" t="inlineStr">
        <is>
          <t>Invoice and charge</t>
        </is>
      </c>
      <c r="C2" t="inlineStr">
        <is>
          <t>Y</t>
        </is>
      </c>
      <c r="D2" t="inlineStr">
        <is>
          <t>Example — delete this row</t>
        </is>
      </c>
    </row>
  </sheetData>
  <dataValidations count="2">
    <dataValidation sqref="C2:C500" showDropDown="0" showInputMessage="0" showErrorMessage="0" allowBlank="1" errorTitle="Invalid value" error="Please pick from the dropdown." type="list">
      <formula1>"Y,N"</formula1>
    </dataValidation>
    <dataValidation sqref="B2:B500" showDropDown="0" showInputMessage="0" showErrorMessage="0" allowBlank="1" errorTitle="Invalid value" error="Please pick from the dropdown." type="list">
      <formula1>"Invoice only,Charge only,Invoice and charge"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6" customWidth="1" min="4" max="4"/>
    <col width="22" customWidth="1" min="5" max="5"/>
    <col width="28" customWidth="1" min="6" max="6"/>
    <col width="12" customWidth="1" min="7" max="7"/>
    <col width="10" customWidth="1" min="8" max="8"/>
    <col width="28" customWidth="1" min="9" max="9"/>
    <col width="20" customWidth="1" min="10" max="10"/>
    <col width="20" customWidth="1" min="11" max="11"/>
    <col width="28" customWidth="1" min="12" max="12"/>
    <col width="24" customWidth="1" min="13" max="13"/>
  </cols>
  <sheetData>
    <row r="1">
      <c r="A1" s="4" t="inlineStr">
        <is>
          <t>Company name</t>
        </is>
      </c>
      <c r="B1" s="4" t="inlineStr">
        <is>
          <t>Main contact name</t>
        </is>
      </c>
      <c r="C1" s="4" t="inlineStr">
        <is>
          <t>Main contact email</t>
        </is>
      </c>
      <c r="D1" s="4" t="inlineStr">
        <is>
          <t>Main contact phone</t>
        </is>
      </c>
      <c r="E1" s="4" t="inlineStr">
        <is>
          <t>Division</t>
        </is>
      </c>
      <c r="F1" s="2" t="inlineStr">
        <is>
          <t>MOA workflow (from MOA setup)</t>
        </is>
      </c>
      <c r="G1" s="4" t="inlineStr">
        <is>
          <t>COSEC client?</t>
        </is>
      </c>
      <c r="H1" s="4" t="inlineStr">
        <is>
          <t>Has Limit of Authority (LOA)?</t>
        </is>
      </c>
      <c r="I1" s="2" t="inlineStr">
        <is>
          <t>LOA holder names (if Y)</t>
        </is>
      </c>
      <c r="J1" s="4" t="inlineStr">
        <is>
          <t>Invoice to</t>
        </is>
      </c>
      <c r="K1" s="4" t="inlineStr">
        <is>
          <t>Bill to</t>
        </is>
      </c>
      <c r="L1" s="2" t="inlineStr">
        <is>
          <t>Division MOI managers (auto)</t>
        </is>
      </c>
      <c r="M1" s="2" t="inlineStr">
        <is>
          <t>Notes</t>
        </is>
      </c>
    </row>
    <row r="2">
      <c r="A2" t="inlineStr">
        <is>
          <t>Acme Corp</t>
        </is>
      </c>
      <c r="B2" t="inlineStr">
        <is>
          <t>Sarah Johnson</t>
        </is>
      </c>
      <c r="C2" t="inlineStr">
        <is>
          <t>sarah.j@acme.com</t>
        </is>
      </c>
      <c r="D2" t="inlineStr">
        <is>
          <t>+60 12-345 6789</t>
        </is>
      </c>
      <c r="E2" t="inlineStr">
        <is>
          <t>LGB</t>
        </is>
      </c>
      <c r="F2" s="5">
        <f>IFERROR(INDEX('Company MOA setup'!$B$3:$B$500,MATCH($A2,'Company MOA setup'!$A$3:$A$500,0)),"Division default")</f>
        <v/>
      </c>
      <c r="G2" t="inlineStr">
        <is>
          <t>Y</t>
        </is>
      </c>
      <c r="H2" t="inlineStr">
        <is>
          <t>N</t>
        </is>
      </c>
      <c r="I2" t="inlineStr"/>
      <c r="J2" t="inlineStr">
        <is>
          <t>Acme Corp</t>
        </is>
      </c>
      <c r="K2" t="inlineStr">
        <is>
          <t>Acme Corp</t>
        </is>
      </c>
      <c r="L2" s="5">
        <f>IF($E2="","",TRIM(IFERROR(INDEX(Divisions!$C$3:$C$50,MATCH($E2,Divisions!$A$3:$A$50,0)),"")&amp;IF(IFERROR(INDEX(Divisions!$E$3:$E$50,MATCH($E2,Divisions!$A$3:$A$50,0)),"")&lt;&gt;"",", "&amp;IFERROR(INDEX(Divisions!$E$3:$E$50,MATCH($E2,Divisions!$A$3:$A$50,0)),""),"")&amp;IF(IFERROR(INDEX(Divisions!$G$3:$G$50,MATCH($E2,Divisions!$A$3:$A$50,0)),"")&lt;&gt;"",", "&amp;IFERROR(INDEX(Divisions!$G$3:$G$50,MATCH($E2,Divisions!$A$3:$A$50,0)),""),"")&amp;IF(IFERROR(INDEX(Divisions!$I$3:$I$50,MATCH($E2,Divisions!$A$3:$A$50,0)),"")&lt;&gt;"",", "&amp;IFERROR(INDEX(Divisions!$I$3:$I$50,MATCH($E2,Divisions!$A$3:$A$50,0)),""),"")))</f>
        <v/>
      </c>
      <c r="M2" t="inlineStr">
        <is>
          <t>Example — delete this row</t>
        </is>
      </c>
    </row>
    <row r="3">
      <c r="F3" s="5">
        <f>IFERROR(INDEX('Company MOA setup'!$B$3:$B$500,MATCH($A3,'Company MOA setup'!$A$3:$A$500,0)),"Division default")</f>
        <v/>
      </c>
      <c r="L3" s="5">
        <f>IF($E3="","",TRIM(IFERROR(INDEX(Divisions!$C$3:$C$50,MATCH($E3,Divisions!$A$3:$A$50,0)),"")&amp;IF(IFERROR(INDEX(Divisions!$E$3:$E$50,MATCH($E3,Divisions!$A$3:$A$50,0)),"")&lt;&gt;"",", "&amp;IFERROR(INDEX(Divisions!$E$3:$E$50,MATCH($E3,Divisions!$A$3:$A$50,0)),""),"")&amp;IF(IFERROR(INDEX(Divisions!$G$3:$G$50,MATCH($E3,Divisions!$A$3:$A$50,0)),"")&lt;&gt;"",", "&amp;IFERROR(INDEX(Divisions!$G$3:$G$50,MATCH($E3,Divisions!$A$3:$A$50,0)),""),"")&amp;IF(IFERROR(INDEX(Divisions!$I$3:$I$50,MATCH($E3,Divisions!$A$3:$A$50,0)),"")&lt;&gt;"",", "&amp;IFERROR(INDEX(Divisions!$I$3:$I$50,MATCH($E3,Divisions!$A$3:$A$50,0)),""),"")))</f>
        <v/>
      </c>
    </row>
    <row r="4">
      <c r="F4" s="5">
        <f>IFERROR(INDEX('Company MOA setup'!$B$3:$B$500,MATCH($A4,'Company MOA setup'!$A$3:$A$500,0)),"Division default")</f>
        <v/>
      </c>
      <c r="L4" s="5">
        <f>IF($E4="","",TRIM(IFERROR(INDEX(Divisions!$C$3:$C$50,MATCH($E4,Divisions!$A$3:$A$50,0)),"")&amp;IF(IFERROR(INDEX(Divisions!$E$3:$E$50,MATCH($E4,Divisions!$A$3:$A$50,0)),"")&lt;&gt;"",", "&amp;IFERROR(INDEX(Divisions!$E$3:$E$50,MATCH($E4,Divisions!$A$3:$A$50,0)),""),"")&amp;IF(IFERROR(INDEX(Divisions!$G$3:$G$50,MATCH($E4,Divisions!$A$3:$A$50,0)),"")&lt;&gt;"",", "&amp;IFERROR(INDEX(Divisions!$G$3:$G$50,MATCH($E4,Divisions!$A$3:$A$50,0)),""),"")&amp;IF(IFERROR(INDEX(Divisions!$I$3:$I$50,MATCH($E4,Divisions!$A$3:$A$50,0)),"")&lt;&gt;"",", "&amp;IFERROR(INDEX(Divisions!$I$3:$I$50,MATCH($E4,Divisions!$A$3:$A$50,0)),""),"")))</f>
        <v/>
      </c>
    </row>
    <row r="5">
      <c r="F5" s="5">
        <f>IFERROR(INDEX('Company MOA setup'!$B$3:$B$500,MATCH($A5,'Company MOA setup'!$A$3:$A$500,0)),"Division default")</f>
        <v/>
      </c>
      <c r="L5" s="5">
        <f>IF($E5="","",TRIM(IFERROR(INDEX(Divisions!$C$3:$C$50,MATCH($E5,Divisions!$A$3:$A$50,0)),"")&amp;IF(IFERROR(INDEX(Divisions!$E$3:$E$50,MATCH($E5,Divisions!$A$3:$A$50,0)),"")&lt;&gt;"",", "&amp;IFERROR(INDEX(Divisions!$E$3:$E$50,MATCH($E5,Divisions!$A$3:$A$50,0)),""),"")&amp;IF(IFERROR(INDEX(Divisions!$G$3:$G$50,MATCH($E5,Divisions!$A$3:$A$50,0)),"")&lt;&gt;"",", "&amp;IFERROR(INDEX(Divisions!$G$3:$G$50,MATCH($E5,Divisions!$A$3:$A$50,0)),""),"")&amp;IF(IFERROR(INDEX(Divisions!$I$3:$I$50,MATCH($E5,Divisions!$A$3:$A$50,0)),"")&lt;&gt;"",", "&amp;IFERROR(INDEX(Divisions!$I$3:$I$50,MATCH($E5,Divisions!$A$3:$A$50,0)),""),"")))</f>
        <v/>
      </c>
    </row>
    <row r="6">
      <c r="F6" s="5">
        <f>IFERROR(INDEX('Company MOA setup'!$B$3:$B$500,MATCH($A6,'Company MOA setup'!$A$3:$A$500,0)),"Division default")</f>
        <v/>
      </c>
      <c r="L6" s="5">
        <f>IF($E6="","",TRIM(IFERROR(INDEX(Divisions!$C$3:$C$50,MATCH($E6,Divisions!$A$3:$A$50,0)),"")&amp;IF(IFERROR(INDEX(Divisions!$E$3:$E$50,MATCH($E6,Divisions!$A$3:$A$50,0)),"")&lt;&gt;"",", "&amp;IFERROR(INDEX(Divisions!$E$3:$E$50,MATCH($E6,Divisions!$A$3:$A$50,0)),""),"")&amp;IF(IFERROR(INDEX(Divisions!$G$3:$G$50,MATCH($E6,Divisions!$A$3:$A$50,0)),"")&lt;&gt;"",", "&amp;IFERROR(INDEX(Divisions!$G$3:$G$50,MATCH($E6,Divisions!$A$3:$A$50,0)),""),"")&amp;IF(IFERROR(INDEX(Divisions!$I$3:$I$50,MATCH($E6,Divisions!$A$3:$A$50,0)),"")&lt;&gt;"",", "&amp;IFERROR(INDEX(Divisions!$I$3:$I$50,MATCH($E6,Divisions!$A$3:$A$50,0)),""),"")))</f>
        <v/>
      </c>
    </row>
    <row r="7">
      <c r="F7" s="5">
        <f>IFERROR(INDEX('Company MOA setup'!$B$3:$B$500,MATCH($A7,'Company MOA setup'!$A$3:$A$500,0)),"Division default")</f>
        <v/>
      </c>
      <c r="L7" s="5">
        <f>IF($E7="","",TRIM(IFERROR(INDEX(Divisions!$C$3:$C$50,MATCH($E7,Divisions!$A$3:$A$50,0)),"")&amp;IF(IFERROR(INDEX(Divisions!$E$3:$E$50,MATCH($E7,Divisions!$A$3:$A$50,0)),"")&lt;&gt;"",", "&amp;IFERROR(INDEX(Divisions!$E$3:$E$50,MATCH($E7,Divisions!$A$3:$A$50,0)),""),"")&amp;IF(IFERROR(INDEX(Divisions!$G$3:$G$50,MATCH($E7,Divisions!$A$3:$A$50,0)),"")&lt;&gt;"",", "&amp;IFERROR(INDEX(Divisions!$G$3:$G$50,MATCH($E7,Divisions!$A$3:$A$50,0)),""),"")&amp;IF(IFERROR(INDEX(Divisions!$I$3:$I$50,MATCH($E7,Divisions!$A$3:$A$50,0)),"")&lt;&gt;"",", "&amp;IFERROR(INDEX(Divisions!$I$3:$I$50,MATCH($E7,Divisions!$A$3:$A$50,0)),""),"")))</f>
        <v/>
      </c>
    </row>
    <row r="8">
      <c r="F8" s="5">
        <f>IFERROR(INDEX('Company MOA setup'!$B$3:$B$500,MATCH($A8,'Company MOA setup'!$A$3:$A$500,0)),"Division default")</f>
        <v/>
      </c>
      <c r="L8" s="5">
        <f>IF($E8="","",TRIM(IFERROR(INDEX(Divisions!$C$3:$C$50,MATCH($E8,Divisions!$A$3:$A$50,0)),"")&amp;IF(IFERROR(INDEX(Divisions!$E$3:$E$50,MATCH($E8,Divisions!$A$3:$A$50,0)),"")&lt;&gt;"",", "&amp;IFERROR(INDEX(Divisions!$E$3:$E$50,MATCH($E8,Divisions!$A$3:$A$50,0)),""),"")&amp;IF(IFERROR(INDEX(Divisions!$G$3:$G$50,MATCH($E8,Divisions!$A$3:$A$50,0)),"")&lt;&gt;"",", "&amp;IFERROR(INDEX(Divisions!$G$3:$G$50,MATCH($E8,Divisions!$A$3:$A$50,0)),""),"")&amp;IF(IFERROR(INDEX(Divisions!$I$3:$I$50,MATCH($E8,Divisions!$A$3:$A$50,0)),"")&lt;&gt;"",", "&amp;IFERROR(INDEX(Divisions!$I$3:$I$50,MATCH($E8,Divisions!$A$3:$A$50,0)),""),"")))</f>
        <v/>
      </c>
    </row>
    <row r="9">
      <c r="F9" s="5">
        <f>IFERROR(INDEX('Company MOA setup'!$B$3:$B$500,MATCH($A9,'Company MOA setup'!$A$3:$A$500,0)),"Division default")</f>
        <v/>
      </c>
      <c r="L9" s="5">
        <f>IF($E9="","",TRIM(IFERROR(INDEX(Divisions!$C$3:$C$50,MATCH($E9,Divisions!$A$3:$A$50,0)),"")&amp;IF(IFERROR(INDEX(Divisions!$E$3:$E$50,MATCH($E9,Divisions!$A$3:$A$50,0)),"")&lt;&gt;"",", "&amp;IFERROR(INDEX(Divisions!$E$3:$E$50,MATCH($E9,Divisions!$A$3:$A$50,0)),""),"")&amp;IF(IFERROR(INDEX(Divisions!$G$3:$G$50,MATCH($E9,Divisions!$A$3:$A$50,0)),"")&lt;&gt;"",", "&amp;IFERROR(INDEX(Divisions!$G$3:$G$50,MATCH($E9,Divisions!$A$3:$A$50,0)),""),"")&amp;IF(IFERROR(INDEX(Divisions!$I$3:$I$50,MATCH($E9,Divisions!$A$3:$A$50,0)),"")&lt;&gt;"",", "&amp;IFERROR(INDEX(Divisions!$I$3:$I$50,MATCH($E9,Divisions!$A$3:$A$50,0)),""),"")))</f>
        <v/>
      </c>
    </row>
    <row r="10">
      <c r="F10" s="5">
        <f>IFERROR(INDEX('Company MOA setup'!$B$3:$B$500,MATCH($A10,'Company MOA setup'!$A$3:$A$500,0)),"Division default")</f>
        <v/>
      </c>
      <c r="L10" s="5">
        <f>IF($E10="","",TRIM(IFERROR(INDEX(Divisions!$C$3:$C$50,MATCH($E10,Divisions!$A$3:$A$50,0)),"")&amp;IF(IFERROR(INDEX(Divisions!$E$3:$E$50,MATCH($E10,Divisions!$A$3:$A$50,0)),"")&lt;&gt;"",", "&amp;IFERROR(INDEX(Divisions!$E$3:$E$50,MATCH($E10,Divisions!$A$3:$A$50,0)),""),"")&amp;IF(IFERROR(INDEX(Divisions!$G$3:$G$50,MATCH($E10,Divisions!$A$3:$A$50,0)),"")&lt;&gt;"",", "&amp;IFERROR(INDEX(Divisions!$G$3:$G$50,MATCH($E10,Divisions!$A$3:$A$50,0)),""),"")&amp;IF(IFERROR(INDEX(Divisions!$I$3:$I$50,MATCH($E10,Divisions!$A$3:$A$50,0)),"")&lt;&gt;"",", "&amp;IFERROR(INDEX(Divisions!$I$3:$I$50,MATCH($E10,Divisions!$A$3:$A$50,0)),""),"")))</f>
        <v/>
      </c>
    </row>
    <row r="11">
      <c r="F11" s="5">
        <f>IFERROR(INDEX('Company MOA setup'!$B$3:$B$500,MATCH($A11,'Company MOA setup'!$A$3:$A$500,0)),"Division default")</f>
        <v/>
      </c>
      <c r="L11" s="5">
        <f>IF($E11="","",TRIM(IFERROR(INDEX(Divisions!$C$3:$C$50,MATCH($E11,Divisions!$A$3:$A$50,0)),"")&amp;IF(IFERROR(INDEX(Divisions!$E$3:$E$50,MATCH($E11,Divisions!$A$3:$A$50,0)),"")&lt;&gt;"",", "&amp;IFERROR(INDEX(Divisions!$E$3:$E$50,MATCH($E11,Divisions!$A$3:$A$50,0)),""),"")&amp;IF(IFERROR(INDEX(Divisions!$G$3:$G$50,MATCH($E11,Divisions!$A$3:$A$50,0)),"")&lt;&gt;"",", "&amp;IFERROR(INDEX(Divisions!$G$3:$G$50,MATCH($E11,Divisions!$A$3:$A$50,0)),""),"")&amp;IF(IFERROR(INDEX(Divisions!$I$3:$I$50,MATCH($E11,Divisions!$A$3:$A$50,0)),"")&lt;&gt;"",", "&amp;IFERROR(INDEX(Divisions!$I$3:$I$50,MATCH($E11,Divisions!$A$3:$A$50,0)),""),"")))</f>
        <v/>
      </c>
    </row>
    <row r="12">
      <c r="F12" s="5">
        <f>IFERROR(INDEX('Company MOA setup'!$B$3:$B$500,MATCH($A12,'Company MOA setup'!$A$3:$A$500,0)),"Division default")</f>
        <v/>
      </c>
      <c r="L12" s="5">
        <f>IF($E12="","",TRIM(IFERROR(INDEX(Divisions!$C$3:$C$50,MATCH($E12,Divisions!$A$3:$A$50,0)),"")&amp;IF(IFERROR(INDEX(Divisions!$E$3:$E$50,MATCH($E12,Divisions!$A$3:$A$50,0)),"")&lt;&gt;"",", "&amp;IFERROR(INDEX(Divisions!$E$3:$E$50,MATCH($E12,Divisions!$A$3:$A$50,0)),""),"")&amp;IF(IFERROR(INDEX(Divisions!$G$3:$G$50,MATCH($E12,Divisions!$A$3:$A$50,0)),"")&lt;&gt;"",", "&amp;IFERROR(INDEX(Divisions!$G$3:$G$50,MATCH($E12,Divisions!$A$3:$A$50,0)),""),"")&amp;IF(IFERROR(INDEX(Divisions!$I$3:$I$50,MATCH($E12,Divisions!$A$3:$A$50,0)),"")&lt;&gt;"",", "&amp;IFERROR(INDEX(Divisions!$I$3:$I$50,MATCH($E12,Divisions!$A$3:$A$50,0)),""),"")))</f>
        <v/>
      </c>
    </row>
    <row r="13">
      <c r="F13" s="5">
        <f>IFERROR(INDEX('Company MOA setup'!$B$3:$B$500,MATCH($A13,'Company MOA setup'!$A$3:$A$500,0)),"Division default")</f>
        <v/>
      </c>
      <c r="L13" s="5">
        <f>IF($E13="","",TRIM(IFERROR(INDEX(Divisions!$C$3:$C$50,MATCH($E13,Divisions!$A$3:$A$50,0)),"")&amp;IF(IFERROR(INDEX(Divisions!$E$3:$E$50,MATCH($E13,Divisions!$A$3:$A$50,0)),"")&lt;&gt;"",", "&amp;IFERROR(INDEX(Divisions!$E$3:$E$50,MATCH($E13,Divisions!$A$3:$A$50,0)),""),"")&amp;IF(IFERROR(INDEX(Divisions!$G$3:$G$50,MATCH($E13,Divisions!$A$3:$A$50,0)),"")&lt;&gt;"",", "&amp;IFERROR(INDEX(Divisions!$G$3:$G$50,MATCH($E13,Divisions!$A$3:$A$50,0)),""),"")&amp;IF(IFERROR(INDEX(Divisions!$I$3:$I$50,MATCH($E13,Divisions!$A$3:$A$50,0)),"")&lt;&gt;"",", "&amp;IFERROR(INDEX(Divisions!$I$3:$I$50,MATCH($E13,Divisions!$A$3:$A$50,0)),""),"")))</f>
        <v/>
      </c>
    </row>
    <row r="14">
      <c r="F14" s="5">
        <f>IFERROR(INDEX('Company MOA setup'!$B$3:$B$500,MATCH($A14,'Company MOA setup'!$A$3:$A$500,0)),"Division default")</f>
        <v/>
      </c>
      <c r="L14" s="5">
        <f>IF($E14="","",TRIM(IFERROR(INDEX(Divisions!$C$3:$C$50,MATCH($E14,Divisions!$A$3:$A$50,0)),"")&amp;IF(IFERROR(INDEX(Divisions!$E$3:$E$50,MATCH($E14,Divisions!$A$3:$A$50,0)),"")&lt;&gt;"",", "&amp;IFERROR(INDEX(Divisions!$E$3:$E$50,MATCH($E14,Divisions!$A$3:$A$50,0)),""),"")&amp;IF(IFERROR(INDEX(Divisions!$G$3:$G$50,MATCH($E14,Divisions!$A$3:$A$50,0)),"")&lt;&gt;"",", "&amp;IFERROR(INDEX(Divisions!$G$3:$G$50,MATCH($E14,Divisions!$A$3:$A$50,0)),""),"")&amp;IF(IFERROR(INDEX(Divisions!$I$3:$I$50,MATCH($E14,Divisions!$A$3:$A$50,0)),"")&lt;&gt;"",", "&amp;IFERROR(INDEX(Divisions!$I$3:$I$50,MATCH($E14,Divisions!$A$3:$A$50,0)),""),"")))</f>
        <v/>
      </c>
    </row>
    <row r="15">
      <c r="F15" s="5">
        <f>IFERROR(INDEX('Company MOA setup'!$B$3:$B$500,MATCH($A15,'Company MOA setup'!$A$3:$A$500,0)),"Division default")</f>
        <v/>
      </c>
      <c r="L15" s="5">
        <f>IF($E15="","",TRIM(IFERROR(INDEX(Divisions!$C$3:$C$50,MATCH($E15,Divisions!$A$3:$A$50,0)),"")&amp;IF(IFERROR(INDEX(Divisions!$E$3:$E$50,MATCH($E15,Divisions!$A$3:$A$50,0)),"")&lt;&gt;"",", "&amp;IFERROR(INDEX(Divisions!$E$3:$E$50,MATCH($E15,Divisions!$A$3:$A$50,0)),""),"")&amp;IF(IFERROR(INDEX(Divisions!$G$3:$G$50,MATCH($E15,Divisions!$A$3:$A$50,0)),"")&lt;&gt;"",", "&amp;IFERROR(INDEX(Divisions!$G$3:$G$50,MATCH($E15,Divisions!$A$3:$A$50,0)),""),"")&amp;IF(IFERROR(INDEX(Divisions!$I$3:$I$50,MATCH($E15,Divisions!$A$3:$A$50,0)),"")&lt;&gt;"",", "&amp;IFERROR(INDEX(Divisions!$I$3:$I$50,MATCH($E15,Divisions!$A$3:$A$50,0)),""),"")))</f>
        <v/>
      </c>
    </row>
    <row r="16">
      <c r="F16" s="5">
        <f>IFERROR(INDEX('Company MOA setup'!$B$3:$B$500,MATCH($A16,'Company MOA setup'!$A$3:$A$500,0)),"Division default")</f>
        <v/>
      </c>
      <c r="L16" s="5">
        <f>IF($E16="","",TRIM(IFERROR(INDEX(Divisions!$C$3:$C$50,MATCH($E16,Divisions!$A$3:$A$50,0)),"")&amp;IF(IFERROR(INDEX(Divisions!$E$3:$E$50,MATCH($E16,Divisions!$A$3:$A$50,0)),"")&lt;&gt;"",", "&amp;IFERROR(INDEX(Divisions!$E$3:$E$50,MATCH($E16,Divisions!$A$3:$A$50,0)),""),"")&amp;IF(IFERROR(INDEX(Divisions!$G$3:$G$50,MATCH($E16,Divisions!$A$3:$A$50,0)),"")&lt;&gt;"",", "&amp;IFERROR(INDEX(Divisions!$G$3:$G$50,MATCH($E16,Divisions!$A$3:$A$50,0)),""),"")&amp;IF(IFERROR(INDEX(Divisions!$I$3:$I$50,MATCH($E16,Divisions!$A$3:$A$50,0)),"")&lt;&gt;"",", "&amp;IFERROR(INDEX(Divisions!$I$3:$I$50,MATCH($E16,Divisions!$A$3:$A$50,0)),""),"")))</f>
        <v/>
      </c>
    </row>
    <row r="17">
      <c r="F17" s="5">
        <f>IFERROR(INDEX('Company MOA setup'!$B$3:$B$500,MATCH($A17,'Company MOA setup'!$A$3:$A$500,0)),"Division default")</f>
        <v/>
      </c>
      <c r="L17" s="5">
        <f>IF($E17="","",TRIM(IFERROR(INDEX(Divisions!$C$3:$C$50,MATCH($E17,Divisions!$A$3:$A$50,0)),"")&amp;IF(IFERROR(INDEX(Divisions!$E$3:$E$50,MATCH($E17,Divisions!$A$3:$A$50,0)),"")&lt;&gt;"",", "&amp;IFERROR(INDEX(Divisions!$E$3:$E$50,MATCH($E17,Divisions!$A$3:$A$50,0)),""),"")&amp;IF(IFERROR(INDEX(Divisions!$G$3:$G$50,MATCH($E17,Divisions!$A$3:$A$50,0)),"")&lt;&gt;"",", "&amp;IFERROR(INDEX(Divisions!$G$3:$G$50,MATCH($E17,Divisions!$A$3:$A$50,0)),""),"")&amp;IF(IFERROR(INDEX(Divisions!$I$3:$I$50,MATCH($E17,Divisions!$A$3:$A$50,0)),"")&lt;&gt;"",", "&amp;IFERROR(INDEX(Divisions!$I$3:$I$50,MATCH($E17,Divisions!$A$3:$A$50,0)),""),"")))</f>
        <v/>
      </c>
    </row>
    <row r="18">
      <c r="F18" s="5">
        <f>IFERROR(INDEX('Company MOA setup'!$B$3:$B$500,MATCH($A18,'Company MOA setup'!$A$3:$A$500,0)),"Division default")</f>
        <v/>
      </c>
      <c r="L18" s="5">
        <f>IF($E18="","",TRIM(IFERROR(INDEX(Divisions!$C$3:$C$50,MATCH($E18,Divisions!$A$3:$A$50,0)),"")&amp;IF(IFERROR(INDEX(Divisions!$E$3:$E$50,MATCH($E18,Divisions!$A$3:$A$50,0)),"")&lt;&gt;"",", "&amp;IFERROR(INDEX(Divisions!$E$3:$E$50,MATCH($E18,Divisions!$A$3:$A$50,0)),""),"")&amp;IF(IFERROR(INDEX(Divisions!$G$3:$G$50,MATCH($E18,Divisions!$A$3:$A$50,0)),"")&lt;&gt;"",", "&amp;IFERROR(INDEX(Divisions!$G$3:$G$50,MATCH($E18,Divisions!$A$3:$A$50,0)),""),"")&amp;IF(IFERROR(INDEX(Divisions!$I$3:$I$50,MATCH($E18,Divisions!$A$3:$A$50,0)),"")&lt;&gt;"",", "&amp;IFERROR(INDEX(Divisions!$I$3:$I$50,MATCH($E18,Divisions!$A$3:$A$50,0)),""),"")))</f>
        <v/>
      </c>
    </row>
    <row r="19">
      <c r="F19" s="5">
        <f>IFERROR(INDEX('Company MOA setup'!$B$3:$B$500,MATCH($A19,'Company MOA setup'!$A$3:$A$500,0)),"Division default")</f>
        <v/>
      </c>
      <c r="L19" s="5">
        <f>IF($E19="","",TRIM(IFERROR(INDEX(Divisions!$C$3:$C$50,MATCH($E19,Divisions!$A$3:$A$50,0)),"")&amp;IF(IFERROR(INDEX(Divisions!$E$3:$E$50,MATCH($E19,Divisions!$A$3:$A$50,0)),"")&lt;&gt;"",", "&amp;IFERROR(INDEX(Divisions!$E$3:$E$50,MATCH($E19,Divisions!$A$3:$A$50,0)),""),"")&amp;IF(IFERROR(INDEX(Divisions!$G$3:$G$50,MATCH($E19,Divisions!$A$3:$A$50,0)),"")&lt;&gt;"",", "&amp;IFERROR(INDEX(Divisions!$G$3:$G$50,MATCH($E19,Divisions!$A$3:$A$50,0)),""),"")&amp;IF(IFERROR(INDEX(Divisions!$I$3:$I$50,MATCH($E19,Divisions!$A$3:$A$50,0)),"")&lt;&gt;"",", "&amp;IFERROR(INDEX(Divisions!$I$3:$I$50,MATCH($E19,Divisions!$A$3:$A$50,0)),""),"")))</f>
        <v/>
      </c>
    </row>
    <row r="20">
      <c r="F20" s="5">
        <f>IFERROR(INDEX('Company MOA setup'!$B$3:$B$500,MATCH($A20,'Company MOA setup'!$A$3:$A$500,0)),"Division default")</f>
        <v/>
      </c>
      <c r="L20" s="5">
        <f>IF($E20="","",TRIM(IFERROR(INDEX(Divisions!$C$3:$C$50,MATCH($E20,Divisions!$A$3:$A$50,0)),"")&amp;IF(IFERROR(INDEX(Divisions!$E$3:$E$50,MATCH($E20,Divisions!$A$3:$A$50,0)),"")&lt;&gt;"",", "&amp;IFERROR(INDEX(Divisions!$E$3:$E$50,MATCH($E20,Divisions!$A$3:$A$50,0)),""),"")&amp;IF(IFERROR(INDEX(Divisions!$G$3:$G$50,MATCH($E20,Divisions!$A$3:$A$50,0)),"")&lt;&gt;"",", "&amp;IFERROR(INDEX(Divisions!$G$3:$G$50,MATCH($E20,Divisions!$A$3:$A$50,0)),""),"")&amp;IF(IFERROR(INDEX(Divisions!$I$3:$I$50,MATCH($E20,Divisions!$A$3:$A$50,0)),"")&lt;&gt;"",", "&amp;IFERROR(INDEX(Divisions!$I$3:$I$50,MATCH($E20,Divisions!$A$3:$A$50,0)),""),"")))</f>
        <v/>
      </c>
    </row>
    <row r="21">
      <c r="F21" s="5">
        <f>IFERROR(INDEX('Company MOA setup'!$B$3:$B$500,MATCH($A21,'Company MOA setup'!$A$3:$A$500,0)),"Division default")</f>
        <v/>
      </c>
      <c r="L21" s="5">
        <f>IF($E21="","",TRIM(IFERROR(INDEX(Divisions!$C$3:$C$50,MATCH($E21,Divisions!$A$3:$A$50,0)),"")&amp;IF(IFERROR(INDEX(Divisions!$E$3:$E$50,MATCH($E21,Divisions!$A$3:$A$50,0)),"")&lt;&gt;"",", "&amp;IFERROR(INDEX(Divisions!$E$3:$E$50,MATCH($E21,Divisions!$A$3:$A$50,0)),""),"")&amp;IF(IFERROR(INDEX(Divisions!$G$3:$G$50,MATCH($E21,Divisions!$A$3:$A$50,0)),"")&lt;&gt;"",", "&amp;IFERROR(INDEX(Divisions!$G$3:$G$50,MATCH($E21,Divisions!$A$3:$A$50,0)),""),"")&amp;IF(IFERROR(INDEX(Divisions!$I$3:$I$50,MATCH($E21,Divisions!$A$3:$A$50,0)),"")&lt;&gt;"",", "&amp;IFERROR(INDEX(Divisions!$I$3:$I$50,MATCH($E21,Divisions!$A$3:$A$50,0)),""),"")))</f>
        <v/>
      </c>
    </row>
    <row r="22">
      <c r="F22" s="5">
        <f>IFERROR(INDEX('Company MOA setup'!$B$3:$B$500,MATCH($A22,'Company MOA setup'!$A$3:$A$500,0)),"Division default")</f>
        <v/>
      </c>
      <c r="L22" s="5">
        <f>IF($E22="","",TRIM(IFERROR(INDEX(Divisions!$C$3:$C$50,MATCH($E22,Divisions!$A$3:$A$50,0)),"")&amp;IF(IFERROR(INDEX(Divisions!$E$3:$E$50,MATCH($E22,Divisions!$A$3:$A$50,0)),"")&lt;&gt;"",", "&amp;IFERROR(INDEX(Divisions!$E$3:$E$50,MATCH($E22,Divisions!$A$3:$A$50,0)),""),"")&amp;IF(IFERROR(INDEX(Divisions!$G$3:$G$50,MATCH($E22,Divisions!$A$3:$A$50,0)),"")&lt;&gt;"",", "&amp;IFERROR(INDEX(Divisions!$G$3:$G$50,MATCH($E22,Divisions!$A$3:$A$50,0)),""),"")&amp;IF(IFERROR(INDEX(Divisions!$I$3:$I$50,MATCH($E22,Divisions!$A$3:$A$50,0)),"")&lt;&gt;"",", "&amp;IFERROR(INDEX(Divisions!$I$3:$I$50,MATCH($E22,Divisions!$A$3:$A$50,0)),""),"")))</f>
        <v/>
      </c>
    </row>
    <row r="23">
      <c r="F23" s="5">
        <f>IFERROR(INDEX('Company MOA setup'!$B$3:$B$500,MATCH($A23,'Company MOA setup'!$A$3:$A$500,0)),"Division default")</f>
        <v/>
      </c>
      <c r="L23" s="5">
        <f>IF($E23="","",TRIM(IFERROR(INDEX(Divisions!$C$3:$C$50,MATCH($E23,Divisions!$A$3:$A$50,0)),"")&amp;IF(IFERROR(INDEX(Divisions!$E$3:$E$50,MATCH($E23,Divisions!$A$3:$A$50,0)),"")&lt;&gt;"",", "&amp;IFERROR(INDEX(Divisions!$E$3:$E$50,MATCH($E23,Divisions!$A$3:$A$50,0)),""),"")&amp;IF(IFERROR(INDEX(Divisions!$G$3:$G$50,MATCH($E23,Divisions!$A$3:$A$50,0)),"")&lt;&gt;"",", "&amp;IFERROR(INDEX(Divisions!$G$3:$G$50,MATCH($E23,Divisions!$A$3:$A$50,0)),""),"")&amp;IF(IFERROR(INDEX(Divisions!$I$3:$I$50,MATCH($E23,Divisions!$A$3:$A$50,0)),"")&lt;&gt;"",", "&amp;IFERROR(INDEX(Divisions!$I$3:$I$50,MATCH($E23,Divisions!$A$3:$A$50,0)),""),"")))</f>
        <v/>
      </c>
    </row>
    <row r="24">
      <c r="F24" s="5">
        <f>IFERROR(INDEX('Company MOA setup'!$B$3:$B$500,MATCH($A24,'Company MOA setup'!$A$3:$A$500,0)),"Division default")</f>
        <v/>
      </c>
      <c r="L24" s="5">
        <f>IF($E24="","",TRIM(IFERROR(INDEX(Divisions!$C$3:$C$50,MATCH($E24,Divisions!$A$3:$A$50,0)),"")&amp;IF(IFERROR(INDEX(Divisions!$E$3:$E$50,MATCH($E24,Divisions!$A$3:$A$50,0)),"")&lt;&gt;"",", "&amp;IFERROR(INDEX(Divisions!$E$3:$E$50,MATCH($E24,Divisions!$A$3:$A$50,0)),""),"")&amp;IF(IFERROR(INDEX(Divisions!$G$3:$G$50,MATCH($E24,Divisions!$A$3:$A$50,0)),"")&lt;&gt;"",", "&amp;IFERROR(INDEX(Divisions!$G$3:$G$50,MATCH($E24,Divisions!$A$3:$A$50,0)),""),"")&amp;IF(IFERROR(INDEX(Divisions!$I$3:$I$50,MATCH($E24,Divisions!$A$3:$A$50,0)),"")&lt;&gt;"",", "&amp;IFERROR(INDEX(Divisions!$I$3:$I$50,MATCH($E24,Divisions!$A$3:$A$50,0)),""),"")))</f>
        <v/>
      </c>
    </row>
    <row r="25">
      <c r="F25" s="5">
        <f>IFERROR(INDEX('Company MOA setup'!$B$3:$B$500,MATCH($A25,'Company MOA setup'!$A$3:$A$500,0)),"Division default")</f>
        <v/>
      </c>
      <c r="L25" s="5">
        <f>IF($E25="","",TRIM(IFERROR(INDEX(Divisions!$C$3:$C$50,MATCH($E25,Divisions!$A$3:$A$50,0)),"")&amp;IF(IFERROR(INDEX(Divisions!$E$3:$E$50,MATCH($E25,Divisions!$A$3:$A$50,0)),"")&lt;&gt;"",", "&amp;IFERROR(INDEX(Divisions!$E$3:$E$50,MATCH($E25,Divisions!$A$3:$A$50,0)),""),"")&amp;IF(IFERROR(INDEX(Divisions!$G$3:$G$50,MATCH($E25,Divisions!$A$3:$A$50,0)),"")&lt;&gt;"",", "&amp;IFERROR(INDEX(Divisions!$G$3:$G$50,MATCH($E25,Divisions!$A$3:$A$50,0)),""),"")&amp;IF(IFERROR(INDEX(Divisions!$I$3:$I$50,MATCH($E25,Divisions!$A$3:$A$50,0)),"")&lt;&gt;"",", "&amp;IFERROR(INDEX(Divisions!$I$3:$I$50,MATCH($E25,Divisions!$A$3:$A$50,0)),""),"")))</f>
        <v/>
      </c>
    </row>
    <row r="26">
      <c r="F26" s="5">
        <f>IFERROR(INDEX('Company MOA setup'!$B$3:$B$500,MATCH($A26,'Company MOA setup'!$A$3:$A$500,0)),"Division default")</f>
        <v/>
      </c>
      <c r="L26" s="5">
        <f>IF($E26="","",TRIM(IFERROR(INDEX(Divisions!$C$3:$C$50,MATCH($E26,Divisions!$A$3:$A$50,0)),"")&amp;IF(IFERROR(INDEX(Divisions!$E$3:$E$50,MATCH($E26,Divisions!$A$3:$A$50,0)),"")&lt;&gt;"",", "&amp;IFERROR(INDEX(Divisions!$E$3:$E$50,MATCH($E26,Divisions!$A$3:$A$50,0)),""),"")&amp;IF(IFERROR(INDEX(Divisions!$G$3:$G$50,MATCH($E26,Divisions!$A$3:$A$50,0)),"")&lt;&gt;"",", "&amp;IFERROR(INDEX(Divisions!$G$3:$G$50,MATCH($E26,Divisions!$A$3:$A$50,0)),""),"")&amp;IF(IFERROR(INDEX(Divisions!$I$3:$I$50,MATCH($E26,Divisions!$A$3:$A$50,0)),"")&lt;&gt;"",", "&amp;IFERROR(INDEX(Divisions!$I$3:$I$50,MATCH($E26,Divisions!$A$3:$A$50,0)),""),"")))</f>
        <v/>
      </c>
    </row>
    <row r="27">
      <c r="F27" s="5">
        <f>IFERROR(INDEX('Company MOA setup'!$B$3:$B$500,MATCH($A27,'Company MOA setup'!$A$3:$A$500,0)),"Division default")</f>
        <v/>
      </c>
      <c r="L27" s="5">
        <f>IF($E27="","",TRIM(IFERROR(INDEX(Divisions!$C$3:$C$50,MATCH($E27,Divisions!$A$3:$A$50,0)),"")&amp;IF(IFERROR(INDEX(Divisions!$E$3:$E$50,MATCH($E27,Divisions!$A$3:$A$50,0)),"")&lt;&gt;"",", "&amp;IFERROR(INDEX(Divisions!$E$3:$E$50,MATCH($E27,Divisions!$A$3:$A$50,0)),""),"")&amp;IF(IFERROR(INDEX(Divisions!$G$3:$G$50,MATCH($E27,Divisions!$A$3:$A$50,0)),"")&lt;&gt;"",", "&amp;IFERROR(INDEX(Divisions!$G$3:$G$50,MATCH($E27,Divisions!$A$3:$A$50,0)),""),"")&amp;IF(IFERROR(INDEX(Divisions!$I$3:$I$50,MATCH($E27,Divisions!$A$3:$A$50,0)),"")&lt;&gt;"",", "&amp;IFERROR(INDEX(Divisions!$I$3:$I$50,MATCH($E27,Divisions!$A$3:$A$50,0)),""),"")))</f>
        <v/>
      </c>
    </row>
    <row r="28">
      <c r="F28" s="5">
        <f>IFERROR(INDEX('Company MOA setup'!$B$3:$B$500,MATCH($A28,'Company MOA setup'!$A$3:$A$500,0)),"Division default")</f>
        <v/>
      </c>
      <c r="L28" s="5">
        <f>IF($E28="","",TRIM(IFERROR(INDEX(Divisions!$C$3:$C$50,MATCH($E28,Divisions!$A$3:$A$50,0)),"")&amp;IF(IFERROR(INDEX(Divisions!$E$3:$E$50,MATCH($E28,Divisions!$A$3:$A$50,0)),"")&lt;&gt;"",", "&amp;IFERROR(INDEX(Divisions!$E$3:$E$50,MATCH($E28,Divisions!$A$3:$A$50,0)),""),"")&amp;IF(IFERROR(INDEX(Divisions!$G$3:$G$50,MATCH($E28,Divisions!$A$3:$A$50,0)),"")&lt;&gt;"",", "&amp;IFERROR(INDEX(Divisions!$G$3:$G$50,MATCH($E28,Divisions!$A$3:$A$50,0)),""),"")&amp;IF(IFERROR(INDEX(Divisions!$I$3:$I$50,MATCH($E28,Divisions!$A$3:$A$50,0)),"")&lt;&gt;"",", "&amp;IFERROR(INDEX(Divisions!$I$3:$I$50,MATCH($E28,Divisions!$A$3:$A$50,0)),""),"")))</f>
        <v/>
      </c>
    </row>
    <row r="29">
      <c r="F29" s="5">
        <f>IFERROR(INDEX('Company MOA setup'!$B$3:$B$500,MATCH($A29,'Company MOA setup'!$A$3:$A$500,0)),"Division default")</f>
        <v/>
      </c>
      <c r="L29" s="5">
        <f>IF($E29="","",TRIM(IFERROR(INDEX(Divisions!$C$3:$C$50,MATCH($E29,Divisions!$A$3:$A$50,0)),"")&amp;IF(IFERROR(INDEX(Divisions!$E$3:$E$50,MATCH($E29,Divisions!$A$3:$A$50,0)),"")&lt;&gt;"",", "&amp;IFERROR(INDEX(Divisions!$E$3:$E$50,MATCH($E29,Divisions!$A$3:$A$50,0)),""),"")&amp;IF(IFERROR(INDEX(Divisions!$G$3:$G$50,MATCH($E29,Divisions!$A$3:$A$50,0)),"")&lt;&gt;"",", "&amp;IFERROR(INDEX(Divisions!$G$3:$G$50,MATCH($E29,Divisions!$A$3:$A$50,0)),""),"")&amp;IF(IFERROR(INDEX(Divisions!$I$3:$I$50,MATCH($E29,Divisions!$A$3:$A$50,0)),"")&lt;&gt;"",", "&amp;IFERROR(INDEX(Divisions!$I$3:$I$50,MATCH($E29,Divisions!$A$3:$A$50,0)),""),"")))</f>
        <v/>
      </c>
    </row>
    <row r="30">
      <c r="F30" s="5">
        <f>IFERROR(INDEX('Company MOA setup'!$B$3:$B$500,MATCH($A30,'Company MOA setup'!$A$3:$A$500,0)),"Division default")</f>
        <v/>
      </c>
      <c r="L30" s="5">
        <f>IF($E30="","",TRIM(IFERROR(INDEX(Divisions!$C$3:$C$50,MATCH($E30,Divisions!$A$3:$A$50,0)),"")&amp;IF(IFERROR(INDEX(Divisions!$E$3:$E$50,MATCH($E30,Divisions!$A$3:$A$50,0)),"")&lt;&gt;"",", "&amp;IFERROR(INDEX(Divisions!$E$3:$E$50,MATCH($E30,Divisions!$A$3:$A$50,0)),""),"")&amp;IF(IFERROR(INDEX(Divisions!$G$3:$G$50,MATCH($E30,Divisions!$A$3:$A$50,0)),"")&lt;&gt;"",", "&amp;IFERROR(INDEX(Divisions!$G$3:$G$50,MATCH($E30,Divisions!$A$3:$A$50,0)),""),"")&amp;IF(IFERROR(INDEX(Divisions!$I$3:$I$50,MATCH($E30,Divisions!$A$3:$A$50,0)),"")&lt;&gt;"",", "&amp;IFERROR(INDEX(Divisions!$I$3:$I$50,MATCH($E30,Divisions!$A$3:$A$50,0)),""),"")))</f>
        <v/>
      </c>
    </row>
    <row r="31">
      <c r="F31" s="5">
        <f>IFERROR(INDEX('Company MOA setup'!$B$3:$B$500,MATCH($A31,'Company MOA setup'!$A$3:$A$500,0)),"Division default")</f>
        <v/>
      </c>
      <c r="L31" s="5">
        <f>IF($E31="","",TRIM(IFERROR(INDEX(Divisions!$C$3:$C$50,MATCH($E31,Divisions!$A$3:$A$50,0)),"")&amp;IF(IFERROR(INDEX(Divisions!$E$3:$E$50,MATCH($E31,Divisions!$A$3:$A$50,0)),"")&lt;&gt;"",", "&amp;IFERROR(INDEX(Divisions!$E$3:$E$50,MATCH($E31,Divisions!$A$3:$A$50,0)),""),"")&amp;IF(IFERROR(INDEX(Divisions!$G$3:$G$50,MATCH($E31,Divisions!$A$3:$A$50,0)),"")&lt;&gt;"",", "&amp;IFERROR(INDEX(Divisions!$G$3:$G$50,MATCH($E31,Divisions!$A$3:$A$50,0)),""),"")&amp;IF(IFERROR(INDEX(Divisions!$I$3:$I$50,MATCH($E31,Divisions!$A$3:$A$50,0)),"")&lt;&gt;"",", "&amp;IFERROR(INDEX(Divisions!$I$3:$I$50,MATCH($E31,Divisions!$A$3:$A$50,0)),""),"")))</f>
        <v/>
      </c>
    </row>
    <row r="32">
      <c r="F32" s="5">
        <f>IFERROR(INDEX('Company MOA setup'!$B$3:$B$500,MATCH($A32,'Company MOA setup'!$A$3:$A$500,0)),"Division default")</f>
        <v/>
      </c>
      <c r="L32" s="5">
        <f>IF($E32="","",TRIM(IFERROR(INDEX(Divisions!$C$3:$C$50,MATCH($E32,Divisions!$A$3:$A$50,0)),"")&amp;IF(IFERROR(INDEX(Divisions!$E$3:$E$50,MATCH($E32,Divisions!$A$3:$A$50,0)),"")&lt;&gt;"",", "&amp;IFERROR(INDEX(Divisions!$E$3:$E$50,MATCH($E32,Divisions!$A$3:$A$50,0)),""),"")&amp;IF(IFERROR(INDEX(Divisions!$G$3:$G$50,MATCH($E32,Divisions!$A$3:$A$50,0)),"")&lt;&gt;"",", "&amp;IFERROR(INDEX(Divisions!$G$3:$G$50,MATCH($E32,Divisions!$A$3:$A$50,0)),""),"")&amp;IF(IFERROR(INDEX(Divisions!$I$3:$I$50,MATCH($E32,Divisions!$A$3:$A$50,0)),"")&lt;&gt;"",", "&amp;IFERROR(INDEX(Divisions!$I$3:$I$50,MATCH($E32,Divisions!$A$3:$A$50,0)),""),"")))</f>
        <v/>
      </c>
    </row>
    <row r="33">
      <c r="F33" s="5">
        <f>IFERROR(INDEX('Company MOA setup'!$B$3:$B$500,MATCH($A33,'Company MOA setup'!$A$3:$A$500,0)),"Division default")</f>
        <v/>
      </c>
      <c r="L33" s="5">
        <f>IF($E33="","",TRIM(IFERROR(INDEX(Divisions!$C$3:$C$50,MATCH($E33,Divisions!$A$3:$A$50,0)),"")&amp;IF(IFERROR(INDEX(Divisions!$E$3:$E$50,MATCH($E33,Divisions!$A$3:$A$50,0)),"")&lt;&gt;"",", "&amp;IFERROR(INDEX(Divisions!$E$3:$E$50,MATCH($E33,Divisions!$A$3:$A$50,0)),""),"")&amp;IF(IFERROR(INDEX(Divisions!$G$3:$G$50,MATCH($E33,Divisions!$A$3:$A$50,0)),"")&lt;&gt;"",", "&amp;IFERROR(INDEX(Divisions!$G$3:$G$50,MATCH($E33,Divisions!$A$3:$A$50,0)),""),"")&amp;IF(IFERROR(INDEX(Divisions!$I$3:$I$50,MATCH($E33,Divisions!$A$3:$A$50,0)),"")&lt;&gt;"",", "&amp;IFERROR(INDEX(Divisions!$I$3:$I$50,MATCH($E33,Divisions!$A$3:$A$50,0)),""),"")))</f>
        <v/>
      </c>
    </row>
    <row r="34">
      <c r="F34" s="5">
        <f>IFERROR(INDEX('Company MOA setup'!$B$3:$B$500,MATCH($A34,'Company MOA setup'!$A$3:$A$500,0)),"Division default")</f>
        <v/>
      </c>
      <c r="L34" s="5">
        <f>IF($E34="","",TRIM(IFERROR(INDEX(Divisions!$C$3:$C$50,MATCH($E34,Divisions!$A$3:$A$50,0)),"")&amp;IF(IFERROR(INDEX(Divisions!$E$3:$E$50,MATCH($E34,Divisions!$A$3:$A$50,0)),"")&lt;&gt;"",", "&amp;IFERROR(INDEX(Divisions!$E$3:$E$50,MATCH($E34,Divisions!$A$3:$A$50,0)),""),"")&amp;IF(IFERROR(INDEX(Divisions!$G$3:$G$50,MATCH($E34,Divisions!$A$3:$A$50,0)),"")&lt;&gt;"",", "&amp;IFERROR(INDEX(Divisions!$G$3:$G$50,MATCH($E34,Divisions!$A$3:$A$50,0)),""),"")&amp;IF(IFERROR(INDEX(Divisions!$I$3:$I$50,MATCH($E34,Divisions!$A$3:$A$50,0)),"")&lt;&gt;"",", "&amp;IFERROR(INDEX(Divisions!$I$3:$I$50,MATCH($E34,Divisions!$A$3:$A$50,0)),""),"")))</f>
        <v/>
      </c>
    </row>
    <row r="35">
      <c r="F35" s="5">
        <f>IFERROR(INDEX('Company MOA setup'!$B$3:$B$500,MATCH($A35,'Company MOA setup'!$A$3:$A$500,0)),"Division default")</f>
        <v/>
      </c>
      <c r="L35" s="5">
        <f>IF($E35="","",TRIM(IFERROR(INDEX(Divisions!$C$3:$C$50,MATCH($E35,Divisions!$A$3:$A$50,0)),"")&amp;IF(IFERROR(INDEX(Divisions!$E$3:$E$50,MATCH($E35,Divisions!$A$3:$A$50,0)),"")&lt;&gt;"",", "&amp;IFERROR(INDEX(Divisions!$E$3:$E$50,MATCH($E35,Divisions!$A$3:$A$50,0)),""),"")&amp;IF(IFERROR(INDEX(Divisions!$G$3:$G$50,MATCH($E35,Divisions!$A$3:$A$50,0)),"")&lt;&gt;"",", "&amp;IFERROR(INDEX(Divisions!$G$3:$G$50,MATCH($E35,Divisions!$A$3:$A$50,0)),""),"")&amp;IF(IFERROR(INDEX(Divisions!$I$3:$I$50,MATCH($E35,Divisions!$A$3:$A$50,0)),"")&lt;&gt;"",", "&amp;IFERROR(INDEX(Divisions!$I$3:$I$50,MATCH($E35,Divisions!$A$3:$A$50,0)),""),"")))</f>
        <v/>
      </c>
    </row>
    <row r="36">
      <c r="F36" s="5">
        <f>IFERROR(INDEX('Company MOA setup'!$B$3:$B$500,MATCH($A36,'Company MOA setup'!$A$3:$A$500,0)),"Division default")</f>
        <v/>
      </c>
      <c r="L36" s="5">
        <f>IF($E36="","",TRIM(IFERROR(INDEX(Divisions!$C$3:$C$50,MATCH($E36,Divisions!$A$3:$A$50,0)),"")&amp;IF(IFERROR(INDEX(Divisions!$E$3:$E$50,MATCH($E36,Divisions!$A$3:$A$50,0)),"")&lt;&gt;"",", "&amp;IFERROR(INDEX(Divisions!$E$3:$E$50,MATCH($E36,Divisions!$A$3:$A$50,0)),""),"")&amp;IF(IFERROR(INDEX(Divisions!$G$3:$G$50,MATCH($E36,Divisions!$A$3:$A$50,0)),"")&lt;&gt;"",", "&amp;IFERROR(INDEX(Divisions!$G$3:$G$50,MATCH($E36,Divisions!$A$3:$A$50,0)),""),"")&amp;IF(IFERROR(INDEX(Divisions!$I$3:$I$50,MATCH($E36,Divisions!$A$3:$A$50,0)),"")&lt;&gt;"",", "&amp;IFERROR(INDEX(Divisions!$I$3:$I$50,MATCH($E36,Divisions!$A$3:$A$50,0)),""),"")))</f>
        <v/>
      </c>
    </row>
    <row r="37">
      <c r="F37" s="5">
        <f>IFERROR(INDEX('Company MOA setup'!$B$3:$B$500,MATCH($A37,'Company MOA setup'!$A$3:$A$500,0)),"Division default")</f>
        <v/>
      </c>
      <c r="L37" s="5">
        <f>IF($E37="","",TRIM(IFERROR(INDEX(Divisions!$C$3:$C$50,MATCH($E37,Divisions!$A$3:$A$50,0)),"")&amp;IF(IFERROR(INDEX(Divisions!$E$3:$E$50,MATCH($E37,Divisions!$A$3:$A$50,0)),"")&lt;&gt;"",", "&amp;IFERROR(INDEX(Divisions!$E$3:$E$50,MATCH($E37,Divisions!$A$3:$A$50,0)),""),"")&amp;IF(IFERROR(INDEX(Divisions!$G$3:$G$50,MATCH($E37,Divisions!$A$3:$A$50,0)),"")&lt;&gt;"",", "&amp;IFERROR(INDEX(Divisions!$G$3:$G$50,MATCH($E37,Divisions!$A$3:$A$50,0)),""),"")&amp;IF(IFERROR(INDEX(Divisions!$I$3:$I$50,MATCH($E37,Divisions!$A$3:$A$50,0)),"")&lt;&gt;"",", "&amp;IFERROR(INDEX(Divisions!$I$3:$I$50,MATCH($E37,Divisions!$A$3:$A$50,0)),""),"")))</f>
        <v/>
      </c>
    </row>
    <row r="38">
      <c r="F38" s="5">
        <f>IFERROR(INDEX('Company MOA setup'!$B$3:$B$500,MATCH($A38,'Company MOA setup'!$A$3:$A$500,0)),"Division default")</f>
        <v/>
      </c>
      <c r="L38" s="5">
        <f>IF($E38="","",TRIM(IFERROR(INDEX(Divisions!$C$3:$C$50,MATCH($E38,Divisions!$A$3:$A$50,0)),"")&amp;IF(IFERROR(INDEX(Divisions!$E$3:$E$50,MATCH($E38,Divisions!$A$3:$A$50,0)),"")&lt;&gt;"",", "&amp;IFERROR(INDEX(Divisions!$E$3:$E$50,MATCH($E38,Divisions!$A$3:$A$50,0)),""),"")&amp;IF(IFERROR(INDEX(Divisions!$G$3:$G$50,MATCH($E38,Divisions!$A$3:$A$50,0)),"")&lt;&gt;"",", "&amp;IFERROR(INDEX(Divisions!$G$3:$G$50,MATCH($E38,Divisions!$A$3:$A$50,0)),""),"")&amp;IF(IFERROR(INDEX(Divisions!$I$3:$I$50,MATCH($E38,Divisions!$A$3:$A$50,0)),"")&lt;&gt;"",", "&amp;IFERROR(INDEX(Divisions!$I$3:$I$50,MATCH($E38,Divisions!$A$3:$A$50,0)),""),"")))</f>
        <v/>
      </c>
    </row>
    <row r="39">
      <c r="F39" s="5">
        <f>IFERROR(INDEX('Company MOA setup'!$B$3:$B$500,MATCH($A39,'Company MOA setup'!$A$3:$A$500,0)),"Division default")</f>
        <v/>
      </c>
      <c r="L39" s="5">
        <f>IF($E39="","",TRIM(IFERROR(INDEX(Divisions!$C$3:$C$50,MATCH($E39,Divisions!$A$3:$A$50,0)),"")&amp;IF(IFERROR(INDEX(Divisions!$E$3:$E$50,MATCH($E39,Divisions!$A$3:$A$50,0)),"")&lt;&gt;"",", "&amp;IFERROR(INDEX(Divisions!$E$3:$E$50,MATCH($E39,Divisions!$A$3:$A$50,0)),""),"")&amp;IF(IFERROR(INDEX(Divisions!$G$3:$G$50,MATCH($E39,Divisions!$A$3:$A$50,0)),"")&lt;&gt;"",", "&amp;IFERROR(INDEX(Divisions!$G$3:$G$50,MATCH($E39,Divisions!$A$3:$A$50,0)),""),"")&amp;IF(IFERROR(INDEX(Divisions!$I$3:$I$50,MATCH($E39,Divisions!$A$3:$A$50,0)),"")&lt;&gt;"",", "&amp;IFERROR(INDEX(Divisions!$I$3:$I$50,MATCH($E39,Divisions!$A$3:$A$50,0)),""),"")))</f>
        <v/>
      </c>
    </row>
    <row r="40">
      <c r="F40" s="5">
        <f>IFERROR(INDEX('Company MOA setup'!$B$3:$B$500,MATCH($A40,'Company MOA setup'!$A$3:$A$500,0)),"Division default")</f>
        <v/>
      </c>
      <c r="L40" s="5">
        <f>IF($E40="","",TRIM(IFERROR(INDEX(Divisions!$C$3:$C$50,MATCH($E40,Divisions!$A$3:$A$50,0)),"")&amp;IF(IFERROR(INDEX(Divisions!$E$3:$E$50,MATCH($E40,Divisions!$A$3:$A$50,0)),"")&lt;&gt;"",", "&amp;IFERROR(INDEX(Divisions!$E$3:$E$50,MATCH($E40,Divisions!$A$3:$A$50,0)),""),"")&amp;IF(IFERROR(INDEX(Divisions!$G$3:$G$50,MATCH($E40,Divisions!$A$3:$A$50,0)),"")&lt;&gt;"",", "&amp;IFERROR(INDEX(Divisions!$G$3:$G$50,MATCH($E40,Divisions!$A$3:$A$50,0)),""),"")&amp;IF(IFERROR(INDEX(Divisions!$I$3:$I$50,MATCH($E40,Divisions!$A$3:$A$50,0)),"")&lt;&gt;"",", "&amp;IFERROR(INDEX(Divisions!$I$3:$I$50,MATCH($E40,Divisions!$A$3:$A$50,0)),""),"")))</f>
        <v/>
      </c>
    </row>
    <row r="41">
      <c r="F41" s="5">
        <f>IFERROR(INDEX('Company MOA setup'!$B$3:$B$500,MATCH($A41,'Company MOA setup'!$A$3:$A$500,0)),"Division default")</f>
        <v/>
      </c>
      <c r="L41" s="5">
        <f>IF($E41="","",TRIM(IFERROR(INDEX(Divisions!$C$3:$C$50,MATCH($E41,Divisions!$A$3:$A$50,0)),"")&amp;IF(IFERROR(INDEX(Divisions!$E$3:$E$50,MATCH($E41,Divisions!$A$3:$A$50,0)),"")&lt;&gt;"",", "&amp;IFERROR(INDEX(Divisions!$E$3:$E$50,MATCH($E41,Divisions!$A$3:$A$50,0)),""),"")&amp;IF(IFERROR(INDEX(Divisions!$G$3:$G$50,MATCH($E41,Divisions!$A$3:$A$50,0)),"")&lt;&gt;"",", "&amp;IFERROR(INDEX(Divisions!$G$3:$G$50,MATCH($E41,Divisions!$A$3:$A$50,0)),""),"")&amp;IF(IFERROR(INDEX(Divisions!$I$3:$I$50,MATCH($E41,Divisions!$A$3:$A$50,0)),"")&lt;&gt;"",", "&amp;IFERROR(INDEX(Divisions!$I$3:$I$50,MATCH($E41,Divisions!$A$3:$A$50,0)),""),"")))</f>
        <v/>
      </c>
    </row>
    <row r="42">
      <c r="F42" s="5">
        <f>IFERROR(INDEX('Company MOA setup'!$B$3:$B$500,MATCH($A42,'Company MOA setup'!$A$3:$A$500,0)),"Division default")</f>
        <v/>
      </c>
      <c r="L42" s="5">
        <f>IF($E42="","",TRIM(IFERROR(INDEX(Divisions!$C$3:$C$50,MATCH($E42,Divisions!$A$3:$A$50,0)),"")&amp;IF(IFERROR(INDEX(Divisions!$E$3:$E$50,MATCH($E42,Divisions!$A$3:$A$50,0)),"")&lt;&gt;"",", "&amp;IFERROR(INDEX(Divisions!$E$3:$E$50,MATCH($E42,Divisions!$A$3:$A$50,0)),""),"")&amp;IF(IFERROR(INDEX(Divisions!$G$3:$G$50,MATCH($E42,Divisions!$A$3:$A$50,0)),"")&lt;&gt;"",", "&amp;IFERROR(INDEX(Divisions!$G$3:$G$50,MATCH($E42,Divisions!$A$3:$A$50,0)),""),"")&amp;IF(IFERROR(INDEX(Divisions!$I$3:$I$50,MATCH($E42,Divisions!$A$3:$A$50,0)),"")&lt;&gt;"",", "&amp;IFERROR(INDEX(Divisions!$I$3:$I$50,MATCH($E42,Divisions!$A$3:$A$50,0)),""),"")))</f>
        <v/>
      </c>
    </row>
    <row r="43">
      <c r="F43" s="5">
        <f>IFERROR(INDEX('Company MOA setup'!$B$3:$B$500,MATCH($A43,'Company MOA setup'!$A$3:$A$500,0)),"Division default")</f>
        <v/>
      </c>
      <c r="L43" s="5">
        <f>IF($E43="","",TRIM(IFERROR(INDEX(Divisions!$C$3:$C$50,MATCH($E43,Divisions!$A$3:$A$50,0)),"")&amp;IF(IFERROR(INDEX(Divisions!$E$3:$E$50,MATCH($E43,Divisions!$A$3:$A$50,0)),"")&lt;&gt;"",", "&amp;IFERROR(INDEX(Divisions!$E$3:$E$50,MATCH($E43,Divisions!$A$3:$A$50,0)),""),"")&amp;IF(IFERROR(INDEX(Divisions!$G$3:$G$50,MATCH($E43,Divisions!$A$3:$A$50,0)),"")&lt;&gt;"",", "&amp;IFERROR(INDEX(Divisions!$G$3:$G$50,MATCH($E43,Divisions!$A$3:$A$50,0)),""),"")&amp;IF(IFERROR(INDEX(Divisions!$I$3:$I$50,MATCH($E43,Divisions!$A$3:$A$50,0)),"")&lt;&gt;"",", "&amp;IFERROR(INDEX(Divisions!$I$3:$I$50,MATCH($E43,Divisions!$A$3:$A$50,0)),""),"")))</f>
        <v/>
      </c>
    </row>
    <row r="44">
      <c r="F44" s="5">
        <f>IFERROR(INDEX('Company MOA setup'!$B$3:$B$500,MATCH($A44,'Company MOA setup'!$A$3:$A$500,0)),"Division default")</f>
        <v/>
      </c>
      <c r="L44" s="5">
        <f>IF($E44="","",TRIM(IFERROR(INDEX(Divisions!$C$3:$C$50,MATCH($E44,Divisions!$A$3:$A$50,0)),"")&amp;IF(IFERROR(INDEX(Divisions!$E$3:$E$50,MATCH($E44,Divisions!$A$3:$A$50,0)),"")&lt;&gt;"",", "&amp;IFERROR(INDEX(Divisions!$E$3:$E$50,MATCH($E44,Divisions!$A$3:$A$50,0)),""),"")&amp;IF(IFERROR(INDEX(Divisions!$G$3:$G$50,MATCH($E44,Divisions!$A$3:$A$50,0)),"")&lt;&gt;"",", "&amp;IFERROR(INDEX(Divisions!$G$3:$G$50,MATCH($E44,Divisions!$A$3:$A$50,0)),""),"")&amp;IF(IFERROR(INDEX(Divisions!$I$3:$I$50,MATCH($E44,Divisions!$A$3:$A$50,0)),"")&lt;&gt;"",", "&amp;IFERROR(INDEX(Divisions!$I$3:$I$50,MATCH($E44,Divisions!$A$3:$A$50,0)),""),"")))</f>
        <v/>
      </c>
    </row>
    <row r="45">
      <c r="F45" s="5">
        <f>IFERROR(INDEX('Company MOA setup'!$B$3:$B$500,MATCH($A45,'Company MOA setup'!$A$3:$A$500,0)),"Division default")</f>
        <v/>
      </c>
      <c r="L45" s="5">
        <f>IF($E45="","",TRIM(IFERROR(INDEX(Divisions!$C$3:$C$50,MATCH($E45,Divisions!$A$3:$A$50,0)),"")&amp;IF(IFERROR(INDEX(Divisions!$E$3:$E$50,MATCH($E45,Divisions!$A$3:$A$50,0)),"")&lt;&gt;"",", "&amp;IFERROR(INDEX(Divisions!$E$3:$E$50,MATCH($E45,Divisions!$A$3:$A$50,0)),""),"")&amp;IF(IFERROR(INDEX(Divisions!$G$3:$G$50,MATCH($E45,Divisions!$A$3:$A$50,0)),"")&lt;&gt;"",", "&amp;IFERROR(INDEX(Divisions!$G$3:$G$50,MATCH($E45,Divisions!$A$3:$A$50,0)),""),"")&amp;IF(IFERROR(INDEX(Divisions!$I$3:$I$50,MATCH($E45,Divisions!$A$3:$A$50,0)),"")&lt;&gt;"",", "&amp;IFERROR(INDEX(Divisions!$I$3:$I$50,MATCH($E45,Divisions!$A$3:$A$50,0)),""),"")))</f>
        <v/>
      </c>
    </row>
    <row r="46">
      <c r="F46" s="5">
        <f>IFERROR(INDEX('Company MOA setup'!$B$3:$B$500,MATCH($A46,'Company MOA setup'!$A$3:$A$500,0)),"Division default")</f>
        <v/>
      </c>
      <c r="L46" s="5">
        <f>IF($E46="","",TRIM(IFERROR(INDEX(Divisions!$C$3:$C$50,MATCH($E46,Divisions!$A$3:$A$50,0)),"")&amp;IF(IFERROR(INDEX(Divisions!$E$3:$E$50,MATCH($E46,Divisions!$A$3:$A$50,0)),"")&lt;&gt;"",", "&amp;IFERROR(INDEX(Divisions!$E$3:$E$50,MATCH($E46,Divisions!$A$3:$A$50,0)),""),"")&amp;IF(IFERROR(INDEX(Divisions!$G$3:$G$50,MATCH($E46,Divisions!$A$3:$A$50,0)),"")&lt;&gt;"",", "&amp;IFERROR(INDEX(Divisions!$G$3:$G$50,MATCH($E46,Divisions!$A$3:$A$50,0)),""),"")&amp;IF(IFERROR(INDEX(Divisions!$I$3:$I$50,MATCH($E46,Divisions!$A$3:$A$50,0)),"")&lt;&gt;"",", "&amp;IFERROR(INDEX(Divisions!$I$3:$I$50,MATCH($E46,Divisions!$A$3:$A$50,0)),""),"")))</f>
        <v/>
      </c>
    </row>
    <row r="47">
      <c r="F47" s="5">
        <f>IFERROR(INDEX('Company MOA setup'!$B$3:$B$500,MATCH($A47,'Company MOA setup'!$A$3:$A$500,0)),"Division default")</f>
        <v/>
      </c>
      <c r="L47" s="5">
        <f>IF($E47="","",TRIM(IFERROR(INDEX(Divisions!$C$3:$C$50,MATCH($E47,Divisions!$A$3:$A$50,0)),"")&amp;IF(IFERROR(INDEX(Divisions!$E$3:$E$50,MATCH($E47,Divisions!$A$3:$A$50,0)),"")&lt;&gt;"",", "&amp;IFERROR(INDEX(Divisions!$E$3:$E$50,MATCH($E47,Divisions!$A$3:$A$50,0)),""),"")&amp;IF(IFERROR(INDEX(Divisions!$G$3:$G$50,MATCH($E47,Divisions!$A$3:$A$50,0)),"")&lt;&gt;"",", "&amp;IFERROR(INDEX(Divisions!$G$3:$G$50,MATCH($E47,Divisions!$A$3:$A$50,0)),""),"")&amp;IF(IFERROR(INDEX(Divisions!$I$3:$I$50,MATCH($E47,Divisions!$A$3:$A$50,0)),"")&lt;&gt;"",", "&amp;IFERROR(INDEX(Divisions!$I$3:$I$50,MATCH($E47,Divisions!$A$3:$A$50,0)),""),"")))</f>
        <v/>
      </c>
    </row>
    <row r="48">
      <c r="F48" s="5">
        <f>IFERROR(INDEX('Company MOA setup'!$B$3:$B$500,MATCH($A48,'Company MOA setup'!$A$3:$A$500,0)),"Division default")</f>
        <v/>
      </c>
      <c r="L48" s="5">
        <f>IF($E48="","",TRIM(IFERROR(INDEX(Divisions!$C$3:$C$50,MATCH($E48,Divisions!$A$3:$A$50,0)),"")&amp;IF(IFERROR(INDEX(Divisions!$E$3:$E$50,MATCH($E48,Divisions!$A$3:$A$50,0)),"")&lt;&gt;"",", "&amp;IFERROR(INDEX(Divisions!$E$3:$E$50,MATCH($E48,Divisions!$A$3:$A$50,0)),""),"")&amp;IF(IFERROR(INDEX(Divisions!$G$3:$G$50,MATCH($E48,Divisions!$A$3:$A$50,0)),"")&lt;&gt;"",", "&amp;IFERROR(INDEX(Divisions!$G$3:$G$50,MATCH($E48,Divisions!$A$3:$A$50,0)),""),"")&amp;IF(IFERROR(INDEX(Divisions!$I$3:$I$50,MATCH($E48,Divisions!$A$3:$A$50,0)),"")&lt;&gt;"",", "&amp;IFERROR(INDEX(Divisions!$I$3:$I$50,MATCH($E48,Divisions!$A$3:$A$50,0)),""),"")))</f>
        <v/>
      </c>
    </row>
    <row r="49">
      <c r="F49" s="5">
        <f>IFERROR(INDEX('Company MOA setup'!$B$3:$B$500,MATCH($A49,'Company MOA setup'!$A$3:$A$500,0)),"Division default")</f>
        <v/>
      </c>
      <c r="L49" s="5">
        <f>IF($E49="","",TRIM(IFERROR(INDEX(Divisions!$C$3:$C$50,MATCH($E49,Divisions!$A$3:$A$50,0)),"")&amp;IF(IFERROR(INDEX(Divisions!$E$3:$E$50,MATCH($E49,Divisions!$A$3:$A$50,0)),"")&lt;&gt;"",", "&amp;IFERROR(INDEX(Divisions!$E$3:$E$50,MATCH($E49,Divisions!$A$3:$A$50,0)),""),"")&amp;IF(IFERROR(INDEX(Divisions!$G$3:$G$50,MATCH($E49,Divisions!$A$3:$A$50,0)),"")&lt;&gt;"",", "&amp;IFERROR(INDEX(Divisions!$G$3:$G$50,MATCH($E49,Divisions!$A$3:$A$50,0)),""),"")&amp;IF(IFERROR(INDEX(Divisions!$I$3:$I$50,MATCH($E49,Divisions!$A$3:$A$50,0)),"")&lt;&gt;"",", "&amp;IFERROR(INDEX(Divisions!$I$3:$I$50,MATCH($E49,Divisions!$A$3:$A$50,0)),""),"")))</f>
        <v/>
      </c>
    </row>
    <row r="50">
      <c r="F50" s="5">
        <f>IFERROR(INDEX('Company MOA setup'!$B$3:$B$500,MATCH($A50,'Company MOA setup'!$A$3:$A$500,0)),"Division default")</f>
        <v/>
      </c>
      <c r="L50" s="5">
        <f>IF($E50="","",TRIM(IFERROR(INDEX(Divisions!$C$3:$C$50,MATCH($E50,Divisions!$A$3:$A$50,0)),"")&amp;IF(IFERROR(INDEX(Divisions!$E$3:$E$50,MATCH($E50,Divisions!$A$3:$A$50,0)),"")&lt;&gt;"",", "&amp;IFERROR(INDEX(Divisions!$E$3:$E$50,MATCH($E50,Divisions!$A$3:$A$50,0)),""),"")&amp;IF(IFERROR(INDEX(Divisions!$G$3:$G$50,MATCH($E50,Divisions!$A$3:$A$50,0)),"")&lt;&gt;"",", "&amp;IFERROR(INDEX(Divisions!$G$3:$G$50,MATCH($E50,Divisions!$A$3:$A$50,0)),""),"")&amp;IF(IFERROR(INDEX(Divisions!$I$3:$I$50,MATCH($E50,Divisions!$A$3:$A$50,0)),"")&lt;&gt;"",", "&amp;IFERROR(INDEX(Divisions!$I$3:$I$50,MATCH($E50,Divisions!$A$3:$A$50,0)),""),"")))</f>
        <v/>
      </c>
    </row>
    <row r="51">
      <c r="F51" s="5">
        <f>IFERROR(INDEX('Company MOA setup'!$B$3:$B$500,MATCH($A51,'Company MOA setup'!$A$3:$A$500,0)),"Division default")</f>
        <v/>
      </c>
      <c r="L51" s="5">
        <f>IF($E51="","",TRIM(IFERROR(INDEX(Divisions!$C$3:$C$50,MATCH($E51,Divisions!$A$3:$A$50,0)),"")&amp;IF(IFERROR(INDEX(Divisions!$E$3:$E$50,MATCH($E51,Divisions!$A$3:$A$50,0)),"")&lt;&gt;"",", "&amp;IFERROR(INDEX(Divisions!$E$3:$E$50,MATCH($E51,Divisions!$A$3:$A$50,0)),""),"")&amp;IF(IFERROR(INDEX(Divisions!$G$3:$G$50,MATCH($E51,Divisions!$A$3:$A$50,0)),"")&lt;&gt;"",", "&amp;IFERROR(INDEX(Divisions!$G$3:$G$50,MATCH($E51,Divisions!$A$3:$A$50,0)),""),"")&amp;IF(IFERROR(INDEX(Divisions!$I$3:$I$50,MATCH($E51,Divisions!$A$3:$A$50,0)),"")&lt;&gt;"",", "&amp;IFERROR(INDEX(Divisions!$I$3:$I$50,MATCH($E51,Divisions!$A$3:$A$50,0)),""),"")))</f>
        <v/>
      </c>
    </row>
    <row r="52">
      <c r="F52" s="5">
        <f>IFERROR(INDEX('Company MOA setup'!$B$3:$B$500,MATCH($A52,'Company MOA setup'!$A$3:$A$500,0)),"Division default")</f>
        <v/>
      </c>
      <c r="L52" s="5">
        <f>IF($E52="","",TRIM(IFERROR(INDEX(Divisions!$C$3:$C$50,MATCH($E52,Divisions!$A$3:$A$50,0)),"")&amp;IF(IFERROR(INDEX(Divisions!$E$3:$E$50,MATCH($E52,Divisions!$A$3:$A$50,0)),"")&lt;&gt;"",", "&amp;IFERROR(INDEX(Divisions!$E$3:$E$50,MATCH($E52,Divisions!$A$3:$A$50,0)),""),"")&amp;IF(IFERROR(INDEX(Divisions!$G$3:$G$50,MATCH($E52,Divisions!$A$3:$A$50,0)),"")&lt;&gt;"",", "&amp;IFERROR(INDEX(Divisions!$G$3:$G$50,MATCH($E52,Divisions!$A$3:$A$50,0)),""),"")&amp;IF(IFERROR(INDEX(Divisions!$I$3:$I$50,MATCH($E52,Divisions!$A$3:$A$50,0)),"")&lt;&gt;"",", "&amp;IFERROR(INDEX(Divisions!$I$3:$I$50,MATCH($E52,Divisions!$A$3:$A$50,0)),""),"")))</f>
        <v/>
      </c>
    </row>
    <row r="53">
      <c r="F53" s="5">
        <f>IFERROR(INDEX('Company MOA setup'!$B$3:$B$500,MATCH($A53,'Company MOA setup'!$A$3:$A$500,0)),"Division default")</f>
        <v/>
      </c>
      <c r="L53" s="5">
        <f>IF($E53="","",TRIM(IFERROR(INDEX(Divisions!$C$3:$C$50,MATCH($E53,Divisions!$A$3:$A$50,0)),"")&amp;IF(IFERROR(INDEX(Divisions!$E$3:$E$50,MATCH($E53,Divisions!$A$3:$A$50,0)),"")&lt;&gt;"",", "&amp;IFERROR(INDEX(Divisions!$E$3:$E$50,MATCH($E53,Divisions!$A$3:$A$50,0)),""),"")&amp;IF(IFERROR(INDEX(Divisions!$G$3:$G$50,MATCH($E53,Divisions!$A$3:$A$50,0)),"")&lt;&gt;"",", "&amp;IFERROR(INDEX(Divisions!$G$3:$G$50,MATCH($E53,Divisions!$A$3:$A$50,0)),""),"")&amp;IF(IFERROR(INDEX(Divisions!$I$3:$I$50,MATCH($E53,Divisions!$A$3:$A$50,0)),"")&lt;&gt;"",", "&amp;IFERROR(INDEX(Divisions!$I$3:$I$50,MATCH($E53,Divisions!$A$3:$A$50,0)),""),"")))</f>
        <v/>
      </c>
    </row>
    <row r="54">
      <c r="F54" s="5">
        <f>IFERROR(INDEX('Company MOA setup'!$B$3:$B$500,MATCH($A54,'Company MOA setup'!$A$3:$A$500,0)),"Division default")</f>
        <v/>
      </c>
      <c r="L54" s="5">
        <f>IF($E54="","",TRIM(IFERROR(INDEX(Divisions!$C$3:$C$50,MATCH($E54,Divisions!$A$3:$A$50,0)),"")&amp;IF(IFERROR(INDEX(Divisions!$E$3:$E$50,MATCH($E54,Divisions!$A$3:$A$50,0)),"")&lt;&gt;"",", "&amp;IFERROR(INDEX(Divisions!$E$3:$E$50,MATCH($E54,Divisions!$A$3:$A$50,0)),""),"")&amp;IF(IFERROR(INDEX(Divisions!$G$3:$G$50,MATCH($E54,Divisions!$A$3:$A$50,0)),"")&lt;&gt;"",", "&amp;IFERROR(INDEX(Divisions!$G$3:$G$50,MATCH($E54,Divisions!$A$3:$A$50,0)),""),"")&amp;IF(IFERROR(INDEX(Divisions!$I$3:$I$50,MATCH($E54,Divisions!$A$3:$A$50,0)),"")&lt;&gt;"",", "&amp;IFERROR(INDEX(Divisions!$I$3:$I$50,MATCH($E54,Divisions!$A$3:$A$50,0)),""),"")))</f>
        <v/>
      </c>
    </row>
    <row r="55">
      <c r="F55" s="5">
        <f>IFERROR(INDEX('Company MOA setup'!$B$3:$B$500,MATCH($A55,'Company MOA setup'!$A$3:$A$500,0)),"Division default")</f>
        <v/>
      </c>
      <c r="L55" s="5">
        <f>IF($E55="","",TRIM(IFERROR(INDEX(Divisions!$C$3:$C$50,MATCH($E55,Divisions!$A$3:$A$50,0)),"")&amp;IF(IFERROR(INDEX(Divisions!$E$3:$E$50,MATCH($E55,Divisions!$A$3:$A$50,0)),"")&lt;&gt;"",", "&amp;IFERROR(INDEX(Divisions!$E$3:$E$50,MATCH($E55,Divisions!$A$3:$A$50,0)),""),"")&amp;IF(IFERROR(INDEX(Divisions!$G$3:$G$50,MATCH($E55,Divisions!$A$3:$A$50,0)),"")&lt;&gt;"",", "&amp;IFERROR(INDEX(Divisions!$G$3:$G$50,MATCH($E55,Divisions!$A$3:$A$50,0)),""),"")&amp;IF(IFERROR(INDEX(Divisions!$I$3:$I$50,MATCH($E55,Divisions!$A$3:$A$50,0)),"")&lt;&gt;"",", "&amp;IFERROR(INDEX(Divisions!$I$3:$I$50,MATCH($E55,Divisions!$A$3:$A$50,0)),""),"")))</f>
        <v/>
      </c>
    </row>
    <row r="56">
      <c r="F56" s="5">
        <f>IFERROR(INDEX('Company MOA setup'!$B$3:$B$500,MATCH($A56,'Company MOA setup'!$A$3:$A$500,0)),"Division default")</f>
        <v/>
      </c>
      <c r="L56" s="5">
        <f>IF($E56="","",TRIM(IFERROR(INDEX(Divisions!$C$3:$C$50,MATCH($E56,Divisions!$A$3:$A$50,0)),"")&amp;IF(IFERROR(INDEX(Divisions!$E$3:$E$50,MATCH($E56,Divisions!$A$3:$A$50,0)),"")&lt;&gt;"",", "&amp;IFERROR(INDEX(Divisions!$E$3:$E$50,MATCH($E56,Divisions!$A$3:$A$50,0)),""),"")&amp;IF(IFERROR(INDEX(Divisions!$G$3:$G$50,MATCH($E56,Divisions!$A$3:$A$50,0)),"")&lt;&gt;"",", "&amp;IFERROR(INDEX(Divisions!$G$3:$G$50,MATCH($E56,Divisions!$A$3:$A$50,0)),""),"")&amp;IF(IFERROR(INDEX(Divisions!$I$3:$I$50,MATCH($E56,Divisions!$A$3:$A$50,0)),"")&lt;&gt;"",", "&amp;IFERROR(INDEX(Divisions!$I$3:$I$50,MATCH($E56,Divisions!$A$3:$A$50,0)),""),"")))</f>
        <v/>
      </c>
    </row>
    <row r="57">
      <c r="F57" s="5">
        <f>IFERROR(INDEX('Company MOA setup'!$B$3:$B$500,MATCH($A57,'Company MOA setup'!$A$3:$A$500,0)),"Division default")</f>
        <v/>
      </c>
      <c r="L57" s="5">
        <f>IF($E57="","",TRIM(IFERROR(INDEX(Divisions!$C$3:$C$50,MATCH($E57,Divisions!$A$3:$A$50,0)),"")&amp;IF(IFERROR(INDEX(Divisions!$E$3:$E$50,MATCH($E57,Divisions!$A$3:$A$50,0)),"")&lt;&gt;"",", "&amp;IFERROR(INDEX(Divisions!$E$3:$E$50,MATCH($E57,Divisions!$A$3:$A$50,0)),""),"")&amp;IF(IFERROR(INDEX(Divisions!$G$3:$G$50,MATCH($E57,Divisions!$A$3:$A$50,0)),"")&lt;&gt;"",", "&amp;IFERROR(INDEX(Divisions!$G$3:$G$50,MATCH($E57,Divisions!$A$3:$A$50,0)),""),"")&amp;IF(IFERROR(INDEX(Divisions!$I$3:$I$50,MATCH($E57,Divisions!$A$3:$A$50,0)),"")&lt;&gt;"",", "&amp;IFERROR(INDEX(Divisions!$I$3:$I$50,MATCH($E57,Divisions!$A$3:$A$50,0)),""),"")))</f>
        <v/>
      </c>
    </row>
    <row r="58">
      <c r="F58" s="5">
        <f>IFERROR(INDEX('Company MOA setup'!$B$3:$B$500,MATCH($A58,'Company MOA setup'!$A$3:$A$500,0)),"Division default")</f>
        <v/>
      </c>
      <c r="L58" s="5">
        <f>IF($E58="","",TRIM(IFERROR(INDEX(Divisions!$C$3:$C$50,MATCH($E58,Divisions!$A$3:$A$50,0)),"")&amp;IF(IFERROR(INDEX(Divisions!$E$3:$E$50,MATCH($E58,Divisions!$A$3:$A$50,0)),"")&lt;&gt;"",", "&amp;IFERROR(INDEX(Divisions!$E$3:$E$50,MATCH($E58,Divisions!$A$3:$A$50,0)),""),"")&amp;IF(IFERROR(INDEX(Divisions!$G$3:$G$50,MATCH($E58,Divisions!$A$3:$A$50,0)),"")&lt;&gt;"",", "&amp;IFERROR(INDEX(Divisions!$G$3:$G$50,MATCH($E58,Divisions!$A$3:$A$50,0)),""),"")&amp;IF(IFERROR(INDEX(Divisions!$I$3:$I$50,MATCH($E58,Divisions!$A$3:$A$50,0)),"")&lt;&gt;"",", "&amp;IFERROR(INDEX(Divisions!$I$3:$I$50,MATCH($E58,Divisions!$A$3:$A$50,0)),""),"")))</f>
        <v/>
      </c>
    </row>
    <row r="59">
      <c r="F59" s="5">
        <f>IFERROR(INDEX('Company MOA setup'!$B$3:$B$500,MATCH($A59,'Company MOA setup'!$A$3:$A$500,0)),"Division default")</f>
        <v/>
      </c>
      <c r="L59" s="5">
        <f>IF($E59="","",TRIM(IFERROR(INDEX(Divisions!$C$3:$C$50,MATCH($E59,Divisions!$A$3:$A$50,0)),"")&amp;IF(IFERROR(INDEX(Divisions!$E$3:$E$50,MATCH($E59,Divisions!$A$3:$A$50,0)),"")&lt;&gt;"",", "&amp;IFERROR(INDEX(Divisions!$E$3:$E$50,MATCH($E59,Divisions!$A$3:$A$50,0)),""),"")&amp;IF(IFERROR(INDEX(Divisions!$G$3:$G$50,MATCH($E59,Divisions!$A$3:$A$50,0)),"")&lt;&gt;"",", "&amp;IFERROR(INDEX(Divisions!$G$3:$G$50,MATCH($E59,Divisions!$A$3:$A$50,0)),""),"")&amp;IF(IFERROR(INDEX(Divisions!$I$3:$I$50,MATCH($E59,Divisions!$A$3:$A$50,0)),"")&lt;&gt;"",", "&amp;IFERROR(INDEX(Divisions!$I$3:$I$50,MATCH($E59,Divisions!$A$3:$A$50,0)),""),"")))</f>
        <v/>
      </c>
    </row>
    <row r="60">
      <c r="F60" s="5">
        <f>IFERROR(INDEX('Company MOA setup'!$B$3:$B$500,MATCH($A60,'Company MOA setup'!$A$3:$A$500,0)),"Division default")</f>
        <v/>
      </c>
      <c r="L60" s="5">
        <f>IF($E60="","",TRIM(IFERROR(INDEX(Divisions!$C$3:$C$50,MATCH($E60,Divisions!$A$3:$A$50,0)),"")&amp;IF(IFERROR(INDEX(Divisions!$E$3:$E$50,MATCH($E60,Divisions!$A$3:$A$50,0)),"")&lt;&gt;"",", "&amp;IFERROR(INDEX(Divisions!$E$3:$E$50,MATCH($E60,Divisions!$A$3:$A$50,0)),""),"")&amp;IF(IFERROR(INDEX(Divisions!$G$3:$G$50,MATCH($E60,Divisions!$A$3:$A$50,0)),"")&lt;&gt;"",", "&amp;IFERROR(INDEX(Divisions!$G$3:$G$50,MATCH($E60,Divisions!$A$3:$A$50,0)),""),"")&amp;IF(IFERROR(INDEX(Divisions!$I$3:$I$50,MATCH($E60,Divisions!$A$3:$A$50,0)),"")&lt;&gt;"",", "&amp;IFERROR(INDEX(Divisions!$I$3:$I$50,MATCH($E60,Divisions!$A$3:$A$50,0)),""),"")))</f>
        <v/>
      </c>
    </row>
    <row r="61">
      <c r="F61" s="5">
        <f>IFERROR(INDEX('Company MOA setup'!$B$3:$B$500,MATCH($A61,'Company MOA setup'!$A$3:$A$500,0)),"Division default")</f>
        <v/>
      </c>
      <c r="L61" s="5">
        <f>IF($E61="","",TRIM(IFERROR(INDEX(Divisions!$C$3:$C$50,MATCH($E61,Divisions!$A$3:$A$50,0)),"")&amp;IF(IFERROR(INDEX(Divisions!$E$3:$E$50,MATCH($E61,Divisions!$A$3:$A$50,0)),"")&lt;&gt;"",", "&amp;IFERROR(INDEX(Divisions!$E$3:$E$50,MATCH($E61,Divisions!$A$3:$A$50,0)),""),"")&amp;IF(IFERROR(INDEX(Divisions!$G$3:$G$50,MATCH($E61,Divisions!$A$3:$A$50,0)),"")&lt;&gt;"",", "&amp;IFERROR(INDEX(Divisions!$G$3:$G$50,MATCH($E61,Divisions!$A$3:$A$50,0)),""),"")&amp;IF(IFERROR(INDEX(Divisions!$I$3:$I$50,MATCH($E61,Divisions!$A$3:$A$50,0)),"")&lt;&gt;"",", "&amp;IFERROR(INDEX(Divisions!$I$3:$I$50,MATCH($E61,Divisions!$A$3:$A$50,0)),""),"")))</f>
        <v/>
      </c>
    </row>
    <row r="62">
      <c r="F62" s="5">
        <f>IFERROR(INDEX('Company MOA setup'!$B$3:$B$500,MATCH($A62,'Company MOA setup'!$A$3:$A$500,0)),"Division default")</f>
        <v/>
      </c>
      <c r="L62" s="5">
        <f>IF($E62="","",TRIM(IFERROR(INDEX(Divisions!$C$3:$C$50,MATCH($E62,Divisions!$A$3:$A$50,0)),"")&amp;IF(IFERROR(INDEX(Divisions!$E$3:$E$50,MATCH($E62,Divisions!$A$3:$A$50,0)),"")&lt;&gt;"",", "&amp;IFERROR(INDEX(Divisions!$E$3:$E$50,MATCH($E62,Divisions!$A$3:$A$50,0)),""),"")&amp;IF(IFERROR(INDEX(Divisions!$G$3:$G$50,MATCH($E62,Divisions!$A$3:$A$50,0)),"")&lt;&gt;"",", "&amp;IFERROR(INDEX(Divisions!$G$3:$G$50,MATCH($E62,Divisions!$A$3:$A$50,0)),""),"")&amp;IF(IFERROR(INDEX(Divisions!$I$3:$I$50,MATCH($E62,Divisions!$A$3:$A$50,0)),"")&lt;&gt;"",", "&amp;IFERROR(INDEX(Divisions!$I$3:$I$50,MATCH($E62,Divisions!$A$3:$A$50,0)),""),"")))</f>
        <v/>
      </c>
    </row>
    <row r="63">
      <c r="F63" s="5">
        <f>IFERROR(INDEX('Company MOA setup'!$B$3:$B$500,MATCH($A63,'Company MOA setup'!$A$3:$A$500,0)),"Division default")</f>
        <v/>
      </c>
      <c r="L63" s="5">
        <f>IF($E63="","",TRIM(IFERROR(INDEX(Divisions!$C$3:$C$50,MATCH($E63,Divisions!$A$3:$A$50,0)),"")&amp;IF(IFERROR(INDEX(Divisions!$E$3:$E$50,MATCH($E63,Divisions!$A$3:$A$50,0)),"")&lt;&gt;"",", "&amp;IFERROR(INDEX(Divisions!$E$3:$E$50,MATCH($E63,Divisions!$A$3:$A$50,0)),""),"")&amp;IF(IFERROR(INDEX(Divisions!$G$3:$G$50,MATCH($E63,Divisions!$A$3:$A$50,0)),"")&lt;&gt;"",", "&amp;IFERROR(INDEX(Divisions!$G$3:$G$50,MATCH($E63,Divisions!$A$3:$A$50,0)),""),"")&amp;IF(IFERROR(INDEX(Divisions!$I$3:$I$50,MATCH($E63,Divisions!$A$3:$A$50,0)),"")&lt;&gt;"",", "&amp;IFERROR(INDEX(Divisions!$I$3:$I$50,MATCH($E63,Divisions!$A$3:$A$50,0)),""),"")))</f>
        <v/>
      </c>
    </row>
    <row r="64">
      <c r="F64" s="5">
        <f>IFERROR(INDEX('Company MOA setup'!$B$3:$B$500,MATCH($A64,'Company MOA setup'!$A$3:$A$500,0)),"Division default")</f>
        <v/>
      </c>
      <c r="L64" s="5">
        <f>IF($E64="","",TRIM(IFERROR(INDEX(Divisions!$C$3:$C$50,MATCH($E64,Divisions!$A$3:$A$50,0)),"")&amp;IF(IFERROR(INDEX(Divisions!$E$3:$E$50,MATCH($E64,Divisions!$A$3:$A$50,0)),"")&lt;&gt;"",", "&amp;IFERROR(INDEX(Divisions!$E$3:$E$50,MATCH($E64,Divisions!$A$3:$A$50,0)),""),"")&amp;IF(IFERROR(INDEX(Divisions!$G$3:$G$50,MATCH($E64,Divisions!$A$3:$A$50,0)),"")&lt;&gt;"",", "&amp;IFERROR(INDEX(Divisions!$G$3:$G$50,MATCH($E64,Divisions!$A$3:$A$50,0)),""),"")&amp;IF(IFERROR(INDEX(Divisions!$I$3:$I$50,MATCH($E64,Divisions!$A$3:$A$50,0)),"")&lt;&gt;"",", "&amp;IFERROR(INDEX(Divisions!$I$3:$I$50,MATCH($E64,Divisions!$A$3:$A$50,0)),""),"")))</f>
        <v/>
      </c>
    </row>
    <row r="65">
      <c r="F65" s="5">
        <f>IFERROR(INDEX('Company MOA setup'!$B$3:$B$500,MATCH($A65,'Company MOA setup'!$A$3:$A$500,0)),"Division default")</f>
        <v/>
      </c>
      <c r="L65" s="5">
        <f>IF($E65="","",TRIM(IFERROR(INDEX(Divisions!$C$3:$C$50,MATCH($E65,Divisions!$A$3:$A$50,0)),"")&amp;IF(IFERROR(INDEX(Divisions!$E$3:$E$50,MATCH($E65,Divisions!$A$3:$A$50,0)),"")&lt;&gt;"",", "&amp;IFERROR(INDEX(Divisions!$E$3:$E$50,MATCH($E65,Divisions!$A$3:$A$50,0)),""),"")&amp;IF(IFERROR(INDEX(Divisions!$G$3:$G$50,MATCH($E65,Divisions!$A$3:$A$50,0)),"")&lt;&gt;"",", "&amp;IFERROR(INDEX(Divisions!$G$3:$G$50,MATCH($E65,Divisions!$A$3:$A$50,0)),""),"")&amp;IF(IFERROR(INDEX(Divisions!$I$3:$I$50,MATCH($E65,Divisions!$A$3:$A$50,0)),"")&lt;&gt;"",", "&amp;IFERROR(INDEX(Divisions!$I$3:$I$50,MATCH($E65,Divisions!$A$3:$A$50,0)),""),"")))</f>
        <v/>
      </c>
    </row>
    <row r="66">
      <c r="F66" s="5">
        <f>IFERROR(INDEX('Company MOA setup'!$B$3:$B$500,MATCH($A66,'Company MOA setup'!$A$3:$A$500,0)),"Division default")</f>
        <v/>
      </c>
      <c r="L66" s="5">
        <f>IF($E66="","",TRIM(IFERROR(INDEX(Divisions!$C$3:$C$50,MATCH($E66,Divisions!$A$3:$A$50,0)),"")&amp;IF(IFERROR(INDEX(Divisions!$E$3:$E$50,MATCH($E66,Divisions!$A$3:$A$50,0)),"")&lt;&gt;"",", "&amp;IFERROR(INDEX(Divisions!$E$3:$E$50,MATCH($E66,Divisions!$A$3:$A$50,0)),""),"")&amp;IF(IFERROR(INDEX(Divisions!$G$3:$G$50,MATCH($E66,Divisions!$A$3:$A$50,0)),"")&lt;&gt;"",", "&amp;IFERROR(INDEX(Divisions!$G$3:$G$50,MATCH($E66,Divisions!$A$3:$A$50,0)),""),"")&amp;IF(IFERROR(INDEX(Divisions!$I$3:$I$50,MATCH($E66,Divisions!$A$3:$A$50,0)),"")&lt;&gt;"",", "&amp;IFERROR(INDEX(Divisions!$I$3:$I$50,MATCH($E66,Divisions!$A$3:$A$50,0)),""),"")))</f>
        <v/>
      </c>
    </row>
    <row r="67">
      <c r="F67" s="5">
        <f>IFERROR(INDEX('Company MOA setup'!$B$3:$B$500,MATCH($A67,'Company MOA setup'!$A$3:$A$500,0)),"Division default")</f>
        <v/>
      </c>
      <c r="L67" s="5">
        <f>IF($E67="","",TRIM(IFERROR(INDEX(Divisions!$C$3:$C$50,MATCH($E67,Divisions!$A$3:$A$50,0)),"")&amp;IF(IFERROR(INDEX(Divisions!$E$3:$E$50,MATCH($E67,Divisions!$A$3:$A$50,0)),"")&lt;&gt;"",", "&amp;IFERROR(INDEX(Divisions!$E$3:$E$50,MATCH($E67,Divisions!$A$3:$A$50,0)),""),"")&amp;IF(IFERROR(INDEX(Divisions!$G$3:$G$50,MATCH($E67,Divisions!$A$3:$A$50,0)),"")&lt;&gt;"",", "&amp;IFERROR(INDEX(Divisions!$G$3:$G$50,MATCH($E67,Divisions!$A$3:$A$50,0)),""),"")&amp;IF(IFERROR(INDEX(Divisions!$I$3:$I$50,MATCH($E67,Divisions!$A$3:$A$50,0)),"")&lt;&gt;"",", "&amp;IFERROR(INDEX(Divisions!$I$3:$I$50,MATCH($E67,Divisions!$A$3:$A$50,0)),""),"")))</f>
        <v/>
      </c>
    </row>
    <row r="68">
      <c r="F68" s="5">
        <f>IFERROR(INDEX('Company MOA setup'!$B$3:$B$500,MATCH($A68,'Company MOA setup'!$A$3:$A$500,0)),"Division default")</f>
        <v/>
      </c>
      <c r="L68" s="5">
        <f>IF($E68="","",TRIM(IFERROR(INDEX(Divisions!$C$3:$C$50,MATCH($E68,Divisions!$A$3:$A$50,0)),"")&amp;IF(IFERROR(INDEX(Divisions!$E$3:$E$50,MATCH($E68,Divisions!$A$3:$A$50,0)),"")&lt;&gt;"",", "&amp;IFERROR(INDEX(Divisions!$E$3:$E$50,MATCH($E68,Divisions!$A$3:$A$50,0)),""),"")&amp;IF(IFERROR(INDEX(Divisions!$G$3:$G$50,MATCH($E68,Divisions!$A$3:$A$50,0)),"")&lt;&gt;"",", "&amp;IFERROR(INDEX(Divisions!$G$3:$G$50,MATCH($E68,Divisions!$A$3:$A$50,0)),""),"")&amp;IF(IFERROR(INDEX(Divisions!$I$3:$I$50,MATCH($E68,Divisions!$A$3:$A$50,0)),"")&lt;&gt;"",", "&amp;IFERROR(INDEX(Divisions!$I$3:$I$50,MATCH($E68,Divisions!$A$3:$A$50,0)),""),"")))</f>
        <v/>
      </c>
    </row>
    <row r="69">
      <c r="F69" s="5">
        <f>IFERROR(INDEX('Company MOA setup'!$B$3:$B$500,MATCH($A69,'Company MOA setup'!$A$3:$A$500,0)),"Division default")</f>
        <v/>
      </c>
      <c r="L69" s="5">
        <f>IF($E69="","",TRIM(IFERROR(INDEX(Divisions!$C$3:$C$50,MATCH($E69,Divisions!$A$3:$A$50,0)),"")&amp;IF(IFERROR(INDEX(Divisions!$E$3:$E$50,MATCH($E69,Divisions!$A$3:$A$50,0)),"")&lt;&gt;"",", "&amp;IFERROR(INDEX(Divisions!$E$3:$E$50,MATCH($E69,Divisions!$A$3:$A$50,0)),""),"")&amp;IF(IFERROR(INDEX(Divisions!$G$3:$G$50,MATCH($E69,Divisions!$A$3:$A$50,0)),"")&lt;&gt;"",", "&amp;IFERROR(INDEX(Divisions!$G$3:$G$50,MATCH($E69,Divisions!$A$3:$A$50,0)),""),"")&amp;IF(IFERROR(INDEX(Divisions!$I$3:$I$50,MATCH($E69,Divisions!$A$3:$A$50,0)),"")&lt;&gt;"",", "&amp;IFERROR(INDEX(Divisions!$I$3:$I$50,MATCH($E69,Divisions!$A$3:$A$50,0)),""),"")))</f>
        <v/>
      </c>
    </row>
    <row r="70">
      <c r="F70" s="5">
        <f>IFERROR(INDEX('Company MOA setup'!$B$3:$B$500,MATCH($A70,'Company MOA setup'!$A$3:$A$500,0)),"Division default")</f>
        <v/>
      </c>
      <c r="L70" s="5">
        <f>IF($E70="","",TRIM(IFERROR(INDEX(Divisions!$C$3:$C$50,MATCH($E70,Divisions!$A$3:$A$50,0)),"")&amp;IF(IFERROR(INDEX(Divisions!$E$3:$E$50,MATCH($E70,Divisions!$A$3:$A$50,0)),"")&lt;&gt;"",", "&amp;IFERROR(INDEX(Divisions!$E$3:$E$50,MATCH($E70,Divisions!$A$3:$A$50,0)),""),"")&amp;IF(IFERROR(INDEX(Divisions!$G$3:$G$50,MATCH($E70,Divisions!$A$3:$A$50,0)),"")&lt;&gt;"",", "&amp;IFERROR(INDEX(Divisions!$G$3:$G$50,MATCH($E70,Divisions!$A$3:$A$50,0)),""),"")&amp;IF(IFERROR(INDEX(Divisions!$I$3:$I$50,MATCH($E70,Divisions!$A$3:$A$50,0)),"")&lt;&gt;"",", "&amp;IFERROR(INDEX(Divisions!$I$3:$I$50,MATCH($E70,Divisions!$A$3:$A$50,0)),""),"")))</f>
        <v/>
      </c>
    </row>
    <row r="71">
      <c r="F71" s="5">
        <f>IFERROR(INDEX('Company MOA setup'!$B$3:$B$500,MATCH($A71,'Company MOA setup'!$A$3:$A$500,0)),"Division default")</f>
        <v/>
      </c>
      <c r="L71" s="5">
        <f>IF($E71="","",TRIM(IFERROR(INDEX(Divisions!$C$3:$C$50,MATCH($E71,Divisions!$A$3:$A$50,0)),"")&amp;IF(IFERROR(INDEX(Divisions!$E$3:$E$50,MATCH($E71,Divisions!$A$3:$A$50,0)),"")&lt;&gt;"",", "&amp;IFERROR(INDEX(Divisions!$E$3:$E$50,MATCH($E71,Divisions!$A$3:$A$50,0)),""),"")&amp;IF(IFERROR(INDEX(Divisions!$G$3:$G$50,MATCH($E71,Divisions!$A$3:$A$50,0)),"")&lt;&gt;"",", "&amp;IFERROR(INDEX(Divisions!$G$3:$G$50,MATCH($E71,Divisions!$A$3:$A$50,0)),""),"")&amp;IF(IFERROR(INDEX(Divisions!$I$3:$I$50,MATCH($E71,Divisions!$A$3:$A$50,0)),"")&lt;&gt;"",", "&amp;IFERROR(INDEX(Divisions!$I$3:$I$50,MATCH($E71,Divisions!$A$3:$A$50,0)),""),"")))</f>
        <v/>
      </c>
    </row>
    <row r="72">
      <c r="F72" s="5">
        <f>IFERROR(INDEX('Company MOA setup'!$B$3:$B$500,MATCH($A72,'Company MOA setup'!$A$3:$A$500,0)),"Division default")</f>
        <v/>
      </c>
      <c r="L72" s="5">
        <f>IF($E72="","",TRIM(IFERROR(INDEX(Divisions!$C$3:$C$50,MATCH($E72,Divisions!$A$3:$A$50,0)),"")&amp;IF(IFERROR(INDEX(Divisions!$E$3:$E$50,MATCH($E72,Divisions!$A$3:$A$50,0)),"")&lt;&gt;"",", "&amp;IFERROR(INDEX(Divisions!$E$3:$E$50,MATCH($E72,Divisions!$A$3:$A$50,0)),""),"")&amp;IF(IFERROR(INDEX(Divisions!$G$3:$G$50,MATCH($E72,Divisions!$A$3:$A$50,0)),"")&lt;&gt;"",", "&amp;IFERROR(INDEX(Divisions!$G$3:$G$50,MATCH($E72,Divisions!$A$3:$A$50,0)),""),"")&amp;IF(IFERROR(INDEX(Divisions!$I$3:$I$50,MATCH($E72,Divisions!$A$3:$A$50,0)),"")&lt;&gt;"",", "&amp;IFERROR(INDEX(Divisions!$I$3:$I$50,MATCH($E72,Divisions!$A$3:$A$50,0)),""),"")))</f>
        <v/>
      </c>
    </row>
    <row r="73">
      <c r="F73" s="5">
        <f>IFERROR(INDEX('Company MOA setup'!$B$3:$B$500,MATCH($A73,'Company MOA setup'!$A$3:$A$500,0)),"Division default")</f>
        <v/>
      </c>
      <c r="L73" s="5">
        <f>IF($E73="","",TRIM(IFERROR(INDEX(Divisions!$C$3:$C$50,MATCH($E73,Divisions!$A$3:$A$50,0)),"")&amp;IF(IFERROR(INDEX(Divisions!$E$3:$E$50,MATCH($E73,Divisions!$A$3:$A$50,0)),"")&lt;&gt;"",", "&amp;IFERROR(INDEX(Divisions!$E$3:$E$50,MATCH($E73,Divisions!$A$3:$A$50,0)),""),"")&amp;IF(IFERROR(INDEX(Divisions!$G$3:$G$50,MATCH($E73,Divisions!$A$3:$A$50,0)),"")&lt;&gt;"",", "&amp;IFERROR(INDEX(Divisions!$G$3:$G$50,MATCH($E73,Divisions!$A$3:$A$50,0)),""),"")&amp;IF(IFERROR(INDEX(Divisions!$I$3:$I$50,MATCH($E73,Divisions!$A$3:$A$50,0)),"")&lt;&gt;"",", "&amp;IFERROR(INDEX(Divisions!$I$3:$I$50,MATCH($E73,Divisions!$A$3:$A$50,0)),""),"")))</f>
        <v/>
      </c>
    </row>
    <row r="74">
      <c r="F74" s="5">
        <f>IFERROR(INDEX('Company MOA setup'!$B$3:$B$500,MATCH($A74,'Company MOA setup'!$A$3:$A$500,0)),"Division default")</f>
        <v/>
      </c>
      <c r="L74" s="5">
        <f>IF($E74="","",TRIM(IFERROR(INDEX(Divisions!$C$3:$C$50,MATCH($E74,Divisions!$A$3:$A$50,0)),"")&amp;IF(IFERROR(INDEX(Divisions!$E$3:$E$50,MATCH($E74,Divisions!$A$3:$A$50,0)),"")&lt;&gt;"",", "&amp;IFERROR(INDEX(Divisions!$E$3:$E$50,MATCH($E74,Divisions!$A$3:$A$50,0)),""),"")&amp;IF(IFERROR(INDEX(Divisions!$G$3:$G$50,MATCH($E74,Divisions!$A$3:$A$50,0)),"")&lt;&gt;"",", "&amp;IFERROR(INDEX(Divisions!$G$3:$G$50,MATCH($E74,Divisions!$A$3:$A$50,0)),""),"")&amp;IF(IFERROR(INDEX(Divisions!$I$3:$I$50,MATCH($E74,Divisions!$A$3:$A$50,0)),"")&lt;&gt;"",", "&amp;IFERROR(INDEX(Divisions!$I$3:$I$50,MATCH($E74,Divisions!$A$3:$A$50,0)),""),"")))</f>
        <v/>
      </c>
    </row>
    <row r="75">
      <c r="F75" s="5">
        <f>IFERROR(INDEX('Company MOA setup'!$B$3:$B$500,MATCH($A75,'Company MOA setup'!$A$3:$A$500,0)),"Division default")</f>
        <v/>
      </c>
      <c r="L75" s="5">
        <f>IF($E75="","",TRIM(IFERROR(INDEX(Divisions!$C$3:$C$50,MATCH($E75,Divisions!$A$3:$A$50,0)),"")&amp;IF(IFERROR(INDEX(Divisions!$E$3:$E$50,MATCH($E75,Divisions!$A$3:$A$50,0)),"")&lt;&gt;"",", "&amp;IFERROR(INDEX(Divisions!$E$3:$E$50,MATCH($E75,Divisions!$A$3:$A$50,0)),""),"")&amp;IF(IFERROR(INDEX(Divisions!$G$3:$G$50,MATCH($E75,Divisions!$A$3:$A$50,0)),"")&lt;&gt;"",", "&amp;IFERROR(INDEX(Divisions!$G$3:$G$50,MATCH($E75,Divisions!$A$3:$A$50,0)),""),"")&amp;IF(IFERROR(INDEX(Divisions!$I$3:$I$50,MATCH($E75,Divisions!$A$3:$A$50,0)),"")&lt;&gt;"",", "&amp;IFERROR(INDEX(Divisions!$I$3:$I$50,MATCH($E75,Divisions!$A$3:$A$50,0)),""),"")))</f>
        <v/>
      </c>
    </row>
    <row r="76">
      <c r="F76" s="5">
        <f>IFERROR(INDEX('Company MOA setup'!$B$3:$B$500,MATCH($A76,'Company MOA setup'!$A$3:$A$500,0)),"Division default")</f>
        <v/>
      </c>
      <c r="L76" s="5">
        <f>IF($E76="","",TRIM(IFERROR(INDEX(Divisions!$C$3:$C$50,MATCH($E76,Divisions!$A$3:$A$50,0)),"")&amp;IF(IFERROR(INDEX(Divisions!$E$3:$E$50,MATCH($E76,Divisions!$A$3:$A$50,0)),"")&lt;&gt;"",", "&amp;IFERROR(INDEX(Divisions!$E$3:$E$50,MATCH($E76,Divisions!$A$3:$A$50,0)),""),"")&amp;IF(IFERROR(INDEX(Divisions!$G$3:$G$50,MATCH($E76,Divisions!$A$3:$A$50,0)),"")&lt;&gt;"",", "&amp;IFERROR(INDEX(Divisions!$G$3:$G$50,MATCH($E76,Divisions!$A$3:$A$50,0)),""),"")&amp;IF(IFERROR(INDEX(Divisions!$I$3:$I$50,MATCH($E76,Divisions!$A$3:$A$50,0)),"")&lt;&gt;"",", "&amp;IFERROR(INDEX(Divisions!$I$3:$I$50,MATCH($E76,Divisions!$A$3:$A$50,0)),""),"")))</f>
        <v/>
      </c>
    </row>
    <row r="77">
      <c r="F77" s="5">
        <f>IFERROR(INDEX('Company MOA setup'!$B$3:$B$500,MATCH($A77,'Company MOA setup'!$A$3:$A$500,0)),"Division default")</f>
        <v/>
      </c>
      <c r="L77" s="5">
        <f>IF($E77="","",TRIM(IFERROR(INDEX(Divisions!$C$3:$C$50,MATCH($E77,Divisions!$A$3:$A$50,0)),"")&amp;IF(IFERROR(INDEX(Divisions!$E$3:$E$50,MATCH($E77,Divisions!$A$3:$A$50,0)),"")&lt;&gt;"",", "&amp;IFERROR(INDEX(Divisions!$E$3:$E$50,MATCH($E77,Divisions!$A$3:$A$50,0)),""),"")&amp;IF(IFERROR(INDEX(Divisions!$G$3:$G$50,MATCH($E77,Divisions!$A$3:$A$50,0)),"")&lt;&gt;"",", "&amp;IFERROR(INDEX(Divisions!$G$3:$G$50,MATCH($E77,Divisions!$A$3:$A$50,0)),""),"")&amp;IF(IFERROR(INDEX(Divisions!$I$3:$I$50,MATCH($E77,Divisions!$A$3:$A$50,0)),"")&lt;&gt;"",", "&amp;IFERROR(INDEX(Divisions!$I$3:$I$50,MATCH($E77,Divisions!$A$3:$A$50,0)),""),"")))</f>
        <v/>
      </c>
    </row>
    <row r="78">
      <c r="F78" s="5">
        <f>IFERROR(INDEX('Company MOA setup'!$B$3:$B$500,MATCH($A78,'Company MOA setup'!$A$3:$A$500,0)),"Division default")</f>
        <v/>
      </c>
      <c r="L78" s="5">
        <f>IF($E78="","",TRIM(IFERROR(INDEX(Divisions!$C$3:$C$50,MATCH($E78,Divisions!$A$3:$A$50,0)),"")&amp;IF(IFERROR(INDEX(Divisions!$E$3:$E$50,MATCH($E78,Divisions!$A$3:$A$50,0)),"")&lt;&gt;"",", "&amp;IFERROR(INDEX(Divisions!$E$3:$E$50,MATCH($E78,Divisions!$A$3:$A$50,0)),""),"")&amp;IF(IFERROR(INDEX(Divisions!$G$3:$G$50,MATCH($E78,Divisions!$A$3:$A$50,0)),"")&lt;&gt;"",", "&amp;IFERROR(INDEX(Divisions!$G$3:$G$50,MATCH($E78,Divisions!$A$3:$A$50,0)),""),"")&amp;IF(IFERROR(INDEX(Divisions!$I$3:$I$50,MATCH($E78,Divisions!$A$3:$A$50,0)),"")&lt;&gt;"",", "&amp;IFERROR(INDEX(Divisions!$I$3:$I$50,MATCH($E78,Divisions!$A$3:$A$50,0)),""),"")))</f>
        <v/>
      </c>
    </row>
    <row r="79">
      <c r="F79" s="5">
        <f>IFERROR(INDEX('Company MOA setup'!$B$3:$B$500,MATCH($A79,'Company MOA setup'!$A$3:$A$500,0)),"Division default")</f>
        <v/>
      </c>
      <c r="L79" s="5">
        <f>IF($E79="","",TRIM(IFERROR(INDEX(Divisions!$C$3:$C$50,MATCH($E79,Divisions!$A$3:$A$50,0)),"")&amp;IF(IFERROR(INDEX(Divisions!$E$3:$E$50,MATCH($E79,Divisions!$A$3:$A$50,0)),"")&lt;&gt;"",", "&amp;IFERROR(INDEX(Divisions!$E$3:$E$50,MATCH($E79,Divisions!$A$3:$A$50,0)),""),"")&amp;IF(IFERROR(INDEX(Divisions!$G$3:$G$50,MATCH($E79,Divisions!$A$3:$A$50,0)),"")&lt;&gt;"",", "&amp;IFERROR(INDEX(Divisions!$G$3:$G$50,MATCH($E79,Divisions!$A$3:$A$50,0)),""),"")&amp;IF(IFERROR(INDEX(Divisions!$I$3:$I$50,MATCH($E79,Divisions!$A$3:$A$50,0)),"")&lt;&gt;"",", "&amp;IFERROR(INDEX(Divisions!$I$3:$I$50,MATCH($E79,Divisions!$A$3:$A$50,0)),""),"")))</f>
        <v/>
      </c>
    </row>
    <row r="80">
      <c r="F80" s="5">
        <f>IFERROR(INDEX('Company MOA setup'!$B$3:$B$500,MATCH($A80,'Company MOA setup'!$A$3:$A$500,0)),"Division default")</f>
        <v/>
      </c>
      <c r="L80" s="5">
        <f>IF($E80="","",TRIM(IFERROR(INDEX(Divisions!$C$3:$C$50,MATCH($E80,Divisions!$A$3:$A$50,0)),"")&amp;IF(IFERROR(INDEX(Divisions!$E$3:$E$50,MATCH($E80,Divisions!$A$3:$A$50,0)),"")&lt;&gt;"",", "&amp;IFERROR(INDEX(Divisions!$E$3:$E$50,MATCH($E80,Divisions!$A$3:$A$50,0)),""),"")&amp;IF(IFERROR(INDEX(Divisions!$G$3:$G$50,MATCH($E80,Divisions!$A$3:$A$50,0)),"")&lt;&gt;"",", "&amp;IFERROR(INDEX(Divisions!$G$3:$G$50,MATCH($E80,Divisions!$A$3:$A$50,0)),""),"")&amp;IF(IFERROR(INDEX(Divisions!$I$3:$I$50,MATCH($E80,Divisions!$A$3:$A$50,0)),"")&lt;&gt;"",", "&amp;IFERROR(INDEX(Divisions!$I$3:$I$50,MATCH($E80,Divisions!$A$3:$A$50,0)),""),"")))</f>
        <v/>
      </c>
    </row>
    <row r="81">
      <c r="F81" s="5">
        <f>IFERROR(INDEX('Company MOA setup'!$B$3:$B$500,MATCH($A81,'Company MOA setup'!$A$3:$A$500,0)),"Division default")</f>
        <v/>
      </c>
      <c r="L81" s="5">
        <f>IF($E81="","",TRIM(IFERROR(INDEX(Divisions!$C$3:$C$50,MATCH($E81,Divisions!$A$3:$A$50,0)),"")&amp;IF(IFERROR(INDEX(Divisions!$E$3:$E$50,MATCH($E81,Divisions!$A$3:$A$50,0)),"")&lt;&gt;"",", "&amp;IFERROR(INDEX(Divisions!$E$3:$E$50,MATCH($E81,Divisions!$A$3:$A$50,0)),""),"")&amp;IF(IFERROR(INDEX(Divisions!$G$3:$G$50,MATCH($E81,Divisions!$A$3:$A$50,0)),"")&lt;&gt;"",", "&amp;IFERROR(INDEX(Divisions!$G$3:$G$50,MATCH($E81,Divisions!$A$3:$A$50,0)),""),"")&amp;IF(IFERROR(INDEX(Divisions!$I$3:$I$50,MATCH($E81,Divisions!$A$3:$A$50,0)),"")&lt;&gt;"",", "&amp;IFERROR(INDEX(Divisions!$I$3:$I$50,MATCH($E81,Divisions!$A$3:$A$50,0)),""),"")))</f>
        <v/>
      </c>
    </row>
    <row r="82">
      <c r="F82" s="5">
        <f>IFERROR(INDEX('Company MOA setup'!$B$3:$B$500,MATCH($A82,'Company MOA setup'!$A$3:$A$500,0)),"Division default")</f>
        <v/>
      </c>
      <c r="L82" s="5">
        <f>IF($E82="","",TRIM(IFERROR(INDEX(Divisions!$C$3:$C$50,MATCH($E82,Divisions!$A$3:$A$50,0)),"")&amp;IF(IFERROR(INDEX(Divisions!$E$3:$E$50,MATCH($E82,Divisions!$A$3:$A$50,0)),"")&lt;&gt;"",", "&amp;IFERROR(INDEX(Divisions!$E$3:$E$50,MATCH($E82,Divisions!$A$3:$A$50,0)),""),"")&amp;IF(IFERROR(INDEX(Divisions!$G$3:$G$50,MATCH($E82,Divisions!$A$3:$A$50,0)),"")&lt;&gt;"",", "&amp;IFERROR(INDEX(Divisions!$G$3:$G$50,MATCH($E82,Divisions!$A$3:$A$50,0)),""),"")&amp;IF(IFERROR(INDEX(Divisions!$I$3:$I$50,MATCH($E82,Divisions!$A$3:$A$50,0)),"")&lt;&gt;"",", "&amp;IFERROR(INDEX(Divisions!$I$3:$I$50,MATCH($E82,Divisions!$A$3:$A$50,0)),""),"")))</f>
        <v/>
      </c>
    </row>
    <row r="83">
      <c r="F83" s="5">
        <f>IFERROR(INDEX('Company MOA setup'!$B$3:$B$500,MATCH($A83,'Company MOA setup'!$A$3:$A$500,0)),"Division default")</f>
        <v/>
      </c>
      <c r="L83" s="5">
        <f>IF($E83="","",TRIM(IFERROR(INDEX(Divisions!$C$3:$C$50,MATCH($E83,Divisions!$A$3:$A$50,0)),"")&amp;IF(IFERROR(INDEX(Divisions!$E$3:$E$50,MATCH($E83,Divisions!$A$3:$A$50,0)),"")&lt;&gt;"",", "&amp;IFERROR(INDEX(Divisions!$E$3:$E$50,MATCH($E83,Divisions!$A$3:$A$50,0)),""),"")&amp;IF(IFERROR(INDEX(Divisions!$G$3:$G$50,MATCH($E83,Divisions!$A$3:$A$50,0)),"")&lt;&gt;"",", "&amp;IFERROR(INDEX(Divisions!$G$3:$G$50,MATCH($E83,Divisions!$A$3:$A$50,0)),""),"")&amp;IF(IFERROR(INDEX(Divisions!$I$3:$I$50,MATCH($E83,Divisions!$A$3:$A$50,0)),"")&lt;&gt;"",", "&amp;IFERROR(INDEX(Divisions!$I$3:$I$50,MATCH($E83,Divisions!$A$3:$A$50,0)),""),"")))</f>
        <v/>
      </c>
    </row>
    <row r="84">
      <c r="F84" s="5">
        <f>IFERROR(INDEX('Company MOA setup'!$B$3:$B$500,MATCH($A84,'Company MOA setup'!$A$3:$A$500,0)),"Division default")</f>
        <v/>
      </c>
      <c r="L84" s="5">
        <f>IF($E84="","",TRIM(IFERROR(INDEX(Divisions!$C$3:$C$50,MATCH($E84,Divisions!$A$3:$A$50,0)),"")&amp;IF(IFERROR(INDEX(Divisions!$E$3:$E$50,MATCH($E84,Divisions!$A$3:$A$50,0)),"")&lt;&gt;"",", "&amp;IFERROR(INDEX(Divisions!$E$3:$E$50,MATCH($E84,Divisions!$A$3:$A$50,0)),""),"")&amp;IF(IFERROR(INDEX(Divisions!$G$3:$G$50,MATCH($E84,Divisions!$A$3:$A$50,0)),"")&lt;&gt;"",", "&amp;IFERROR(INDEX(Divisions!$G$3:$G$50,MATCH($E84,Divisions!$A$3:$A$50,0)),""),"")&amp;IF(IFERROR(INDEX(Divisions!$I$3:$I$50,MATCH($E84,Divisions!$A$3:$A$50,0)),"")&lt;&gt;"",", "&amp;IFERROR(INDEX(Divisions!$I$3:$I$50,MATCH($E84,Divisions!$A$3:$A$50,0)),""),"")))</f>
        <v/>
      </c>
    </row>
    <row r="85">
      <c r="F85" s="5">
        <f>IFERROR(INDEX('Company MOA setup'!$B$3:$B$500,MATCH($A85,'Company MOA setup'!$A$3:$A$500,0)),"Division default")</f>
        <v/>
      </c>
      <c r="L85" s="5">
        <f>IF($E85="","",TRIM(IFERROR(INDEX(Divisions!$C$3:$C$50,MATCH($E85,Divisions!$A$3:$A$50,0)),"")&amp;IF(IFERROR(INDEX(Divisions!$E$3:$E$50,MATCH($E85,Divisions!$A$3:$A$50,0)),"")&lt;&gt;"",", "&amp;IFERROR(INDEX(Divisions!$E$3:$E$50,MATCH($E85,Divisions!$A$3:$A$50,0)),""),"")&amp;IF(IFERROR(INDEX(Divisions!$G$3:$G$50,MATCH($E85,Divisions!$A$3:$A$50,0)),"")&lt;&gt;"",", "&amp;IFERROR(INDEX(Divisions!$G$3:$G$50,MATCH($E85,Divisions!$A$3:$A$50,0)),""),"")&amp;IF(IFERROR(INDEX(Divisions!$I$3:$I$50,MATCH($E85,Divisions!$A$3:$A$50,0)),"")&lt;&gt;"",", "&amp;IFERROR(INDEX(Divisions!$I$3:$I$50,MATCH($E85,Divisions!$A$3:$A$50,0)),""),"")))</f>
        <v/>
      </c>
    </row>
    <row r="86">
      <c r="F86" s="5">
        <f>IFERROR(INDEX('Company MOA setup'!$B$3:$B$500,MATCH($A86,'Company MOA setup'!$A$3:$A$500,0)),"Division default")</f>
        <v/>
      </c>
      <c r="L86" s="5">
        <f>IF($E86="","",TRIM(IFERROR(INDEX(Divisions!$C$3:$C$50,MATCH($E86,Divisions!$A$3:$A$50,0)),"")&amp;IF(IFERROR(INDEX(Divisions!$E$3:$E$50,MATCH($E86,Divisions!$A$3:$A$50,0)),"")&lt;&gt;"",", "&amp;IFERROR(INDEX(Divisions!$E$3:$E$50,MATCH($E86,Divisions!$A$3:$A$50,0)),""),"")&amp;IF(IFERROR(INDEX(Divisions!$G$3:$G$50,MATCH($E86,Divisions!$A$3:$A$50,0)),"")&lt;&gt;"",", "&amp;IFERROR(INDEX(Divisions!$G$3:$G$50,MATCH($E86,Divisions!$A$3:$A$50,0)),""),"")&amp;IF(IFERROR(INDEX(Divisions!$I$3:$I$50,MATCH($E86,Divisions!$A$3:$A$50,0)),"")&lt;&gt;"",", "&amp;IFERROR(INDEX(Divisions!$I$3:$I$50,MATCH($E86,Divisions!$A$3:$A$50,0)),""),"")))</f>
        <v/>
      </c>
    </row>
    <row r="87">
      <c r="F87" s="5">
        <f>IFERROR(INDEX('Company MOA setup'!$B$3:$B$500,MATCH($A87,'Company MOA setup'!$A$3:$A$500,0)),"Division default")</f>
        <v/>
      </c>
      <c r="L87" s="5">
        <f>IF($E87="","",TRIM(IFERROR(INDEX(Divisions!$C$3:$C$50,MATCH($E87,Divisions!$A$3:$A$50,0)),"")&amp;IF(IFERROR(INDEX(Divisions!$E$3:$E$50,MATCH($E87,Divisions!$A$3:$A$50,0)),"")&lt;&gt;"",", "&amp;IFERROR(INDEX(Divisions!$E$3:$E$50,MATCH($E87,Divisions!$A$3:$A$50,0)),""),"")&amp;IF(IFERROR(INDEX(Divisions!$G$3:$G$50,MATCH($E87,Divisions!$A$3:$A$50,0)),"")&lt;&gt;"",", "&amp;IFERROR(INDEX(Divisions!$G$3:$G$50,MATCH($E87,Divisions!$A$3:$A$50,0)),""),"")&amp;IF(IFERROR(INDEX(Divisions!$I$3:$I$50,MATCH($E87,Divisions!$A$3:$A$50,0)),"")&lt;&gt;"",", "&amp;IFERROR(INDEX(Divisions!$I$3:$I$50,MATCH($E87,Divisions!$A$3:$A$50,0)),""),"")))</f>
        <v/>
      </c>
    </row>
    <row r="88">
      <c r="F88" s="5">
        <f>IFERROR(INDEX('Company MOA setup'!$B$3:$B$500,MATCH($A88,'Company MOA setup'!$A$3:$A$500,0)),"Division default")</f>
        <v/>
      </c>
      <c r="L88" s="5">
        <f>IF($E88="","",TRIM(IFERROR(INDEX(Divisions!$C$3:$C$50,MATCH($E88,Divisions!$A$3:$A$50,0)),"")&amp;IF(IFERROR(INDEX(Divisions!$E$3:$E$50,MATCH($E88,Divisions!$A$3:$A$50,0)),"")&lt;&gt;"",", "&amp;IFERROR(INDEX(Divisions!$E$3:$E$50,MATCH($E88,Divisions!$A$3:$A$50,0)),""),"")&amp;IF(IFERROR(INDEX(Divisions!$G$3:$G$50,MATCH($E88,Divisions!$A$3:$A$50,0)),"")&lt;&gt;"",", "&amp;IFERROR(INDEX(Divisions!$G$3:$G$50,MATCH($E88,Divisions!$A$3:$A$50,0)),""),"")&amp;IF(IFERROR(INDEX(Divisions!$I$3:$I$50,MATCH($E88,Divisions!$A$3:$A$50,0)),"")&lt;&gt;"",", "&amp;IFERROR(INDEX(Divisions!$I$3:$I$50,MATCH($E88,Divisions!$A$3:$A$50,0)),""),"")))</f>
        <v/>
      </c>
    </row>
    <row r="89">
      <c r="F89" s="5">
        <f>IFERROR(INDEX('Company MOA setup'!$B$3:$B$500,MATCH($A89,'Company MOA setup'!$A$3:$A$500,0)),"Division default")</f>
        <v/>
      </c>
      <c r="L89" s="5">
        <f>IF($E89="","",TRIM(IFERROR(INDEX(Divisions!$C$3:$C$50,MATCH($E89,Divisions!$A$3:$A$50,0)),"")&amp;IF(IFERROR(INDEX(Divisions!$E$3:$E$50,MATCH($E89,Divisions!$A$3:$A$50,0)),"")&lt;&gt;"",", "&amp;IFERROR(INDEX(Divisions!$E$3:$E$50,MATCH($E89,Divisions!$A$3:$A$50,0)),""),"")&amp;IF(IFERROR(INDEX(Divisions!$G$3:$G$50,MATCH($E89,Divisions!$A$3:$A$50,0)),"")&lt;&gt;"",", "&amp;IFERROR(INDEX(Divisions!$G$3:$G$50,MATCH($E89,Divisions!$A$3:$A$50,0)),""),"")&amp;IF(IFERROR(INDEX(Divisions!$I$3:$I$50,MATCH($E89,Divisions!$A$3:$A$50,0)),"")&lt;&gt;"",", "&amp;IFERROR(INDEX(Divisions!$I$3:$I$50,MATCH($E89,Divisions!$A$3:$A$50,0)),""),"")))</f>
        <v/>
      </c>
    </row>
    <row r="90">
      <c r="F90" s="5">
        <f>IFERROR(INDEX('Company MOA setup'!$B$3:$B$500,MATCH($A90,'Company MOA setup'!$A$3:$A$500,0)),"Division default")</f>
        <v/>
      </c>
      <c r="L90" s="5">
        <f>IF($E90="","",TRIM(IFERROR(INDEX(Divisions!$C$3:$C$50,MATCH($E90,Divisions!$A$3:$A$50,0)),"")&amp;IF(IFERROR(INDEX(Divisions!$E$3:$E$50,MATCH($E90,Divisions!$A$3:$A$50,0)),"")&lt;&gt;"",", "&amp;IFERROR(INDEX(Divisions!$E$3:$E$50,MATCH($E90,Divisions!$A$3:$A$50,0)),""),"")&amp;IF(IFERROR(INDEX(Divisions!$G$3:$G$50,MATCH($E90,Divisions!$A$3:$A$50,0)),"")&lt;&gt;"",", "&amp;IFERROR(INDEX(Divisions!$G$3:$G$50,MATCH($E90,Divisions!$A$3:$A$50,0)),""),"")&amp;IF(IFERROR(INDEX(Divisions!$I$3:$I$50,MATCH($E90,Divisions!$A$3:$A$50,0)),"")&lt;&gt;"",", "&amp;IFERROR(INDEX(Divisions!$I$3:$I$50,MATCH($E90,Divisions!$A$3:$A$50,0)),""),"")))</f>
        <v/>
      </c>
    </row>
    <row r="91">
      <c r="F91" s="5">
        <f>IFERROR(INDEX('Company MOA setup'!$B$3:$B$500,MATCH($A91,'Company MOA setup'!$A$3:$A$500,0)),"Division default")</f>
        <v/>
      </c>
      <c r="L91" s="5">
        <f>IF($E91="","",TRIM(IFERROR(INDEX(Divisions!$C$3:$C$50,MATCH($E91,Divisions!$A$3:$A$50,0)),"")&amp;IF(IFERROR(INDEX(Divisions!$E$3:$E$50,MATCH($E91,Divisions!$A$3:$A$50,0)),"")&lt;&gt;"",", "&amp;IFERROR(INDEX(Divisions!$E$3:$E$50,MATCH($E91,Divisions!$A$3:$A$50,0)),""),"")&amp;IF(IFERROR(INDEX(Divisions!$G$3:$G$50,MATCH($E91,Divisions!$A$3:$A$50,0)),"")&lt;&gt;"",", "&amp;IFERROR(INDEX(Divisions!$G$3:$G$50,MATCH($E91,Divisions!$A$3:$A$50,0)),""),"")&amp;IF(IFERROR(INDEX(Divisions!$I$3:$I$50,MATCH($E91,Divisions!$A$3:$A$50,0)),"")&lt;&gt;"",", "&amp;IFERROR(INDEX(Divisions!$I$3:$I$50,MATCH($E91,Divisions!$A$3:$A$50,0)),""),"")))</f>
        <v/>
      </c>
    </row>
    <row r="92">
      <c r="F92" s="5">
        <f>IFERROR(INDEX('Company MOA setup'!$B$3:$B$500,MATCH($A92,'Company MOA setup'!$A$3:$A$500,0)),"Division default")</f>
        <v/>
      </c>
      <c r="L92" s="5">
        <f>IF($E92="","",TRIM(IFERROR(INDEX(Divisions!$C$3:$C$50,MATCH($E92,Divisions!$A$3:$A$50,0)),"")&amp;IF(IFERROR(INDEX(Divisions!$E$3:$E$50,MATCH($E92,Divisions!$A$3:$A$50,0)),"")&lt;&gt;"",", "&amp;IFERROR(INDEX(Divisions!$E$3:$E$50,MATCH($E92,Divisions!$A$3:$A$50,0)),""),"")&amp;IF(IFERROR(INDEX(Divisions!$G$3:$G$50,MATCH($E92,Divisions!$A$3:$A$50,0)),"")&lt;&gt;"",", "&amp;IFERROR(INDEX(Divisions!$G$3:$G$50,MATCH($E92,Divisions!$A$3:$A$50,0)),""),"")&amp;IF(IFERROR(INDEX(Divisions!$I$3:$I$50,MATCH($E92,Divisions!$A$3:$A$50,0)),"")&lt;&gt;"",", "&amp;IFERROR(INDEX(Divisions!$I$3:$I$50,MATCH($E92,Divisions!$A$3:$A$50,0)),""),"")))</f>
        <v/>
      </c>
    </row>
    <row r="93">
      <c r="F93" s="5">
        <f>IFERROR(INDEX('Company MOA setup'!$B$3:$B$500,MATCH($A93,'Company MOA setup'!$A$3:$A$500,0)),"Division default")</f>
        <v/>
      </c>
      <c r="L93" s="5">
        <f>IF($E93="","",TRIM(IFERROR(INDEX(Divisions!$C$3:$C$50,MATCH($E93,Divisions!$A$3:$A$50,0)),"")&amp;IF(IFERROR(INDEX(Divisions!$E$3:$E$50,MATCH($E93,Divisions!$A$3:$A$50,0)),"")&lt;&gt;"",", "&amp;IFERROR(INDEX(Divisions!$E$3:$E$50,MATCH($E93,Divisions!$A$3:$A$50,0)),""),"")&amp;IF(IFERROR(INDEX(Divisions!$G$3:$G$50,MATCH($E93,Divisions!$A$3:$A$50,0)),"")&lt;&gt;"",", "&amp;IFERROR(INDEX(Divisions!$G$3:$G$50,MATCH($E93,Divisions!$A$3:$A$50,0)),""),"")&amp;IF(IFERROR(INDEX(Divisions!$I$3:$I$50,MATCH($E93,Divisions!$A$3:$A$50,0)),"")&lt;&gt;"",", "&amp;IFERROR(INDEX(Divisions!$I$3:$I$50,MATCH($E93,Divisions!$A$3:$A$50,0)),""),"")))</f>
        <v/>
      </c>
    </row>
    <row r="94">
      <c r="F94" s="5">
        <f>IFERROR(INDEX('Company MOA setup'!$B$3:$B$500,MATCH($A94,'Company MOA setup'!$A$3:$A$500,0)),"Division default")</f>
        <v/>
      </c>
      <c r="L94" s="5">
        <f>IF($E94="","",TRIM(IFERROR(INDEX(Divisions!$C$3:$C$50,MATCH($E94,Divisions!$A$3:$A$50,0)),"")&amp;IF(IFERROR(INDEX(Divisions!$E$3:$E$50,MATCH($E94,Divisions!$A$3:$A$50,0)),"")&lt;&gt;"",", "&amp;IFERROR(INDEX(Divisions!$E$3:$E$50,MATCH($E94,Divisions!$A$3:$A$50,0)),""),"")&amp;IF(IFERROR(INDEX(Divisions!$G$3:$G$50,MATCH($E94,Divisions!$A$3:$A$50,0)),"")&lt;&gt;"",", "&amp;IFERROR(INDEX(Divisions!$G$3:$G$50,MATCH($E94,Divisions!$A$3:$A$50,0)),""),"")&amp;IF(IFERROR(INDEX(Divisions!$I$3:$I$50,MATCH($E94,Divisions!$A$3:$A$50,0)),"")&lt;&gt;"",", "&amp;IFERROR(INDEX(Divisions!$I$3:$I$50,MATCH($E94,Divisions!$A$3:$A$50,0)),""),"")))</f>
        <v/>
      </c>
    </row>
    <row r="95">
      <c r="F95" s="5">
        <f>IFERROR(INDEX('Company MOA setup'!$B$3:$B$500,MATCH($A95,'Company MOA setup'!$A$3:$A$500,0)),"Division default")</f>
        <v/>
      </c>
      <c r="L95" s="5">
        <f>IF($E95="","",TRIM(IFERROR(INDEX(Divisions!$C$3:$C$50,MATCH($E95,Divisions!$A$3:$A$50,0)),"")&amp;IF(IFERROR(INDEX(Divisions!$E$3:$E$50,MATCH($E95,Divisions!$A$3:$A$50,0)),"")&lt;&gt;"",", "&amp;IFERROR(INDEX(Divisions!$E$3:$E$50,MATCH($E95,Divisions!$A$3:$A$50,0)),""),"")&amp;IF(IFERROR(INDEX(Divisions!$G$3:$G$50,MATCH($E95,Divisions!$A$3:$A$50,0)),"")&lt;&gt;"",", "&amp;IFERROR(INDEX(Divisions!$G$3:$G$50,MATCH($E95,Divisions!$A$3:$A$50,0)),""),"")&amp;IF(IFERROR(INDEX(Divisions!$I$3:$I$50,MATCH($E95,Divisions!$A$3:$A$50,0)),"")&lt;&gt;"",", "&amp;IFERROR(INDEX(Divisions!$I$3:$I$50,MATCH($E95,Divisions!$A$3:$A$50,0)),""),"")))</f>
        <v/>
      </c>
    </row>
    <row r="96">
      <c r="F96" s="5">
        <f>IFERROR(INDEX('Company MOA setup'!$B$3:$B$500,MATCH($A96,'Company MOA setup'!$A$3:$A$500,0)),"Division default")</f>
        <v/>
      </c>
      <c r="L96" s="5">
        <f>IF($E96="","",TRIM(IFERROR(INDEX(Divisions!$C$3:$C$50,MATCH($E96,Divisions!$A$3:$A$50,0)),"")&amp;IF(IFERROR(INDEX(Divisions!$E$3:$E$50,MATCH($E96,Divisions!$A$3:$A$50,0)),"")&lt;&gt;"",", "&amp;IFERROR(INDEX(Divisions!$E$3:$E$50,MATCH($E96,Divisions!$A$3:$A$50,0)),""),"")&amp;IF(IFERROR(INDEX(Divisions!$G$3:$G$50,MATCH($E96,Divisions!$A$3:$A$50,0)),"")&lt;&gt;"",", "&amp;IFERROR(INDEX(Divisions!$G$3:$G$50,MATCH($E96,Divisions!$A$3:$A$50,0)),""),"")&amp;IF(IFERROR(INDEX(Divisions!$I$3:$I$50,MATCH($E96,Divisions!$A$3:$A$50,0)),"")&lt;&gt;"",", "&amp;IFERROR(INDEX(Divisions!$I$3:$I$50,MATCH($E96,Divisions!$A$3:$A$50,0)),""),"")))</f>
        <v/>
      </c>
    </row>
    <row r="97">
      <c r="F97" s="5">
        <f>IFERROR(INDEX('Company MOA setup'!$B$3:$B$500,MATCH($A97,'Company MOA setup'!$A$3:$A$500,0)),"Division default")</f>
        <v/>
      </c>
      <c r="L97" s="5">
        <f>IF($E97="","",TRIM(IFERROR(INDEX(Divisions!$C$3:$C$50,MATCH($E97,Divisions!$A$3:$A$50,0)),"")&amp;IF(IFERROR(INDEX(Divisions!$E$3:$E$50,MATCH($E97,Divisions!$A$3:$A$50,0)),"")&lt;&gt;"",", "&amp;IFERROR(INDEX(Divisions!$E$3:$E$50,MATCH($E97,Divisions!$A$3:$A$50,0)),""),"")&amp;IF(IFERROR(INDEX(Divisions!$G$3:$G$50,MATCH($E97,Divisions!$A$3:$A$50,0)),"")&lt;&gt;"",", "&amp;IFERROR(INDEX(Divisions!$G$3:$G$50,MATCH($E97,Divisions!$A$3:$A$50,0)),""),"")&amp;IF(IFERROR(INDEX(Divisions!$I$3:$I$50,MATCH($E97,Divisions!$A$3:$A$50,0)),"")&lt;&gt;"",", "&amp;IFERROR(INDEX(Divisions!$I$3:$I$50,MATCH($E97,Divisions!$A$3:$A$50,0)),""),"")))</f>
        <v/>
      </c>
    </row>
    <row r="98">
      <c r="F98" s="5">
        <f>IFERROR(INDEX('Company MOA setup'!$B$3:$B$500,MATCH($A98,'Company MOA setup'!$A$3:$A$500,0)),"Division default")</f>
        <v/>
      </c>
      <c r="L98" s="5">
        <f>IF($E98="","",TRIM(IFERROR(INDEX(Divisions!$C$3:$C$50,MATCH($E98,Divisions!$A$3:$A$50,0)),"")&amp;IF(IFERROR(INDEX(Divisions!$E$3:$E$50,MATCH($E98,Divisions!$A$3:$A$50,0)),"")&lt;&gt;"",", "&amp;IFERROR(INDEX(Divisions!$E$3:$E$50,MATCH($E98,Divisions!$A$3:$A$50,0)),""),"")&amp;IF(IFERROR(INDEX(Divisions!$G$3:$G$50,MATCH($E98,Divisions!$A$3:$A$50,0)),"")&lt;&gt;"",", "&amp;IFERROR(INDEX(Divisions!$G$3:$G$50,MATCH($E98,Divisions!$A$3:$A$50,0)),""),"")&amp;IF(IFERROR(INDEX(Divisions!$I$3:$I$50,MATCH($E98,Divisions!$A$3:$A$50,0)),"")&lt;&gt;"",", "&amp;IFERROR(INDEX(Divisions!$I$3:$I$50,MATCH($E98,Divisions!$A$3:$A$50,0)),""),"")))</f>
        <v/>
      </c>
    </row>
    <row r="99">
      <c r="F99" s="5">
        <f>IFERROR(INDEX('Company MOA setup'!$B$3:$B$500,MATCH($A99,'Company MOA setup'!$A$3:$A$500,0)),"Division default")</f>
        <v/>
      </c>
      <c r="L99" s="5">
        <f>IF($E99="","",TRIM(IFERROR(INDEX(Divisions!$C$3:$C$50,MATCH($E99,Divisions!$A$3:$A$50,0)),"")&amp;IF(IFERROR(INDEX(Divisions!$E$3:$E$50,MATCH($E99,Divisions!$A$3:$A$50,0)),"")&lt;&gt;"",", "&amp;IFERROR(INDEX(Divisions!$E$3:$E$50,MATCH($E99,Divisions!$A$3:$A$50,0)),""),"")&amp;IF(IFERROR(INDEX(Divisions!$G$3:$G$50,MATCH($E99,Divisions!$A$3:$A$50,0)),"")&lt;&gt;"",", "&amp;IFERROR(INDEX(Divisions!$G$3:$G$50,MATCH($E99,Divisions!$A$3:$A$50,0)),""),"")&amp;IF(IFERROR(INDEX(Divisions!$I$3:$I$50,MATCH($E99,Divisions!$A$3:$A$50,0)),"")&lt;&gt;"",", "&amp;IFERROR(INDEX(Divisions!$I$3:$I$50,MATCH($E99,Divisions!$A$3:$A$50,0)),""),"")))</f>
        <v/>
      </c>
    </row>
    <row r="100">
      <c r="F100" s="5">
        <f>IFERROR(INDEX('Company MOA setup'!$B$3:$B$500,MATCH($A100,'Company MOA setup'!$A$3:$A$500,0)),"Division default")</f>
        <v/>
      </c>
      <c r="L100" s="5">
        <f>IF($E100="","",TRIM(IFERROR(INDEX(Divisions!$C$3:$C$50,MATCH($E100,Divisions!$A$3:$A$50,0)),"")&amp;IF(IFERROR(INDEX(Divisions!$E$3:$E$50,MATCH($E100,Divisions!$A$3:$A$50,0)),"")&lt;&gt;"",", "&amp;IFERROR(INDEX(Divisions!$E$3:$E$50,MATCH($E100,Divisions!$A$3:$A$50,0)),""),"")&amp;IF(IFERROR(INDEX(Divisions!$G$3:$G$50,MATCH($E100,Divisions!$A$3:$A$50,0)),"")&lt;&gt;"",", "&amp;IFERROR(INDEX(Divisions!$G$3:$G$50,MATCH($E100,Divisions!$A$3:$A$50,0)),""),"")&amp;IF(IFERROR(INDEX(Divisions!$I$3:$I$50,MATCH($E100,Divisions!$A$3:$A$50,0)),"")&lt;&gt;"",", "&amp;IFERROR(INDEX(Divisions!$I$3:$I$50,MATCH($E100,Divisions!$A$3:$A$50,0)),""),"")))</f>
        <v/>
      </c>
    </row>
    <row r="101">
      <c r="F101" s="5">
        <f>IFERROR(INDEX('Company MOA setup'!$B$3:$B$500,MATCH($A101,'Company MOA setup'!$A$3:$A$500,0)),"Division default")</f>
        <v/>
      </c>
      <c r="L101" s="5">
        <f>IF($E101="","",TRIM(IFERROR(INDEX(Divisions!$C$3:$C$50,MATCH($E101,Divisions!$A$3:$A$50,0)),"")&amp;IF(IFERROR(INDEX(Divisions!$E$3:$E$50,MATCH($E101,Divisions!$A$3:$A$50,0)),"")&lt;&gt;"",", "&amp;IFERROR(INDEX(Divisions!$E$3:$E$50,MATCH($E101,Divisions!$A$3:$A$50,0)),""),"")&amp;IF(IFERROR(INDEX(Divisions!$G$3:$G$50,MATCH($E101,Divisions!$A$3:$A$50,0)),"")&lt;&gt;"",", "&amp;IFERROR(INDEX(Divisions!$G$3:$G$50,MATCH($E101,Divisions!$A$3:$A$50,0)),""),"")&amp;IF(IFERROR(INDEX(Divisions!$I$3:$I$50,MATCH($E101,Divisions!$A$3:$A$50,0)),"")&lt;&gt;"",", "&amp;IFERROR(INDEX(Divisions!$I$3:$I$50,MATCH($E101,Divisions!$A$3:$A$50,0)),""),"")))</f>
        <v/>
      </c>
    </row>
    <row r="102">
      <c r="F102" s="5">
        <f>IFERROR(INDEX('Company MOA setup'!$B$3:$B$500,MATCH($A102,'Company MOA setup'!$A$3:$A$500,0)),"Division default")</f>
        <v/>
      </c>
      <c r="L102" s="5">
        <f>IF($E102="","",TRIM(IFERROR(INDEX(Divisions!$C$3:$C$50,MATCH($E102,Divisions!$A$3:$A$50,0)),"")&amp;IF(IFERROR(INDEX(Divisions!$E$3:$E$50,MATCH($E102,Divisions!$A$3:$A$50,0)),"")&lt;&gt;"",", "&amp;IFERROR(INDEX(Divisions!$E$3:$E$50,MATCH($E102,Divisions!$A$3:$A$50,0)),""),"")&amp;IF(IFERROR(INDEX(Divisions!$G$3:$G$50,MATCH($E102,Divisions!$A$3:$A$50,0)),"")&lt;&gt;"",", "&amp;IFERROR(INDEX(Divisions!$G$3:$G$50,MATCH($E102,Divisions!$A$3:$A$50,0)),""),"")&amp;IF(IFERROR(INDEX(Divisions!$I$3:$I$50,MATCH($E102,Divisions!$A$3:$A$50,0)),"")&lt;&gt;"",", "&amp;IFERROR(INDEX(Divisions!$I$3:$I$50,MATCH($E102,Divisions!$A$3:$A$50,0)),""),"")))</f>
        <v/>
      </c>
    </row>
    <row r="103">
      <c r="F103" s="5">
        <f>IFERROR(INDEX('Company MOA setup'!$B$3:$B$500,MATCH($A103,'Company MOA setup'!$A$3:$A$500,0)),"Division default")</f>
        <v/>
      </c>
      <c r="L103" s="5">
        <f>IF($E103="","",TRIM(IFERROR(INDEX(Divisions!$C$3:$C$50,MATCH($E103,Divisions!$A$3:$A$50,0)),"")&amp;IF(IFERROR(INDEX(Divisions!$E$3:$E$50,MATCH($E103,Divisions!$A$3:$A$50,0)),"")&lt;&gt;"",", "&amp;IFERROR(INDEX(Divisions!$E$3:$E$50,MATCH($E103,Divisions!$A$3:$A$50,0)),""),"")&amp;IF(IFERROR(INDEX(Divisions!$G$3:$G$50,MATCH($E103,Divisions!$A$3:$A$50,0)),"")&lt;&gt;"",", "&amp;IFERROR(INDEX(Divisions!$G$3:$G$50,MATCH($E103,Divisions!$A$3:$A$50,0)),""),"")&amp;IF(IFERROR(INDEX(Divisions!$I$3:$I$50,MATCH($E103,Divisions!$A$3:$A$50,0)),"")&lt;&gt;"",", "&amp;IFERROR(INDEX(Divisions!$I$3:$I$50,MATCH($E103,Divisions!$A$3:$A$50,0)),""),"")))</f>
        <v/>
      </c>
    </row>
    <row r="104">
      <c r="F104" s="5">
        <f>IFERROR(INDEX('Company MOA setup'!$B$3:$B$500,MATCH($A104,'Company MOA setup'!$A$3:$A$500,0)),"Division default")</f>
        <v/>
      </c>
      <c r="L104" s="5">
        <f>IF($E104="","",TRIM(IFERROR(INDEX(Divisions!$C$3:$C$50,MATCH($E104,Divisions!$A$3:$A$50,0)),"")&amp;IF(IFERROR(INDEX(Divisions!$E$3:$E$50,MATCH($E104,Divisions!$A$3:$A$50,0)),"")&lt;&gt;"",", "&amp;IFERROR(INDEX(Divisions!$E$3:$E$50,MATCH($E104,Divisions!$A$3:$A$50,0)),""),"")&amp;IF(IFERROR(INDEX(Divisions!$G$3:$G$50,MATCH($E104,Divisions!$A$3:$A$50,0)),"")&lt;&gt;"",", "&amp;IFERROR(INDEX(Divisions!$G$3:$G$50,MATCH($E104,Divisions!$A$3:$A$50,0)),""),"")&amp;IF(IFERROR(INDEX(Divisions!$I$3:$I$50,MATCH($E104,Divisions!$A$3:$A$50,0)),"")&lt;&gt;"",", "&amp;IFERROR(INDEX(Divisions!$I$3:$I$50,MATCH($E104,Divisions!$A$3:$A$50,0)),""),"")))</f>
        <v/>
      </c>
    </row>
    <row r="105">
      <c r="F105" s="5">
        <f>IFERROR(INDEX('Company MOA setup'!$B$3:$B$500,MATCH($A105,'Company MOA setup'!$A$3:$A$500,0)),"Division default")</f>
        <v/>
      </c>
      <c r="L105" s="5">
        <f>IF($E105="","",TRIM(IFERROR(INDEX(Divisions!$C$3:$C$50,MATCH($E105,Divisions!$A$3:$A$50,0)),"")&amp;IF(IFERROR(INDEX(Divisions!$E$3:$E$50,MATCH($E105,Divisions!$A$3:$A$50,0)),"")&lt;&gt;"",", "&amp;IFERROR(INDEX(Divisions!$E$3:$E$50,MATCH($E105,Divisions!$A$3:$A$50,0)),""),"")&amp;IF(IFERROR(INDEX(Divisions!$G$3:$G$50,MATCH($E105,Divisions!$A$3:$A$50,0)),"")&lt;&gt;"",", "&amp;IFERROR(INDEX(Divisions!$G$3:$G$50,MATCH($E105,Divisions!$A$3:$A$50,0)),""),"")&amp;IF(IFERROR(INDEX(Divisions!$I$3:$I$50,MATCH($E105,Divisions!$A$3:$A$50,0)),"")&lt;&gt;"",", "&amp;IFERROR(INDEX(Divisions!$I$3:$I$50,MATCH($E105,Divisions!$A$3:$A$50,0)),""),"")))</f>
        <v/>
      </c>
    </row>
    <row r="106">
      <c r="F106" s="5">
        <f>IFERROR(INDEX('Company MOA setup'!$B$3:$B$500,MATCH($A106,'Company MOA setup'!$A$3:$A$500,0)),"Division default")</f>
        <v/>
      </c>
      <c r="L106" s="5">
        <f>IF($E106="","",TRIM(IFERROR(INDEX(Divisions!$C$3:$C$50,MATCH($E106,Divisions!$A$3:$A$50,0)),"")&amp;IF(IFERROR(INDEX(Divisions!$E$3:$E$50,MATCH($E106,Divisions!$A$3:$A$50,0)),"")&lt;&gt;"",", "&amp;IFERROR(INDEX(Divisions!$E$3:$E$50,MATCH($E106,Divisions!$A$3:$A$50,0)),""),"")&amp;IF(IFERROR(INDEX(Divisions!$G$3:$G$50,MATCH($E106,Divisions!$A$3:$A$50,0)),"")&lt;&gt;"",", "&amp;IFERROR(INDEX(Divisions!$G$3:$G$50,MATCH($E106,Divisions!$A$3:$A$50,0)),""),"")&amp;IF(IFERROR(INDEX(Divisions!$I$3:$I$50,MATCH($E106,Divisions!$A$3:$A$50,0)),"")&lt;&gt;"",", "&amp;IFERROR(INDEX(Divisions!$I$3:$I$50,MATCH($E106,Divisions!$A$3:$A$50,0)),""),"")))</f>
        <v/>
      </c>
    </row>
    <row r="107">
      <c r="F107" s="5">
        <f>IFERROR(INDEX('Company MOA setup'!$B$3:$B$500,MATCH($A107,'Company MOA setup'!$A$3:$A$500,0)),"Division default")</f>
        <v/>
      </c>
      <c r="L107" s="5">
        <f>IF($E107="","",TRIM(IFERROR(INDEX(Divisions!$C$3:$C$50,MATCH($E107,Divisions!$A$3:$A$50,0)),"")&amp;IF(IFERROR(INDEX(Divisions!$E$3:$E$50,MATCH($E107,Divisions!$A$3:$A$50,0)),"")&lt;&gt;"",", "&amp;IFERROR(INDEX(Divisions!$E$3:$E$50,MATCH($E107,Divisions!$A$3:$A$50,0)),""),"")&amp;IF(IFERROR(INDEX(Divisions!$G$3:$G$50,MATCH($E107,Divisions!$A$3:$A$50,0)),"")&lt;&gt;"",", "&amp;IFERROR(INDEX(Divisions!$G$3:$G$50,MATCH($E107,Divisions!$A$3:$A$50,0)),""),"")&amp;IF(IFERROR(INDEX(Divisions!$I$3:$I$50,MATCH($E107,Divisions!$A$3:$A$50,0)),"")&lt;&gt;"",", "&amp;IFERROR(INDEX(Divisions!$I$3:$I$50,MATCH($E107,Divisions!$A$3:$A$50,0)),""),"")))</f>
        <v/>
      </c>
    </row>
    <row r="108">
      <c r="F108" s="5">
        <f>IFERROR(INDEX('Company MOA setup'!$B$3:$B$500,MATCH($A108,'Company MOA setup'!$A$3:$A$500,0)),"Division default")</f>
        <v/>
      </c>
      <c r="L108" s="5">
        <f>IF($E108="","",TRIM(IFERROR(INDEX(Divisions!$C$3:$C$50,MATCH($E108,Divisions!$A$3:$A$50,0)),"")&amp;IF(IFERROR(INDEX(Divisions!$E$3:$E$50,MATCH($E108,Divisions!$A$3:$A$50,0)),"")&lt;&gt;"",", "&amp;IFERROR(INDEX(Divisions!$E$3:$E$50,MATCH($E108,Divisions!$A$3:$A$50,0)),""),"")&amp;IF(IFERROR(INDEX(Divisions!$G$3:$G$50,MATCH($E108,Divisions!$A$3:$A$50,0)),"")&lt;&gt;"",", "&amp;IFERROR(INDEX(Divisions!$G$3:$G$50,MATCH($E108,Divisions!$A$3:$A$50,0)),""),"")&amp;IF(IFERROR(INDEX(Divisions!$I$3:$I$50,MATCH($E108,Divisions!$A$3:$A$50,0)),"")&lt;&gt;"",", "&amp;IFERROR(INDEX(Divisions!$I$3:$I$50,MATCH($E108,Divisions!$A$3:$A$50,0)),""),"")))</f>
        <v/>
      </c>
    </row>
    <row r="109">
      <c r="F109" s="5">
        <f>IFERROR(INDEX('Company MOA setup'!$B$3:$B$500,MATCH($A109,'Company MOA setup'!$A$3:$A$500,0)),"Division default")</f>
        <v/>
      </c>
      <c r="L109" s="5">
        <f>IF($E109="","",TRIM(IFERROR(INDEX(Divisions!$C$3:$C$50,MATCH($E109,Divisions!$A$3:$A$50,0)),"")&amp;IF(IFERROR(INDEX(Divisions!$E$3:$E$50,MATCH($E109,Divisions!$A$3:$A$50,0)),"")&lt;&gt;"",", "&amp;IFERROR(INDEX(Divisions!$E$3:$E$50,MATCH($E109,Divisions!$A$3:$A$50,0)),""),"")&amp;IF(IFERROR(INDEX(Divisions!$G$3:$G$50,MATCH($E109,Divisions!$A$3:$A$50,0)),"")&lt;&gt;"",", "&amp;IFERROR(INDEX(Divisions!$G$3:$G$50,MATCH($E109,Divisions!$A$3:$A$50,0)),""),"")&amp;IF(IFERROR(INDEX(Divisions!$I$3:$I$50,MATCH($E109,Divisions!$A$3:$A$50,0)),"")&lt;&gt;"",", "&amp;IFERROR(INDEX(Divisions!$I$3:$I$50,MATCH($E109,Divisions!$A$3:$A$50,0)),""),"")))</f>
        <v/>
      </c>
    </row>
    <row r="110">
      <c r="F110" s="5">
        <f>IFERROR(INDEX('Company MOA setup'!$B$3:$B$500,MATCH($A110,'Company MOA setup'!$A$3:$A$500,0)),"Division default")</f>
        <v/>
      </c>
      <c r="L110" s="5">
        <f>IF($E110="","",TRIM(IFERROR(INDEX(Divisions!$C$3:$C$50,MATCH($E110,Divisions!$A$3:$A$50,0)),"")&amp;IF(IFERROR(INDEX(Divisions!$E$3:$E$50,MATCH($E110,Divisions!$A$3:$A$50,0)),"")&lt;&gt;"",", "&amp;IFERROR(INDEX(Divisions!$E$3:$E$50,MATCH($E110,Divisions!$A$3:$A$50,0)),""),"")&amp;IF(IFERROR(INDEX(Divisions!$G$3:$G$50,MATCH($E110,Divisions!$A$3:$A$50,0)),"")&lt;&gt;"",", "&amp;IFERROR(INDEX(Divisions!$G$3:$G$50,MATCH($E110,Divisions!$A$3:$A$50,0)),""),"")&amp;IF(IFERROR(INDEX(Divisions!$I$3:$I$50,MATCH($E110,Divisions!$A$3:$A$50,0)),"")&lt;&gt;"",", "&amp;IFERROR(INDEX(Divisions!$I$3:$I$50,MATCH($E110,Divisions!$A$3:$A$50,0)),""),"")))</f>
        <v/>
      </c>
    </row>
    <row r="111">
      <c r="F111" s="5">
        <f>IFERROR(INDEX('Company MOA setup'!$B$3:$B$500,MATCH($A111,'Company MOA setup'!$A$3:$A$500,0)),"Division default")</f>
        <v/>
      </c>
      <c r="L111" s="5">
        <f>IF($E111="","",TRIM(IFERROR(INDEX(Divisions!$C$3:$C$50,MATCH($E111,Divisions!$A$3:$A$50,0)),"")&amp;IF(IFERROR(INDEX(Divisions!$E$3:$E$50,MATCH($E111,Divisions!$A$3:$A$50,0)),"")&lt;&gt;"",", "&amp;IFERROR(INDEX(Divisions!$E$3:$E$50,MATCH($E111,Divisions!$A$3:$A$50,0)),""),"")&amp;IF(IFERROR(INDEX(Divisions!$G$3:$G$50,MATCH($E111,Divisions!$A$3:$A$50,0)),"")&lt;&gt;"",", "&amp;IFERROR(INDEX(Divisions!$G$3:$G$50,MATCH($E111,Divisions!$A$3:$A$50,0)),""),"")&amp;IF(IFERROR(INDEX(Divisions!$I$3:$I$50,MATCH($E111,Divisions!$A$3:$A$50,0)),"")&lt;&gt;"",", "&amp;IFERROR(INDEX(Divisions!$I$3:$I$50,MATCH($E111,Divisions!$A$3:$A$50,0)),""),"")))</f>
        <v/>
      </c>
    </row>
    <row r="112">
      <c r="F112" s="5">
        <f>IFERROR(INDEX('Company MOA setup'!$B$3:$B$500,MATCH($A112,'Company MOA setup'!$A$3:$A$500,0)),"Division default")</f>
        <v/>
      </c>
      <c r="L112" s="5">
        <f>IF($E112="","",TRIM(IFERROR(INDEX(Divisions!$C$3:$C$50,MATCH($E112,Divisions!$A$3:$A$50,0)),"")&amp;IF(IFERROR(INDEX(Divisions!$E$3:$E$50,MATCH($E112,Divisions!$A$3:$A$50,0)),"")&lt;&gt;"",", "&amp;IFERROR(INDEX(Divisions!$E$3:$E$50,MATCH($E112,Divisions!$A$3:$A$50,0)),""),"")&amp;IF(IFERROR(INDEX(Divisions!$G$3:$G$50,MATCH($E112,Divisions!$A$3:$A$50,0)),"")&lt;&gt;"",", "&amp;IFERROR(INDEX(Divisions!$G$3:$G$50,MATCH($E112,Divisions!$A$3:$A$50,0)),""),"")&amp;IF(IFERROR(INDEX(Divisions!$I$3:$I$50,MATCH($E112,Divisions!$A$3:$A$50,0)),"")&lt;&gt;"",", "&amp;IFERROR(INDEX(Divisions!$I$3:$I$50,MATCH($E112,Divisions!$A$3:$A$50,0)),""),"")))</f>
        <v/>
      </c>
    </row>
    <row r="113">
      <c r="F113" s="5">
        <f>IFERROR(INDEX('Company MOA setup'!$B$3:$B$500,MATCH($A113,'Company MOA setup'!$A$3:$A$500,0)),"Division default")</f>
        <v/>
      </c>
      <c r="L113" s="5">
        <f>IF($E113="","",TRIM(IFERROR(INDEX(Divisions!$C$3:$C$50,MATCH($E113,Divisions!$A$3:$A$50,0)),"")&amp;IF(IFERROR(INDEX(Divisions!$E$3:$E$50,MATCH($E113,Divisions!$A$3:$A$50,0)),"")&lt;&gt;"",", "&amp;IFERROR(INDEX(Divisions!$E$3:$E$50,MATCH($E113,Divisions!$A$3:$A$50,0)),""),"")&amp;IF(IFERROR(INDEX(Divisions!$G$3:$G$50,MATCH($E113,Divisions!$A$3:$A$50,0)),"")&lt;&gt;"",", "&amp;IFERROR(INDEX(Divisions!$G$3:$G$50,MATCH($E113,Divisions!$A$3:$A$50,0)),""),"")&amp;IF(IFERROR(INDEX(Divisions!$I$3:$I$50,MATCH($E113,Divisions!$A$3:$A$50,0)),"")&lt;&gt;"",", "&amp;IFERROR(INDEX(Divisions!$I$3:$I$50,MATCH($E113,Divisions!$A$3:$A$50,0)),""),"")))</f>
        <v/>
      </c>
    </row>
    <row r="114">
      <c r="F114" s="5">
        <f>IFERROR(INDEX('Company MOA setup'!$B$3:$B$500,MATCH($A114,'Company MOA setup'!$A$3:$A$500,0)),"Division default")</f>
        <v/>
      </c>
      <c r="L114" s="5">
        <f>IF($E114="","",TRIM(IFERROR(INDEX(Divisions!$C$3:$C$50,MATCH($E114,Divisions!$A$3:$A$50,0)),"")&amp;IF(IFERROR(INDEX(Divisions!$E$3:$E$50,MATCH($E114,Divisions!$A$3:$A$50,0)),"")&lt;&gt;"",", "&amp;IFERROR(INDEX(Divisions!$E$3:$E$50,MATCH($E114,Divisions!$A$3:$A$50,0)),""),"")&amp;IF(IFERROR(INDEX(Divisions!$G$3:$G$50,MATCH($E114,Divisions!$A$3:$A$50,0)),"")&lt;&gt;"",", "&amp;IFERROR(INDEX(Divisions!$G$3:$G$50,MATCH($E114,Divisions!$A$3:$A$50,0)),""),"")&amp;IF(IFERROR(INDEX(Divisions!$I$3:$I$50,MATCH($E114,Divisions!$A$3:$A$50,0)),"")&lt;&gt;"",", "&amp;IFERROR(INDEX(Divisions!$I$3:$I$50,MATCH($E114,Divisions!$A$3:$A$50,0)),""),"")))</f>
        <v/>
      </c>
    </row>
    <row r="115">
      <c r="F115" s="5">
        <f>IFERROR(INDEX('Company MOA setup'!$B$3:$B$500,MATCH($A115,'Company MOA setup'!$A$3:$A$500,0)),"Division default")</f>
        <v/>
      </c>
      <c r="L115" s="5">
        <f>IF($E115="","",TRIM(IFERROR(INDEX(Divisions!$C$3:$C$50,MATCH($E115,Divisions!$A$3:$A$50,0)),"")&amp;IF(IFERROR(INDEX(Divisions!$E$3:$E$50,MATCH($E115,Divisions!$A$3:$A$50,0)),"")&lt;&gt;"",", "&amp;IFERROR(INDEX(Divisions!$E$3:$E$50,MATCH($E115,Divisions!$A$3:$A$50,0)),""),"")&amp;IF(IFERROR(INDEX(Divisions!$G$3:$G$50,MATCH($E115,Divisions!$A$3:$A$50,0)),"")&lt;&gt;"",", "&amp;IFERROR(INDEX(Divisions!$G$3:$G$50,MATCH($E115,Divisions!$A$3:$A$50,0)),""),"")&amp;IF(IFERROR(INDEX(Divisions!$I$3:$I$50,MATCH($E115,Divisions!$A$3:$A$50,0)),"")&lt;&gt;"",", "&amp;IFERROR(INDEX(Divisions!$I$3:$I$50,MATCH($E115,Divisions!$A$3:$A$50,0)),""),"")))</f>
        <v/>
      </c>
    </row>
    <row r="116">
      <c r="F116" s="5">
        <f>IFERROR(INDEX('Company MOA setup'!$B$3:$B$500,MATCH($A116,'Company MOA setup'!$A$3:$A$500,0)),"Division default")</f>
        <v/>
      </c>
      <c r="L116" s="5">
        <f>IF($E116="","",TRIM(IFERROR(INDEX(Divisions!$C$3:$C$50,MATCH($E116,Divisions!$A$3:$A$50,0)),"")&amp;IF(IFERROR(INDEX(Divisions!$E$3:$E$50,MATCH($E116,Divisions!$A$3:$A$50,0)),"")&lt;&gt;"",", "&amp;IFERROR(INDEX(Divisions!$E$3:$E$50,MATCH($E116,Divisions!$A$3:$A$50,0)),""),"")&amp;IF(IFERROR(INDEX(Divisions!$G$3:$G$50,MATCH($E116,Divisions!$A$3:$A$50,0)),"")&lt;&gt;"",", "&amp;IFERROR(INDEX(Divisions!$G$3:$G$50,MATCH($E116,Divisions!$A$3:$A$50,0)),""),"")&amp;IF(IFERROR(INDEX(Divisions!$I$3:$I$50,MATCH($E116,Divisions!$A$3:$A$50,0)),"")&lt;&gt;"",", "&amp;IFERROR(INDEX(Divisions!$I$3:$I$50,MATCH($E116,Divisions!$A$3:$A$50,0)),""),"")))</f>
        <v/>
      </c>
    </row>
    <row r="117">
      <c r="F117" s="5">
        <f>IFERROR(INDEX('Company MOA setup'!$B$3:$B$500,MATCH($A117,'Company MOA setup'!$A$3:$A$500,0)),"Division default")</f>
        <v/>
      </c>
      <c r="L117" s="5">
        <f>IF($E117="","",TRIM(IFERROR(INDEX(Divisions!$C$3:$C$50,MATCH($E117,Divisions!$A$3:$A$50,0)),"")&amp;IF(IFERROR(INDEX(Divisions!$E$3:$E$50,MATCH($E117,Divisions!$A$3:$A$50,0)),"")&lt;&gt;"",", "&amp;IFERROR(INDEX(Divisions!$E$3:$E$50,MATCH($E117,Divisions!$A$3:$A$50,0)),""),"")&amp;IF(IFERROR(INDEX(Divisions!$G$3:$G$50,MATCH($E117,Divisions!$A$3:$A$50,0)),"")&lt;&gt;"",", "&amp;IFERROR(INDEX(Divisions!$G$3:$G$50,MATCH($E117,Divisions!$A$3:$A$50,0)),""),"")&amp;IF(IFERROR(INDEX(Divisions!$I$3:$I$50,MATCH($E117,Divisions!$A$3:$A$50,0)),"")&lt;&gt;"",", "&amp;IFERROR(INDEX(Divisions!$I$3:$I$50,MATCH($E117,Divisions!$A$3:$A$50,0)),""),"")))</f>
        <v/>
      </c>
    </row>
    <row r="118">
      <c r="F118" s="5">
        <f>IFERROR(INDEX('Company MOA setup'!$B$3:$B$500,MATCH($A118,'Company MOA setup'!$A$3:$A$500,0)),"Division default")</f>
        <v/>
      </c>
      <c r="L118" s="5">
        <f>IF($E118="","",TRIM(IFERROR(INDEX(Divisions!$C$3:$C$50,MATCH($E118,Divisions!$A$3:$A$50,0)),"")&amp;IF(IFERROR(INDEX(Divisions!$E$3:$E$50,MATCH($E118,Divisions!$A$3:$A$50,0)),"")&lt;&gt;"",", "&amp;IFERROR(INDEX(Divisions!$E$3:$E$50,MATCH($E118,Divisions!$A$3:$A$50,0)),""),"")&amp;IF(IFERROR(INDEX(Divisions!$G$3:$G$50,MATCH($E118,Divisions!$A$3:$A$50,0)),"")&lt;&gt;"",", "&amp;IFERROR(INDEX(Divisions!$G$3:$G$50,MATCH($E118,Divisions!$A$3:$A$50,0)),""),"")&amp;IF(IFERROR(INDEX(Divisions!$I$3:$I$50,MATCH($E118,Divisions!$A$3:$A$50,0)),"")&lt;&gt;"",", "&amp;IFERROR(INDEX(Divisions!$I$3:$I$50,MATCH($E118,Divisions!$A$3:$A$50,0)),""),"")))</f>
        <v/>
      </c>
    </row>
    <row r="119">
      <c r="F119" s="5">
        <f>IFERROR(INDEX('Company MOA setup'!$B$3:$B$500,MATCH($A119,'Company MOA setup'!$A$3:$A$500,0)),"Division default")</f>
        <v/>
      </c>
      <c r="L119" s="5">
        <f>IF($E119="","",TRIM(IFERROR(INDEX(Divisions!$C$3:$C$50,MATCH($E119,Divisions!$A$3:$A$50,0)),"")&amp;IF(IFERROR(INDEX(Divisions!$E$3:$E$50,MATCH($E119,Divisions!$A$3:$A$50,0)),"")&lt;&gt;"",", "&amp;IFERROR(INDEX(Divisions!$E$3:$E$50,MATCH($E119,Divisions!$A$3:$A$50,0)),""),"")&amp;IF(IFERROR(INDEX(Divisions!$G$3:$G$50,MATCH($E119,Divisions!$A$3:$A$50,0)),"")&lt;&gt;"",", "&amp;IFERROR(INDEX(Divisions!$G$3:$G$50,MATCH($E119,Divisions!$A$3:$A$50,0)),""),"")&amp;IF(IFERROR(INDEX(Divisions!$I$3:$I$50,MATCH($E119,Divisions!$A$3:$A$50,0)),"")&lt;&gt;"",", "&amp;IFERROR(INDEX(Divisions!$I$3:$I$50,MATCH($E119,Divisions!$A$3:$A$50,0)),""),"")))</f>
        <v/>
      </c>
    </row>
    <row r="120">
      <c r="F120" s="5">
        <f>IFERROR(INDEX('Company MOA setup'!$B$3:$B$500,MATCH($A120,'Company MOA setup'!$A$3:$A$500,0)),"Division default")</f>
        <v/>
      </c>
      <c r="L120" s="5">
        <f>IF($E120="","",TRIM(IFERROR(INDEX(Divisions!$C$3:$C$50,MATCH($E120,Divisions!$A$3:$A$50,0)),"")&amp;IF(IFERROR(INDEX(Divisions!$E$3:$E$50,MATCH($E120,Divisions!$A$3:$A$50,0)),"")&lt;&gt;"",", "&amp;IFERROR(INDEX(Divisions!$E$3:$E$50,MATCH($E120,Divisions!$A$3:$A$50,0)),""),"")&amp;IF(IFERROR(INDEX(Divisions!$G$3:$G$50,MATCH($E120,Divisions!$A$3:$A$50,0)),"")&lt;&gt;"",", "&amp;IFERROR(INDEX(Divisions!$G$3:$G$50,MATCH($E120,Divisions!$A$3:$A$50,0)),""),"")&amp;IF(IFERROR(INDEX(Divisions!$I$3:$I$50,MATCH($E120,Divisions!$A$3:$A$50,0)),"")&lt;&gt;"",", "&amp;IFERROR(INDEX(Divisions!$I$3:$I$50,MATCH($E120,Divisions!$A$3:$A$50,0)),""),"")))</f>
        <v/>
      </c>
    </row>
    <row r="121">
      <c r="F121" s="5">
        <f>IFERROR(INDEX('Company MOA setup'!$B$3:$B$500,MATCH($A121,'Company MOA setup'!$A$3:$A$500,0)),"Division default")</f>
        <v/>
      </c>
      <c r="L121" s="5">
        <f>IF($E121="","",TRIM(IFERROR(INDEX(Divisions!$C$3:$C$50,MATCH($E121,Divisions!$A$3:$A$50,0)),"")&amp;IF(IFERROR(INDEX(Divisions!$E$3:$E$50,MATCH($E121,Divisions!$A$3:$A$50,0)),"")&lt;&gt;"",", "&amp;IFERROR(INDEX(Divisions!$E$3:$E$50,MATCH($E121,Divisions!$A$3:$A$50,0)),""),"")&amp;IF(IFERROR(INDEX(Divisions!$G$3:$G$50,MATCH($E121,Divisions!$A$3:$A$50,0)),"")&lt;&gt;"",", "&amp;IFERROR(INDEX(Divisions!$G$3:$G$50,MATCH($E121,Divisions!$A$3:$A$50,0)),""),"")&amp;IF(IFERROR(INDEX(Divisions!$I$3:$I$50,MATCH($E121,Divisions!$A$3:$A$50,0)),"")&lt;&gt;"",", "&amp;IFERROR(INDEX(Divisions!$I$3:$I$50,MATCH($E121,Divisions!$A$3:$A$50,0)),""),"")))</f>
        <v/>
      </c>
    </row>
    <row r="122">
      <c r="F122" s="5">
        <f>IFERROR(INDEX('Company MOA setup'!$B$3:$B$500,MATCH($A122,'Company MOA setup'!$A$3:$A$500,0)),"Division default")</f>
        <v/>
      </c>
      <c r="L122" s="5">
        <f>IF($E122="","",TRIM(IFERROR(INDEX(Divisions!$C$3:$C$50,MATCH($E122,Divisions!$A$3:$A$50,0)),"")&amp;IF(IFERROR(INDEX(Divisions!$E$3:$E$50,MATCH($E122,Divisions!$A$3:$A$50,0)),"")&lt;&gt;"",", "&amp;IFERROR(INDEX(Divisions!$E$3:$E$50,MATCH($E122,Divisions!$A$3:$A$50,0)),""),"")&amp;IF(IFERROR(INDEX(Divisions!$G$3:$G$50,MATCH($E122,Divisions!$A$3:$A$50,0)),"")&lt;&gt;"",", "&amp;IFERROR(INDEX(Divisions!$G$3:$G$50,MATCH($E122,Divisions!$A$3:$A$50,0)),""),"")&amp;IF(IFERROR(INDEX(Divisions!$I$3:$I$50,MATCH($E122,Divisions!$A$3:$A$50,0)),"")&lt;&gt;"",", "&amp;IFERROR(INDEX(Divisions!$I$3:$I$50,MATCH($E122,Divisions!$A$3:$A$50,0)),""),"")))</f>
        <v/>
      </c>
    </row>
    <row r="123">
      <c r="F123" s="5">
        <f>IFERROR(INDEX('Company MOA setup'!$B$3:$B$500,MATCH($A123,'Company MOA setup'!$A$3:$A$500,0)),"Division default")</f>
        <v/>
      </c>
      <c r="L123" s="5">
        <f>IF($E123="","",TRIM(IFERROR(INDEX(Divisions!$C$3:$C$50,MATCH($E123,Divisions!$A$3:$A$50,0)),"")&amp;IF(IFERROR(INDEX(Divisions!$E$3:$E$50,MATCH($E123,Divisions!$A$3:$A$50,0)),"")&lt;&gt;"",", "&amp;IFERROR(INDEX(Divisions!$E$3:$E$50,MATCH($E123,Divisions!$A$3:$A$50,0)),""),"")&amp;IF(IFERROR(INDEX(Divisions!$G$3:$G$50,MATCH($E123,Divisions!$A$3:$A$50,0)),"")&lt;&gt;"",", "&amp;IFERROR(INDEX(Divisions!$G$3:$G$50,MATCH($E123,Divisions!$A$3:$A$50,0)),""),"")&amp;IF(IFERROR(INDEX(Divisions!$I$3:$I$50,MATCH($E123,Divisions!$A$3:$A$50,0)),"")&lt;&gt;"",", "&amp;IFERROR(INDEX(Divisions!$I$3:$I$50,MATCH($E123,Divisions!$A$3:$A$50,0)),""),"")))</f>
        <v/>
      </c>
    </row>
    <row r="124">
      <c r="F124" s="5">
        <f>IFERROR(INDEX('Company MOA setup'!$B$3:$B$500,MATCH($A124,'Company MOA setup'!$A$3:$A$500,0)),"Division default")</f>
        <v/>
      </c>
      <c r="L124" s="5">
        <f>IF($E124="","",TRIM(IFERROR(INDEX(Divisions!$C$3:$C$50,MATCH($E124,Divisions!$A$3:$A$50,0)),"")&amp;IF(IFERROR(INDEX(Divisions!$E$3:$E$50,MATCH($E124,Divisions!$A$3:$A$50,0)),"")&lt;&gt;"",", "&amp;IFERROR(INDEX(Divisions!$E$3:$E$50,MATCH($E124,Divisions!$A$3:$A$50,0)),""),"")&amp;IF(IFERROR(INDEX(Divisions!$G$3:$G$50,MATCH($E124,Divisions!$A$3:$A$50,0)),"")&lt;&gt;"",", "&amp;IFERROR(INDEX(Divisions!$G$3:$G$50,MATCH($E124,Divisions!$A$3:$A$50,0)),""),"")&amp;IF(IFERROR(INDEX(Divisions!$I$3:$I$50,MATCH($E124,Divisions!$A$3:$A$50,0)),"")&lt;&gt;"",", "&amp;IFERROR(INDEX(Divisions!$I$3:$I$50,MATCH($E124,Divisions!$A$3:$A$50,0)),""),"")))</f>
        <v/>
      </c>
    </row>
    <row r="125">
      <c r="F125" s="5">
        <f>IFERROR(INDEX('Company MOA setup'!$B$3:$B$500,MATCH($A125,'Company MOA setup'!$A$3:$A$500,0)),"Division default")</f>
        <v/>
      </c>
      <c r="L125" s="5">
        <f>IF($E125="","",TRIM(IFERROR(INDEX(Divisions!$C$3:$C$50,MATCH($E125,Divisions!$A$3:$A$50,0)),"")&amp;IF(IFERROR(INDEX(Divisions!$E$3:$E$50,MATCH($E125,Divisions!$A$3:$A$50,0)),"")&lt;&gt;"",", "&amp;IFERROR(INDEX(Divisions!$E$3:$E$50,MATCH($E125,Divisions!$A$3:$A$50,0)),""),"")&amp;IF(IFERROR(INDEX(Divisions!$G$3:$G$50,MATCH($E125,Divisions!$A$3:$A$50,0)),"")&lt;&gt;"",", "&amp;IFERROR(INDEX(Divisions!$G$3:$G$50,MATCH($E125,Divisions!$A$3:$A$50,0)),""),"")&amp;IF(IFERROR(INDEX(Divisions!$I$3:$I$50,MATCH($E125,Divisions!$A$3:$A$50,0)),"")&lt;&gt;"",", "&amp;IFERROR(INDEX(Divisions!$I$3:$I$50,MATCH($E125,Divisions!$A$3:$A$50,0)),""),"")))</f>
        <v/>
      </c>
    </row>
    <row r="126">
      <c r="F126" s="5">
        <f>IFERROR(INDEX('Company MOA setup'!$B$3:$B$500,MATCH($A126,'Company MOA setup'!$A$3:$A$500,0)),"Division default")</f>
        <v/>
      </c>
      <c r="L126" s="5">
        <f>IF($E126="","",TRIM(IFERROR(INDEX(Divisions!$C$3:$C$50,MATCH($E126,Divisions!$A$3:$A$50,0)),"")&amp;IF(IFERROR(INDEX(Divisions!$E$3:$E$50,MATCH($E126,Divisions!$A$3:$A$50,0)),"")&lt;&gt;"",", "&amp;IFERROR(INDEX(Divisions!$E$3:$E$50,MATCH($E126,Divisions!$A$3:$A$50,0)),""),"")&amp;IF(IFERROR(INDEX(Divisions!$G$3:$G$50,MATCH($E126,Divisions!$A$3:$A$50,0)),"")&lt;&gt;"",", "&amp;IFERROR(INDEX(Divisions!$G$3:$G$50,MATCH($E126,Divisions!$A$3:$A$50,0)),""),"")&amp;IF(IFERROR(INDEX(Divisions!$I$3:$I$50,MATCH($E126,Divisions!$A$3:$A$50,0)),"")&lt;&gt;"",", "&amp;IFERROR(INDEX(Divisions!$I$3:$I$50,MATCH($E126,Divisions!$A$3:$A$50,0)),""),"")))</f>
        <v/>
      </c>
    </row>
    <row r="127">
      <c r="F127" s="5">
        <f>IFERROR(INDEX('Company MOA setup'!$B$3:$B$500,MATCH($A127,'Company MOA setup'!$A$3:$A$500,0)),"Division default")</f>
        <v/>
      </c>
      <c r="L127" s="5">
        <f>IF($E127="","",TRIM(IFERROR(INDEX(Divisions!$C$3:$C$50,MATCH($E127,Divisions!$A$3:$A$50,0)),"")&amp;IF(IFERROR(INDEX(Divisions!$E$3:$E$50,MATCH($E127,Divisions!$A$3:$A$50,0)),"")&lt;&gt;"",", "&amp;IFERROR(INDEX(Divisions!$E$3:$E$50,MATCH($E127,Divisions!$A$3:$A$50,0)),""),"")&amp;IF(IFERROR(INDEX(Divisions!$G$3:$G$50,MATCH($E127,Divisions!$A$3:$A$50,0)),"")&lt;&gt;"",", "&amp;IFERROR(INDEX(Divisions!$G$3:$G$50,MATCH($E127,Divisions!$A$3:$A$50,0)),""),"")&amp;IF(IFERROR(INDEX(Divisions!$I$3:$I$50,MATCH($E127,Divisions!$A$3:$A$50,0)),"")&lt;&gt;"",", "&amp;IFERROR(INDEX(Divisions!$I$3:$I$50,MATCH($E127,Divisions!$A$3:$A$50,0)),""),"")))</f>
        <v/>
      </c>
    </row>
    <row r="128">
      <c r="F128" s="5">
        <f>IFERROR(INDEX('Company MOA setup'!$B$3:$B$500,MATCH($A128,'Company MOA setup'!$A$3:$A$500,0)),"Division default")</f>
        <v/>
      </c>
      <c r="L128" s="5">
        <f>IF($E128="","",TRIM(IFERROR(INDEX(Divisions!$C$3:$C$50,MATCH($E128,Divisions!$A$3:$A$50,0)),"")&amp;IF(IFERROR(INDEX(Divisions!$E$3:$E$50,MATCH($E128,Divisions!$A$3:$A$50,0)),"")&lt;&gt;"",", "&amp;IFERROR(INDEX(Divisions!$E$3:$E$50,MATCH($E128,Divisions!$A$3:$A$50,0)),""),"")&amp;IF(IFERROR(INDEX(Divisions!$G$3:$G$50,MATCH($E128,Divisions!$A$3:$A$50,0)),"")&lt;&gt;"",", "&amp;IFERROR(INDEX(Divisions!$G$3:$G$50,MATCH($E128,Divisions!$A$3:$A$50,0)),""),"")&amp;IF(IFERROR(INDEX(Divisions!$I$3:$I$50,MATCH($E128,Divisions!$A$3:$A$50,0)),"")&lt;&gt;"",", "&amp;IFERROR(INDEX(Divisions!$I$3:$I$50,MATCH($E128,Divisions!$A$3:$A$50,0)),""),"")))</f>
        <v/>
      </c>
    </row>
    <row r="129">
      <c r="F129" s="5">
        <f>IFERROR(INDEX('Company MOA setup'!$B$3:$B$500,MATCH($A129,'Company MOA setup'!$A$3:$A$500,0)),"Division default")</f>
        <v/>
      </c>
      <c r="L129" s="5">
        <f>IF($E129="","",TRIM(IFERROR(INDEX(Divisions!$C$3:$C$50,MATCH($E129,Divisions!$A$3:$A$50,0)),"")&amp;IF(IFERROR(INDEX(Divisions!$E$3:$E$50,MATCH($E129,Divisions!$A$3:$A$50,0)),"")&lt;&gt;"",", "&amp;IFERROR(INDEX(Divisions!$E$3:$E$50,MATCH($E129,Divisions!$A$3:$A$50,0)),""),"")&amp;IF(IFERROR(INDEX(Divisions!$G$3:$G$50,MATCH($E129,Divisions!$A$3:$A$50,0)),"")&lt;&gt;"",", "&amp;IFERROR(INDEX(Divisions!$G$3:$G$50,MATCH($E129,Divisions!$A$3:$A$50,0)),""),"")&amp;IF(IFERROR(INDEX(Divisions!$I$3:$I$50,MATCH($E129,Divisions!$A$3:$A$50,0)),"")&lt;&gt;"",", "&amp;IFERROR(INDEX(Divisions!$I$3:$I$50,MATCH($E129,Divisions!$A$3:$A$50,0)),""),"")))</f>
        <v/>
      </c>
    </row>
    <row r="130">
      <c r="F130" s="5">
        <f>IFERROR(INDEX('Company MOA setup'!$B$3:$B$500,MATCH($A130,'Company MOA setup'!$A$3:$A$500,0)),"Division default")</f>
        <v/>
      </c>
      <c r="L130" s="5">
        <f>IF($E130="","",TRIM(IFERROR(INDEX(Divisions!$C$3:$C$50,MATCH($E130,Divisions!$A$3:$A$50,0)),"")&amp;IF(IFERROR(INDEX(Divisions!$E$3:$E$50,MATCH($E130,Divisions!$A$3:$A$50,0)),"")&lt;&gt;"",", "&amp;IFERROR(INDEX(Divisions!$E$3:$E$50,MATCH($E130,Divisions!$A$3:$A$50,0)),""),"")&amp;IF(IFERROR(INDEX(Divisions!$G$3:$G$50,MATCH($E130,Divisions!$A$3:$A$50,0)),"")&lt;&gt;"",", "&amp;IFERROR(INDEX(Divisions!$G$3:$G$50,MATCH($E130,Divisions!$A$3:$A$50,0)),""),"")&amp;IF(IFERROR(INDEX(Divisions!$I$3:$I$50,MATCH($E130,Divisions!$A$3:$A$50,0)),"")&lt;&gt;"",", "&amp;IFERROR(INDEX(Divisions!$I$3:$I$50,MATCH($E130,Divisions!$A$3:$A$50,0)),""),"")))</f>
        <v/>
      </c>
    </row>
    <row r="131">
      <c r="F131" s="5">
        <f>IFERROR(INDEX('Company MOA setup'!$B$3:$B$500,MATCH($A131,'Company MOA setup'!$A$3:$A$500,0)),"Division default")</f>
        <v/>
      </c>
      <c r="L131" s="5">
        <f>IF($E131="","",TRIM(IFERROR(INDEX(Divisions!$C$3:$C$50,MATCH($E131,Divisions!$A$3:$A$50,0)),"")&amp;IF(IFERROR(INDEX(Divisions!$E$3:$E$50,MATCH($E131,Divisions!$A$3:$A$50,0)),"")&lt;&gt;"",", "&amp;IFERROR(INDEX(Divisions!$E$3:$E$50,MATCH($E131,Divisions!$A$3:$A$50,0)),""),"")&amp;IF(IFERROR(INDEX(Divisions!$G$3:$G$50,MATCH($E131,Divisions!$A$3:$A$50,0)),"")&lt;&gt;"",", "&amp;IFERROR(INDEX(Divisions!$G$3:$G$50,MATCH($E131,Divisions!$A$3:$A$50,0)),""),"")&amp;IF(IFERROR(INDEX(Divisions!$I$3:$I$50,MATCH($E131,Divisions!$A$3:$A$50,0)),"")&lt;&gt;"",", "&amp;IFERROR(INDEX(Divisions!$I$3:$I$50,MATCH($E131,Divisions!$A$3:$A$50,0)),""),"")))</f>
        <v/>
      </c>
    </row>
    <row r="132">
      <c r="F132" s="5">
        <f>IFERROR(INDEX('Company MOA setup'!$B$3:$B$500,MATCH($A132,'Company MOA setup'!$A$3:$A$500,0)),"Division default")</f>
        <v/>
      </c>
      <c r="L132" s="5">
        <f>IF($E132="","",TRIM(IFERROR(INDEX(Divisions!$C$3:$C$50,MATCH($E132,Divisions!$A$3:$A$50,0)),"")&amp;IF(IFERROR(INDEX(Divisions!$E$3:$E$50,MATCH($E132,Divisions!$A$3:$A$50,0)),"")&lt;&gt;"",", "&amp;IFERROR(INDEX(Divisions!$E$3:$E$50,MATCH($E132,Divisions!$A$3:$A$50,0)),""),"")&amp;IF(IFERROR(INDEX(Divisions!$G$3:$G$50,MATCH($E132,Divisions!$A$3:$A$50,0)),"")&lt;&gt;"",", "&amp;IFERROR(INDEX(Divisions!$G$3:$G$50,MATCH($E132,Divisions!$A$3:$A$50,0)),""),"")&amp;IF(IFERROR(INDEX(Divisions!$I$3:$I$50,MATCH($E132,Divisions!$A$3:$A$50,0)),"")&lt;&gt;"",", "&amp;IFERROR(INDEX(Divisions!$I$3:$I$50,MATCH($E132,Divisions!$A$3:$A$50,0)),""),"")))</f>
        <v/>
      </c>
    </row>
    <row r="133">
      <c r="F133" s="5">
        <f>IFERROR(INDEX('Company MOA setup'!$B$3:$B$500,MATCH($A133,'Company MOA setup'!$A$3:$A$500,0)),"Division default")</f>
        <v/>
      </c>
      <c r="L133" s="5">
        <f>IF($E133="","",TRIM(IFERROR(INDEX(Divisions!$C$3:$C$50,MATCH($E133,Divisions!$A$3:$A$50,0)),"")&amp;IF(IFERROR(INDEX(Divisions!$E$3:$E$50,MATCH($E133,Divisions!$A$3:$A$50,0)),"")&lt;&gt;"",", "&amp;IFERROR(INDEX(Divisions!$E$3:$E$50,MATCH($E133,Divisions!$A$3:$A$50,0)),""),"")&amp;IF(IFERROR(INDEX(Divisions!$G$3:$G$50,MATCH($E133,Divisions!$A$3:$A$50,0)),"")&lt;&gt;"",", "&amp;IFERROR(INDEX(Divisions!$G$3:$G$50,MATCH($E133,Divisions!$A$3:$A$50,0)),""),"")&amp;IF(IFERROR(INDEX(Divisions!$I$3:$I$50,MATCH($E133,Divisions!$A$3:$A$50,0)),"")&lt;&gt;"",", "&amp;IFERROR(INDEX(Divisions!$I$3:$I$50,MATCH($E133,Divisions!$A$3:$A$50,0)),""),"")))</f>
        <v/>
      </c>
    </row>
    <row r="134">
      <c r="F134" s="5">
        <f>IFERROR(INDEX('Company MOA setup'!$B$3:$B$500,MATCH($A134,'Company MOA setup'!$A$3:$A$500,0)),"Division default")</f>
        <v/>
      </c>
      <c r="L134" s="5">
        <f>IF($E134="","",TRIM(IFERROR(INDEX(Divisions!$C$3:$C$50,MATCH($E134,Divisions!$A$3:$A$50,0)),"")&amp;IF(IFERROR(INDEX(Divisions!$E$3:$E$50,MATCH($E134,Divisions!$A$3:$A$50,0)),"")&lt;&gt;"",", "&amp;IFERROR(INDEX(Divisions!$E$3:$E$50,MATCH($E134,Divisions!$A$3:$A$50,0)),""),"")&amp;IF(IFERROR(INDEX(Divisions!$G$3:$G$50,MATCH($E134,Divisions!$A$3:$A$50,0)),"")&lt;&gt;"",", "&amp;IFERROR(INDEX(Divisions!$G$3:$G$50,MATCH($E134,Divisions!$A$3:$A$50,0)),""),"")&amp;IF(IFERROR(INDEX(Divisions!$I$3:$I$50,MATCH($E134,Divisions!$A$3:$A$50,0)),"")&lt;&gt;"",", "&amp;IFERROR(INDEX(Divisions!$I$3:$I$50,MATCH($E134,Divisions!$A$3:$A$50,0)),""),"")))</f>
        <v/>
      </c>
    </row>
    <row r="135">
      <c r="F135" s="5">
        <f>IFERROR(INDEX('Company MOA setup'!$B$3:$B$500,MATCH($A135,'Company MOA setup'!$A$3:$A$500,0)),"Division default")</f>
        <v/>
      </c>
      <c r="L135" s="5">
        <f>IF($E135="","",TRIM(IFERROR(INDEX(Divisions!$C$3:$C$50,MATCH($E135,Divisions!$A$3:$A$50,0)),"")&amp;IF(IFERROR(INDEX(Divisions!$E$3:$E$50,MATCH($E135,Divisions!$A$3:$A$50,0)),"")&lt;&gt;"",", "&amp;IFERROR(INDEX(Divisions!$E$3:$E$50,MATCH($E135,Divisions!$A$3:$A$50,0)),""),"")&amp;IF(IFERROR(INDEX(Divisions!$G$3:$G$50,MATCH($E135,Divisions!$A$3:$A$50,0)),"")&lt;&gt;"",", "&amp;IFERROR(INDEX(Divisions!$G$3:$G$50,MATCH($E135,Divisions!$A$3:$A$50,0)),""),"")&amp;IF(IFERROR(INDEX(Divisions!$I$3:$I$50,MATCH($E135,Divisions!$A$3:$A$50,0)),"")&lt;&gt;"",", "&amp;IFERROR(INDEX(Divisions!$I$3:$I$50,MATCH($E135,Divisions!$A$3:$A$50,0)),""),"")))</f>
        <v/>
      </c>
    </row>
    <row r="136">
      <c r="F136" s="5">
        <f>IFERROR(INDEX('Company MOA setup'!$B$3:$B$500,MATCH($A136,'Company MOA setup'!$A$3:$A$500,0)),"Division default")</f>
        <v/>
      </c>
      <c r="L136" s="5">
        <f>IF($E136="","",TRIM(IFERROR(INDEX(Divisions!$C$3:$C$50,MATCH($E136,Divisions!$A$3:$A$50,0)),"")&amp;IF(IFERROR(INDEX(Divisions!$E$3:$E$50,MATCH($E136,Divisions!$A$3:$A$50,0)),"")&lt;&gt;"",", "&amp;IFERROR(INDEX(Divisions!$E$3:$E$50,MATCH($E136,Divisions!$A$3:$A$50,0)),""),"")&amp;IF(IFERROR(INDEX(Divisions!$G$3:$G$50,MATCH($E136,Divisions!$A$3:$A$50,0)),"")&lt;&gt;"",", "&amp;IFERROR(INDEX(Divisions!$G$3:$G$50,MATCH($E136,Divisions!$A$3:$A$50,0)),""),"")&amp;IF(IFERROR(INDEX(Divisions!$I$3:$I$50,MATCH($E136,Divisions!$A$3:$A$50,0)),"")&lt;&gt;"",", "&amp;IFERROR(INDEX(Divisions!$I$3:$I$50,MATCH($E136,Divisions!$A$3:$A$50,0)),""),"")))</f>
        <v/>
      </c>
    </row>
    <row r="137">
      <c r="F137" s="5">
        <f>IFERROR(INDEX('Company MOA setup'!$B$3:$B$500,MATCH($A137,'Company MOA setup'!$A$3:$A$500,0)),"Division default")</f>
        <v/>
      </c>
      <c r="L137" s="5">
        <f>IF($E137="","",TRIM(IFERROR(INDEX(Divisions!$C$3:$C$50,MATCH($E137,Divisions!$A$3:$A$50,0)),"")&amp;IF(IFERROR(INDEX(Divisions!$E$3:$E$50,MATCH($E137,Divisions!$A$3:$A$50,0)),"")&lt;&gt;"",", "&amp;IFERROR(INDEX(Divisions!$E$3:$E$50,MATCH($E137,Divisions!$A$3:$A$50,0)),""),"")&amp;IF(IFERROR(INDEX(Divisions!$G$3:$G$50,MATCH($E137,Divisions!$A$3:$A$50,0)),"")&lt;&gt;"",", "&amp;IFERROR(INDEX(Divisions!$G$3:$G$50,MATCH($E137,Divisions!$A$3:$A$50,0)),""),"")&amp;IF(IFERROR(INDEX(Divisions!$I$3:$I$50,MATCH($E137,Divisions!$A$3:$A$50,0)),"")&lt;&gt;"",", "&amp;IFERROR(INDEX(Divisions!$I$3:$I$50,MATCH($E137,Divisions!$A$3:$A$50,0)),""),"")))</f>
        <v/>
      </c>
    </row>
    <row r="138">
      <c r="F138" s="5">
        <f>IFERROR(INDEX('Company MOA setup'!$B$3:$B$500,MATCH($A138,'Company MOA setup'!$A$3:$A$500,0)),"Division default")</f>
        <v/>
      </c>
      <c r="L138" s="5">
        <f>IF($E138="","",TRIM(IFERROR(INDEX(Divisions!$C$3:$C$50,MATCH($E138,Divisions!$A$3:$A$50,0)),"")&amp;IF(IFERROR(INDEX(Divisions!$E$3:$E$50,MATCH($E138,Divisions!$A$3:$A$50,0)),"")&lt;&gt;"",", "&amp;IFERROR(INDEX(Divisions!$E$3:$E$50,MATCH($E138,Divisions!$A$3:$A$50,0)),""),"")&amp;IF(IFERROR(INDEX(Divisions!$G$3:$G$50,MATCH($E138,Divisions!$A$3:$A$50,0)),"")&lt;&gt;"",", "&amp;IFERROR(INDEX(Divisions!$G$3:$G$50,MATCH($E138,Divisions!$A$3:$A$50,0)),""),"")&amp;IF(IFERROR(INDEX(Divisions!$I$3:$I$50,MATCH($E138,Divisions!$A$3:$A$50,0)),"")&lt;&gt;"",", "&amp;IFERROR(INDEX(Divisions!$I$3:$I$50,MATCH($E138,Divisions!$A$3:$A$50,0)),""),"")))</f>
        <v/>
      </c>
    </row>
    <row r="139">
      <c r="F139" s="5">
        <f>IFERROR(INDEX('Company MOA setup'!$B$3:$B$500,MATCH($A139,'Company MOA setup'!$A$3:$A$500,0)),"Division default")</f>
        <v/>
      </c>
      <c r="L139" s="5">
        <f>IF($E139="","",TRIM(IFERROR(INDEX(Divisions!$C$3:$C$50,MATCH($E139,Divisions!$A$3:$A$50,0)),"")&amp;IF(IFERROR(INDEX(Divisions!$E$3:$E$50,MATCH($E139,Divisions!$A$3:$A$50,0)),"")&lt;&gt;"",", "&amp;IFERROR(INDEX(Divisions!$E$3:$E$50,MATCH($E139,Divisions!$A$3:$A$50,0)),""),"")&amp;IF(IFERROR(INDEX(Divisions!$G$3:$G$50,MATCH($E139,Divisions!$A$3:$A$50,0)),"")&lt;&gt;"",", "&amp;IFERROR(INDEX(Divisions!$G$3:$G$50,MATCH($E139,Divisions!$A$3:$A$50,0)),""),"")&amp;IF(IFERROR(INDEX(Divisions!$I$3:$I$50,MATCH($E139,Divisions!$A$3:$A$50,0)),"")&lt;&gt;"",", "&amp;IFERROR(INDEX(Divisions!$I$3:$I$50,MATCH($E139,Divisions!$A$3:$A$50,0)),""),"")))</f>
        <v/>
      </c>
    </row>
    <row r="140">
      <c r="F140" s="5">
        <f>IFERROR(INDEX('Company MOA setup'!$B$3:$B$500,MATCH($A140,'Company MOA setup'!$A$3:$A$500,0)),"Division default")</f>
        <v/>
      </c>
      <c r="L140" s="5">
        <f>IF($E140="","",TRIM(IFERROR(INDEX(Divisions!$C$3:$C$50,MATCH($E140,Divisions!$A$3:$A$50,0)),"")&amp;IF(IFERROR(INDEX(Divisions!$E$3:$E$50,MATCH($E140,Divisions!$A$3:$A$50,0)),"")&lt;&gt;"",", "&amp;IFERROR(INDEX(Divisions!$E$3:$E$50,MATCH($E140,Divisions!$A$3:$A$50,0)),""),"")&amp;IF(IFERROR(INDEX(Divisions!$G$3:$G$50,MATCH($E140,Divisions!$A$3:$A$50,0)),"")&lt;&gt;"",", "&amp;IFERROR(INDEX(Divisions!$G$3:$G$50,MATCH($E140,Divisions!$A$3:$A$50,0)),""),"")&amp;IF(IFERROR(INDEX(Divisions!$I$3:$I$50,MATCH($E140,Divisions!$A$3:$A$50,0)),"")&lt;&gt;"",", "&amp;IFERROR(INDEX(Divisions!$I$3:$I$50,MATCH($E140,Divisions!$A$3:$A$50,0)),""),"")))</f>
        <v/>
      </c>
    </row>
    <row r="141">
      <c r="F141" s="5">
        <f>IFERROR(INDEX('Company MOA setup'!$B$3:$B$500,MATCH($A141,'Company MOA setup'!$A$3:$A$500,0)),"Division default")</f>
        <v/>
      </c>
      <c r="L141" s="5">
        <f>IF($E141="","",TRIM(IFERROR(INDEX(Divisions!$C$3:$C$50,MATCH($E141,Divisions!$A$3:$A$50,0)),"")&amp;IF(IFERROR(INDEX(Divisions!$E$3:$E$50,MATCH($E141,Divisions!$A$3:$A$50,0)),"")&lt;&gt;"",", "&amp;IFERROR(INDEX(Divisions!$E$3:$E$50,MATCH($E141,Divisions!$A$3:$A$50,0)),""),"")&amp;IF(IFERROR(INDEX(Divisions!$G$3:$G$50,MATCH($E141,Divisions!$A$3:$A$50,0)),"")&lt;&gt;"",", "&amp;IFERROR(INDEX(Divisions!$G$3:$G$50,MATCH($E141,Divisions!$A$3:$A$50,0)),""),"")&amp;IF(IFERROR(INDEX(Divisions!$I$3:$I$50,MATCH($E141,Divisions!$A$3:$A$50,0)),"")&lt;&gt;"",", "&amp;IFERROR(INDEX(Divisions!$I$3:$I$50,MATCH($E141,Divisions!$A$3:$A$50,0)),""),"")))</f>
        <v/>
      </c>
    </row>
    <row r="142">
      <c r="F142" s="5">
        <f>IFERROR(INDEX('Company MOA setup'!$B$3:$B$500,MATCH($A142,'Company MOA setup'!$A$3:$A$500,0)),"Division default")</f>
        <v/>
      </c>
      <c r="L142" s="5">
        <f>IF($E142="","",TRIM(IFERROR(INDEX(Divisions!$C$3:$C$50,MATCH($E142,Divisions!$A$3:$A$50,0)),"")&amp;IF(IFERROR(INDEX(Divisions!$E$3:$E$50,MATCH($E142,Divisions!$A$3:$A$50,0)),"")&lt;&gt;"",", "&amp;IFERROR(INDEX(Divisions!$E$3:$E$50,MATCH($E142,Divisions!$A$3:$A$50,0)),""),"")&amp;IF(IFERROR(INDEX(Divisions!$G$3:$G$50,MATCH($E142,Divisions!$A$3:$A$50,0)),"")&lt;&gt;"",", "&amp;IFERROR(INDEX(Divisions!$G$3:$G$50,MATCH($E142,Divisions!$A$3:$A$50,0)),""),"")&amp;IF(IFERROR(INDEX(Divisions!$I$3:$I$50,MATCH($E142,Divisions!$A$3:$A$50,0)),"")&lt;&gt;"",", "&amp;IFERROR(INDEX(Divisions!$I$3:$I$50,MATCH($E142,Divisions!$A$3:$A$50,0)),""),"")))</f>
        <v/>
      </c>
    </row>
    <row r="143">
      <c r="F143" s="5">
        <f>IFERROR(INDEX('Company MOA setup'!$B$3:$B$500,MATCH($A143,'Company MOA setup'!$A$3:$A$500,0)),"Division default")</f>
        <v/>
      </c>
      <c r="L143" s="5">
        <f>IF($E143="","",TRIM(IFERROR(INDEX(Divisions!$C$3:$C$50,MATCH($E143,Divisions!$A$3:$A$50,0)),"")&amp;IF(IFERROR(INDEX(Divisions!$E$3:$E$50,MATCH($E143,Divisions!$A$3:$A$50,0)),"")&lt;&gt;"",", "&amp;IFERROR(INDEX(Divisions!$E$3:$E$50,MATCH($E143,Divisions!$A$3:$A$50,0)),""),"")&amp;IF(IFERROR(INDEX(Divisions!$G$3:$G$50,MATCH($E143,Divisions!$A$3:$A$50,0)),"")&lt;&gt;"",", "&amp;IFERROR(INDEX(Divisions!$G$3:$G$50,MATCH($E143,Divisions!$A$3:$A$50,0)),""),"")&amp;IF(IFERROR(INDEX(Divisions!$I$3:$I$50,MATCH($E143,Divisions!$A$3:$A$50,0)),"")&lt;&gt;"",", "&amp;IFERROR(INDEX(Divisions!$I$3:$I$50,MATCH($E143,Divisions!$A$3:$A$50,0)),""),"")))</f>
        <v/>
      </c>
    </row>
    <row r="144">
      <c r="F144" s="5">
        <f>IFERROR(INDEX('Company MOA setup'!$B$3:$B$500,MATCH($A144,'Company MOA setup'!$A$3:$A$500,0)),"Division default")</f>
        <v/>
      </c>
      <c r="L144" s="5">
        <f>IF($E144="","",TRIM(IFERROR(INDEX(Divisions!$C$3:$C$50,MATCH($E144,Divisions!$A$3:$A$50,0)),"")&amp;IF(IFERROR(INDEX(Divisions!$E$3:$E$50,MATCH($E144,Divisions!$A$3:$A$50,0)),"")&lt;&gt;"",", "&amp;IFERROR(INDEX(Divisions!$E$3:$E$50,MATCH($E144,Divisions!$A$3:$A$50,0)),""),"")&amp;IF(IFERROR(INDEX(Divisions!$G$3:$G$50,MATCH($E144,Divisions!$A$3:$A$50,0)),"")&lt;&gt;"",", "&amp;IFERROR(INDEX(Divisions!$G$3:$G$50,MATCH($E144,Divisions!$A$3:$A$50,0)),""),"")&amp;IF(IFERROR(INDEX(Divisions!$I$3:$I$50,MATCH($E144,Divisions!$A$3:$A$50,0)),"")&lt;&gt;"",", "&amp;IFERROR(INDEX(Divisions!$I$3:$I$50,MATCH($E144,Divisions!$A$3:$A$50,0)),""),"")))</f>
        <v/>
      </c>
    </row>
    <row r="145">
      <c r="F145" s="5">
        <f>IFERROR(INDEX('Company MOA setup'!$B$3:$B$500,MATCH($A145,'Company MOA setup'!$A$3:$A$500,0)),"Division default")</f>
        <v/>
      </c>
      <c r="L145" s="5">
        <f>IF($E145="","",TRIM(IFERROR(INDEX(Divisions!$C$3:$C$50,MATCH($E145,Divisions!$A$3:$A$50,0)),"")&amp;IF(IFERROR(INDEX(Divisions!$E$3:$E$50,MATCH($E145,Divisions!$A$3:$A$50,0)),"")&lt;&gt;"",", "&amp;IFERROR(INDEX(Divisions!$E$3:$E$50,MATCH($E145,Divisions!$A$3:$A$50,0)),""),"")&amp;IF(IFERROR(INDEX(Divisions!$G$3:$G$50,MATCH($E145,Divisions!$A$3:$A$50,0)),"")&lt;&gt;"",", "&amp;IFERROR(INDEX(Divisions!$G$3:$G$50,MATCH($E145,Divisions!$A$3:$A$50,0)),""),"")&amp;IF(IFERROR(INDEX(Divisions!$I$3:$I$50,MATCH($E145,Divisions!$A$3:$A$50,0)),"")&lt;&gt;"",", "&amp;IFERROR(INDEX(Divisions!$I$3:$I$50,MATCH($E145,Divisions!$A$3:$A$50,0)),""),"")))</f>
        <v/>
      </c>
    </row>
    <row r="146">
      <c r="F146" s="5">
        <f>IFERROR(INDEX('Company MOA setup'!$B$3:$B$500,MATCH($A146,'Company MOA setup'!$A$3:$A$500,0)),"Division default")</f>
        <v/>
      </c>
      <c r="L146" s="5">
        <f>IF($E146="","",TRIM(IFERROR(INDEX(Divisions!$C$3:$C$50,MATCH($E146,Divisions!$A$3:$A$50,0)),"")&amp;IF(IFERROR(INDEX(Divisions!$E$3:$E$50,MATCH($E146,Divisions!$A$3:$A$50,0)),"")&lt;&gt;"",", "&amp;IFERROR(INDEX(Divisions!$E$3:$E$50,MATCH($E146,Divisions!$A$3:$A$50,0)),""),"")&amp;IF(IFERROR(INDEX(Divisions!$G$3:$G$50,MATCH($E146,Divisions!$A$3:$A$50,0)),"")&lt;&gt;"",", "&amp;IFERROR(INDEX(Divisions!$G$3:$G$50,MATCH($E146,Divisions!$A$3:$A$50,0)),""),"")&amp;IF(IFERROR(INDEX(Divisions!$I$3:$I$50,MATCH($E146,Divisions!$A$3:$A$50,0)),"")&lt;&gt;"",", "&amp;IFERROR(INDEX(Divisions!$I$3:$I$50,MATCH($E146,Divisions!$A$3:$A$50,0)),""),"")))</f>
        <v/>
      </c>
    </row>
    <row r="147">
      <c r="F147" s="5">
        <f>IFERROR(INDEX('Company MOA setup'!$B$3:$B$500,MATCH($A147,'Company MOA setup'!$A$3:$A$500,0)),"Division default")</f>
        <v/>
      </c>
      <c r="L147" s="5">
        <f>IF($E147="","",TRIM(IFERROR(INDEX(Divisions!$C$3:$C$50,MATCH($E147,Divisions!$A$3:$A$50,0)),"")&amp;IF(IFERROR(INDEX(Divisions!$E$3:$E$50,MATCH($E147,Divisions!$A$3:$A$50,0)),"")&lt;&gt;"",", "&amp;IFERROR(INDEX(Divisions!$E$3:$E$50,MATCH($E147,Divisions!$A$3:$A$50,0)),""),"")&amp;IF(IFERROR(INDEX(Divisions!$G$3:$G$50,MATCH($E147,Divisions!$A$3:$A$50,0)),"")&lt;&gt;"",", "&amp;IFERROR(INDEX(Divisions!$G$3:$G$50,MATCH($E147,Divisions!$A$3:$A$50,0)),""),"")&amp;IF(IFERROR(INDEX(Divisions!$I$3:$I$50,MATCH($E147,Divisions!$A$3:$A$50,0)),"")&lt;&gt;"",", "&amp;IFERROR(INDEX(Divisions!$I$3:$I$50,MATCH($E147,Divisions!$A$3:$A$50,0)),""),"")))</f>
        <v/>
      </c>
    </row>
    <row r="148">
      <c r="F148" s="5">
        <f>IFERROR(INDEX('Company MOA setup'!$B$3:$B$500,MATCH($A148,'Company MOA setup'!$A$3:$A$500,0)),"Division default")</f>
        <v/>
      </c>
      <c r="L148" s="5">
        <f>IF($E148="","",TRIM(IFERROR(INDEX(Divisions!$C$3:$C$50,MATCH($E148,Divisions!$A$3:$A$50,0)),"")&amp;IF(IFERROR(INDEX(Divisions!$E$3:$E$50,MATCH($E148,Divisions!$A$3:$A$50,0)),"")&lt;&gt;"",", "&amp;IFERROR(INDEX(Divisions!$E$3:$E$50,MATCH($E148,Divisions!$A$3:$A$50,0)),""),"")&amp;IF(IFERROR(INDEX(Divisions!$G$3:$G$50,MATCH($E148,Divisions!$A$3:$A$50,0)),"")&lt;&gt;"",", "&amp;IFERROR(INDEX(Divisions!$G$3:$G$50,MATCH($E148,Divisions!$A$3:$A$50,0)),""),"")&amp;IF(IFERROR(INDEX(Divisions!$I$3:$I$50,MATCH($E148,Divisions!$A$3:$A$50,0)),"")&lt;&gt;"",", "&amp;IFERROR(INDEX(Divisions!$I$3:$I$50,MATCH($E148,Divisions!$A$3:$A$50,0)),""),"")))</f>
        <v/>
      </c>
    </row>
    <row r="149">
      <c r="F149" s="5">
        <f>IFERROR(INDEX('Company MOA setup'!$B$3:$B$500,MATCH($A149,'Company MOA setup'!$A$3:$A$500,0)),"Division default")</f>
        <v/>
      </c>
      <c r="L149" s="5">
        <f>IF($E149="","",TRIM(IFERROR(INDEX(Divisions!$C$3:$C$50,MATCH($E149,Divisions!$A$3:$A$50,0)),"")&amp;IF(IFERROR(INDEX(Divisions!$E$3:$E$50,MATCH($E149,Divisions!$A$3:$A$50,0)),"")&lt;&gt;"",", "&amp;IFERROR(INDEX(Divisions!$E$3:$E$50,MATCH($E149,Divisions!$A$3:$A$50,0)),""),"")&amp;IF(IFERROR(INDEX(Divisions!$G$3:$G$50,MATCH($E149,Divisions!$A$3:$A$50,0)),"")&lt;&gt;"",", "&amp;IFERROR(INDEX(Divisions!$G$3:$G$50,MATCH($E149,Divisions!$A$3:$A$50,0)),""),"")&amp;IF(IFERROR(INDEX(Divisions!$I$3:$I$50,MATCH($E149,Divisions!$A$3:$A$50,0)),"")&lt;&gt;"",", "&amp;IFERROR(INDEX(Divisions!$I$3:$I$50,MATCH($E149,Divisions!$A$3:$A$50,0)),""),"")))</f>
        <v/>
      </c>
    </row>
    <row r="150">
      <c r="F150" s="5">
        <f>IFERROR(INDEX('Company MOA setup'!$B$3:$B$500,MATCH($A150,'Company MOA setup'!$A$3:$A$500,0)),"Division default")</f>
        <v/>
      </c>
      <c r="L150" s="5">
        <f>IF($E150="","",TRIM(IFERROR(INDEX(Divisions!$C$3:$C$50,MATCH($E150,Divisions!$A$3:$A$50,0)),"")&amp;IF(IFERROR(INDEX(Divisions!$E$3:$E$50,MATCH($E150,Divisions!$A$3:$A$50,0)),"")&lt;&gt;"",", "&amp;IFERROR(INDEX(Divisions!$E$3:$E$50,MATCH($E150,Divisions!$A$3:$A$50,0)),""),"")&amp;IF(IFERROR(INDEX(Divisions!$G$3:$G$50,MATCH($E150,Divisions!$A$3:$A$50,0)),"")&lt;&gt;"",", "&amp;IFERROR(INDEX(Divisions!$G$3:$G$50,MATCH($E150,Divisions!$A$3:$A$50,0)),""),"")&amp;IF(IFERROR(INDEX(Divisions!$I$3:$I$50,MATCH($E150,Divisions!$A$3:$A$50,0)),"")&lt;&gt;"",", "&amp;IFERROR(INDEX(Divisions!$I$3:$I$50,MATCH($E150,Divisions!$A$3:$A$50,0)),""),"")))</f>
        <v/>
      </c>
    </row>
    <row r="151">
      <c r="F151" s="5">
        <f>IFERROR(INDEX('Company MOA setup'!$B$3:$B$500,MATCH($A151,'Company MOA setup'!$A$3:$A$500,0)),"Division default")</f>
        <v/>
      </c>
      <c r="L151" s="5">
        <f>IF($E151="","",TRIM(IFERROR(INDEX(Divisions!$C$3:$C$50,MATCH($E151,Divisions!$A$3:$A$50,0)),"")&amp;IF(IFERROR(INDEX(Divisions!$E$3:$E$50,MATCH($E151,Divisions!$A$3:$A$50,0)),"")&lt;&gt;"",", "&amp;IFERROR(INDEX(Divisions!$E$3:$E$50,MATCH($E151,Divisions!$A$3:$A$50,0)),""),"")&amp;IF(IFERROR(INDEX(Divisions!$G$3:$G$50,MATCH($E151,Divisions!$A$3:$A$50,0)),"")&lt;&gt;"",", "&amp;IFERROR(INDEX(Divisions!$G$3:$G$50,MATCH($E151,Divisions!$A$3:$A$50,0)),""),"")&amp;IF(IFERROR(INDEX(Divisions!$I$3:$I$50,MATCH($E151,Divisions!$A$3:$A$50,0)),"")&lt;&gt;"",", "&amp;IFERROR(INDEX(Divisions!$I$3:$I$50,MATCH($E151,Divisions!$A$3:$A$50,0)),""),"")))</f>
        <v/>
      </c>
    </row>
    <row r="152">
      <c r="F152" s="5">
        <f>IFERROR(INDEX('Company MOA setup'!$B$3:$B$500,MATCH($A152,'Company MOA setup'!$A$3:$A$500,0)),"Division default")</f>
        <v/>
      </c>
      <c r="L152" s="5">
        <f>IF($E152="","",TRIM(IFERROR(INDEX(Divisions!$C$3:$C$50,MATCH($E152,Divisions!$A$3:$A$50,0)),"")&amp;IF(IFERROR(INDEX(Divisions!$E$3:$E$50,MATCH($E152,Divisions!$A$3:$A$50,0)),"")&lt;&gt;"",", "&amp;IFERROR(INDEX(Divisions!$E$3:$E$50,MATCH($E152,Divisions!$A$3:$A$50,0)),""),"")&amp;IF(IFERROR(INDEX(Divisions!$G$3:$G$50,MATCH($E152,Divisions!$A$3:$A$50,0)),"")&lt;&gt;"",", "&amp;IFERROR(INDEX(Divisions!$G$3:$G$50,MATCH($E152,Divisions!$A$3:$A$50,0)),""),"")&amp;IF(IFERROR(INDEX(Divisions!$I$3:$I$50,MATCH($E152,Divisions!$A$3:$A$50,0)),"")&lt;&gt;"",", "&amp;IFERROR(INDEX(Divisions!$I$3:$I$50,MATCH($E152,Divisions!$A$3:$A$50,0)),""),"")))</f>
        <v/>
      </c>
    </row>
    <row r="153">
      <c r="F153" s="5">
        <f>IFERROR(INDEX('Company MOA setup'!$B$3:$B$500,MATCH($A153,'Company MOA setup'!$A$3:$A$500,0)),"Division default")</f>
        <v/>
      </c>
      <c r="L153" s="5">
        <f>IF($E153="","",TRIM(IFERROR(INDEX(Divisions!$C$3:$C$50,MATCH($E153,Divisions!$A$3:$A$50,0)),"")&amp;IF(IFERROR(INDEX(Divisions!$E$3:$E$50,MATCH($E153,Divisions!$A$3:$A$50,0)),"")&lt;&gt;"",", "&amp;IFERROR(INDEX(Divisions!$E$3:$E$50,MATCH($E153,Divisions!$A$3:$A$50,0)),""),"")&amp;IF(IFERROR(INDEX(Divisions!$G$3:$G$50,MATCH($E153,Divisions!$A$3:$A$50,0)),"")&lt;&gt;"",", "&amp;IFERROR(INDEX(Divisions!$G$3:$G$50,MATCH($E153,Divisions!$A$3:$A$50,0)),""),"")&amp;IF(IFERROR(INDEX(Divisions!$I$3:$I$50,MATCH($E153,Divisions!$A$3:$A$50,0)),"")&lt;&gt;"",", "&amp;IFERROR(INDEX(Divisions!$I$3:$I$50,MATCH($E153,Divisions!$A$3:$A$50,0)),""),"")))</f>
        <v/>
      </c>
    </row>
    <row r="154">
      <c r="F154" s="5">
        <f>IFERROR(INDEX('Company MOA setup'!$B$3:$B$500,MATCH($A154,'Company MOA setup'!$A$3:$A$500,0)),"Division default")</f>
        <v/>
      </c>
      <c r="L154" s="5">
        <f>IF($E154="","",TRIM(IFERROR(INDEX(Divisions!$C$3:$C$50,MATCH($E154,Divisions!$A$3:$A$50,0)),"")&amp;IF(IFERROR(INDEX(Divisions!$E$3:$E$50,MATCH($E154,Divisions!$A$3:$A$50,0)),"")&lt;&gt;"",", "&amp;IFERROR(INDEX(Divisions!$E$3:$E$50,MATCH($E154,Divisions!$A$3:$A$50,0)),""),"")&amp;IF(IFERROR(INDEX(Divisions!$G$3:$G$50,MATCH($E154,Divisions!$A$3:$A$50,0)),"")&lt;&gt;"",", "&amp;IFERROR(INDEX(Divisions!$G$3:$G$50,MATCH($E154,Divisions!$A$3:$A$50,0)),""),"")&amp;IF(IFERROR(INDEX(Divisions!$I$3:$I$50,MATCH($E154,Divisions!$A$3:$A$50,0)),"")&lt;&gt;"",", "&amp;IFERROR(INDEX(Divisions!$I$3:$I$50,MATCH($E154,Divisions!$A$3:$A$50,0)),""),"")))</f>
        <v/>
      </c>
    </row>
    <row r="155">
      <c r="F155" s="5">
        <f>IFERROR(INDEX('Company MOA setup'!$B$3:$B$500,MATCH($A155,'Company MOA setup'!$A$3:$A$500,0)),"Division default")</f>
        <v/>
      </c>
      <c r="L155" s="5">
        <f>IF($E155="","",TRIM(IFERROR(INDEX(Divisions!$C$3:$C$50,MATCH($E155,Divisions!$A$3:$A$50,0)),"")&amp;IF(IFERROR(INDEX(Divisions!$E$3:$E$50,MATCH($E155,Divisions!$A$3:$A$50,0)),"")&lt;&gt;"",", "&amp;IFERROR(INDEX(Divisions!$E$3:$E$50,MATCH($E155,Divisions!$A$3:$A$50,0)),""),"")&amp;IF(IFERROR(INDEX(Divisions!$G$3:$G$50,MATCH($E155,Divisions!$A$3:$A$50,0)),"")&lt;&gt;"",", "&amp;IFERROR(INDEX(Divisions!$G$3:$G$50,MATCH($E155,Divisions!$A$3:$A$50,0)),""),"")&amp;IF(IFERROR(INDEX(Divisions!$I$3:$I$50,MATCH($E155,Divisions!$A$3:$A$50,0)),"")&lt;&gt;"",", "&amp;IFERROR(INDEX(Divisions!$I$3:$I$50,MATCH($E155,Divisions!$A$3:$A$50,0)),""),"")))</f>
        <v/>
      </c>
    </row>
    <row r="156">
      <c r="F156" s="5">
        <f>IFERROR(INDEX('Company MOA setup'!$B$3:$B$500,MATCH($A156,'Company MOA setup'!$A$3:$A$500,0)),"Division default")</f>
        <v/>
      </c>
      <c r="L156" s="5">
        <f>IF($E156="","",TRIM(IFERROR(INDEX(Divisions!$C$3:$C$50,MATCH($E156,Divisions!$A$3:$A$50,0)),"")&amp;IF(IFERROR(INDEX(Divisions!$E$3:$E$50,MATCH($E156,Divisions!$A$3:$A$50,0)),"")&lt;&gt;"",", "&amp;IFERROR(INDEX(Divisions!$E$3:$E$50,MATCH($E156,Divisions!$A$3:$A$50,0)),""),"")&amp;IF(IFERROR(INDEX(Divisions!$G$3:$G$50,MATCH($E156,Divisions!$A$3:$A$50,0)),"")&lt;&gt;"",", "&amp;IFERROR(INDEX(Divisions!$G$3:$G$50,MATCH($E156,Divisions!$A$3:$A$50,0)),""),"")&amp;IF(IFERROR(INDEX(Divisions!$I$3:$I$50,MATCH($E156,Divisions!$A$3:$A$50,0)),"")&lt;&gt;"",", "&amp;IFERROR(INDEX(Divisions!$I$3:$I$50,MATCH($E156,Divisions!$A$3:$A$50,0)),""),"")))</f>
        <v/>
      </c>
    </row>
    <row r="157">
      <c r="F157" s="5">
        <f>IFERROR(INDEX('Company MOA setup'!$B$3:$B$500,MATCH($A157,'Company MOA setup'!$A$3:$A$500,0)),"Division default")</f>
        <v/>
      </c>
      <c r="L157" s="5">
        <f>IF($E157="","",TRIM(IFERROR(INDEX(Divisions!$C$3:$C$50,MATCH($E157,Divisions!$A$3:$A$50,0)),"")&amp;IF(IFERROR(INDEX(Divisions!$E$3:$E$50,MATCH($E157,Divisions!$A$3:$A$50,0)),"")&lt;&gt;"",", "&amp;IFERROR(INDEX(Divisions!$E$3:$E$50,MATCH($E157,Divisions!$A$3:$A$50,0)),""),"")&amp;IF(IFERROR(INDEX(Divisions!$G$3:$G$50,MATCH($E157,Divisions!$A$3:$A$50,0)),"")&lt;&gt;"",", "&amp;IFERROR(INDEX(Divisions!$G$3:$G$50,MATCH($E157,Divisions!$A$3:$A$50,0)),""),"")&amp;IF(IFERROR(INDEX(Divisions!$I$3:$I$50,MATCH($E157,Divisions!$A$3:$A$50,0)),"")&lt;&gt;"",", "&amp;IFERROR(INDEX(Divisions!$I$3:$I$50,MATCH($E157,Divisions!$A$3:$A$50,0)),""),"")))</f>
        <v/>
      </c>
    </row>
    <row r="158">
      <c r="F158" s="5">
        <f>IFERROR(INDEX('Company MOA setup'!$B$3:$B$500,MATCH($A158,'Company MOA setup'!$A$3:$A$500,0)),"Division default")</f>
        <v/>
      </c>
      <c r="L158" s="5">
        <f>IF($E158="","",TRIM(IFERROR(INDEX(Divisions!$C$3:$C$50,MATCH($E158,Divisions!$A$3:$A$50,0)),"")&amp;IF(IFERROR(INDEX(Divisions!$E$3:$E$50,MATCH($E158,Divisions!$A$3:$A$50,0)),"")&lt;&gt;"",", "&amp;IFERROR(INDEX(Divisions!$E$3:$E$50,MATCH($E158,Divisions!$A$3:$A$50,0)),""),"")&amp;IF(IFERROR(INDEX(Divisions!$G$3:$G$50,MATCH($E158,Divisions!$A$3:$A$50,0)),"")&lt;&gt;"",", "&amp;IFERROR(INDEX(Divisions!$G$3:$G$50,MATCH($E158,Divisions!$A$3:$A$50,0)),""),"")&amp;IF(IFERROR(INDEX(Divisions!$I$3:$I$50,MATCH($E158,Divisions!$A$3:$A$50,0)),"")&lt;&gt;"",", "&amp;IFERROR(INDEX(Divisions!$I$3:$I$50,MATCH($E158,Divisions!$A$3:$A$50,0)),""),"")))</f>
        <v/>
      </c>
    </row>
    <row r="159">
      <c r="F159" s="5">
        <f>IFERROR(INDEX('Company MOA setup'!$B$3:$B$500,MATCH($A159,'Company MOA setup'!$A$3:$A$500,0)),"Division default")</f>
        <v/>
      </c>
      <c r="L159" s="5">
        <f>IF($E159="","",TRIM(IFERROR(INDEX(Divisions!$C$3:$C$50,MATCH($E159,Divisions!$A$3:$A$50,0)),"")&amp;IF(IFERROR(INDEX(Divisions!$E$3:$E$50,MATCH($E159,Divisions!$A$3:$A$50,0)),"")&lt;&gt;"",", "&amp;IFERROR(INDEX(Divisions!$E$3:$E$50,MATCH($E159,Divisions!$A$3:$A$50,0)),""),"")&amp;IF(IFERROR(INDEX(Divisions!$G$3:$G$50,MATCH($E159,Divisions!$A$3:$A$50,0)),"")&lt;&gt;"",", "&amp;IFERROR(INDEX(Divisions!$G$3:$G$50,MATCH($E159,Divisions!$A$3:$A$50,0)),""),"")&amp;IF(IFERROR(INDEX(Divisions!$I$3:$I$50,MATCH($E159,Divisions!$A$3:$A$50,0)),"")&lt;&gt;"",", "&amp;IFERROR(INDEX(Divisions!$I$3:$I$50,MATCH($E159,Divisions!$A$3:$A$50,0)),""),"")))</f>
        <v/>
      </c>
    </row>
    <row r="160">
      <c r="F160" s="5">
        <f>IFERROR(INDEX('Company MOA setup'!$B$3:$B$500,MATCH($A160,'Company MOA setup'!$A$3:$A$500,0)),"Division default")</f>
        <v/>
      </c>
      <c r="L160" s="5">
        <f>IF($E160="","",TRIM(IFERROR(INDEX(Divisions!$C$3:$C$50,MATCH($E160,Divisions!$A$3:$A$50,0)),"")&amp;IF(IFERROR(INDEX(Divisions!$E$3:$E$50,MATCH($E160,Divisions!$A$3:$A$50,0)),"")&lt;&gt;"",", "&amp;IFERROR(INDEX(Divisions!$E$3:$E$50,MATCH($E160,Divisions!$A$3:$A$50,0)),""),"")&amp;IF(IFERROR(INDEX(Divisions!$G$3:$G$50,MATCH($E160,Divisions!$A$3:$A$50,0)),"")&lt;&gt;"",", "&amp;IFERROR(INDEX(Divisions!$G$3:$G$50,MATCH($E160,Divisions!$A$3:$A$50,0)),""),"")&amp;IF(IFERROR(INDEX(Divisions!$I$3:$I$50,MATCH($E160,Divisions!$A$3:$A$50,0)),"")&lt;&gt;"",", "&amp;IFERROR(INDEX(Divisions!$I$3:$I$50,MATCH($E160,Divisions!$A$3:$A$50,0)),""),"")))</f>
        <v/>
      </c>
    </row>
    <row r="161">
      <c r="F161" s="5">
        <f>IFERROR(INDEX('Company MOA setup'!$B$3:$B$500,MATCH($A161,'Company MOA setup'!$A$3:$A$500,0)),"Division default")</f>
        <v/>
      </c>
      <c r="L161" s="5">
        <f>IF($E161="","",TRIM(IFERROR(INDEX(Divisions!$C$3:$C$50,MATCH($E161,Divisions!$A$3:$A$50,0)),"")&amp;IF(IFERROR(INDEX(Divisions!$E$3:$E$50,MATCH($E161,Divisions!$A$3:$A$50,0)),"")&lt;&gt;"",", "&amp;IFERROR(INDEX(Divisions!$E$3:$E$50,MATCH($E161,Divisions!$A$3:$A$50,0)),""),"")&amp;IF(IFERROR(INDEX(Divisions!$G$3:$G$50,MATCH($E161,Divisions!$A$3:$A$50,0)),"")&lt;&gt;"",", "&amp;IFERROR(INDEX(Divisions!$G$3:$G$50,MATCH($E161,Divisions!$A$3:$A$50,0)),""),"")&amp;IF(IFERROR(INDEX(Divisions!$I$3:$I$50,MATCH($E161,Divisions!$A$3:$A$50,0)),"")&lt;&gt;"",", "&amp;IFERROR(INDEX(Divisions!$I$3:$I$50,MATCH($E161,Divisions!$A$3:$A$50,0)),""),"")))</f>
        <v/>
      </c>
    </row>
    <row r="162">
      <c r="F162" s="5">
        <f>IFERROR(INDEX('Company MOA setup'!$B$3:$B$500,MATCH($A162,'Company MOA setup'!$A$3:$A$500,0)),"Division default")</f>
        <v/>
      </c>
      <c r="L162" s="5">
        <f>IF($E162="","",TRIM(IFERROR(INDEX(Divisions!$C$3:$C$50,MATCH($E162,Divisions!$A$3:$A$50,0)),"")&amp;IF(IFERROR(INDEX(Divisions!$E$3:$E$50,MATCH($E162,Divisions!$A$3:$A$50,0)),"")&lt;&gt;"",", "&amp;IFERROR(INDEX(Divisions!$E$3:$E$50,MATCH($E162,Divisions!$A$3:$A$50,0)),""),"")&amp;IF(IFERROR(INDEX(Divisions!$G$3:$G$50,MATCH($E162,Divisions!$A$3:$A$50,0)),"")&lt;&gt;"",", "&amp;IFERROR(INDEX(Divisions!$G$3:$G$50,MATCH($E162,Divisions!$A$3:$A$50,0)),""),"")&amp;IF(IFERROR(INDEX(Divisions!$I$3:$I$50,MATCH($E162,Divisions!$A$3:$A$50,0)),"")&lt;&gt;"",", "&amp;IFERROR(INDEX(Divisions!$I$3:$I$50,MATCH($E162,Divisions!$A$3:$A$50,0)),""),"")))</f>
        <v/>
      </c>
    </row>
    <row r="163">
      <c r="F163" s="5">
        <f>IFERROR(INDEX('Company MOA setup'!$B$3:$B$500,MATCH($A163,'Company MOA setup'!$A$3:$A$500,0)),"Division default")</f>
        <v/>
      </c>
      <c r="L163" s="5">
        <f>IF($E163="","",TRIM(IFERROR(INDEX(Divisions!$C$3:$C$50,MATCH($E163,Divisions!$A$3:$A$50,0)),"")&amp;IF(IFERROR(INDEX(Divisions!$E$3:$E$50,MATCH($E163,Divisions!$A$3:$A$50,0)),"")&lt;&gt;"",", "&amp;IFERROR(INDEX(Divisions!$E$3:$E$50,MATCH($E163,Divisions!$A$3:$A$50,0)),""),"")&amp;IF(IFERROR(INDEX(Divisions!$G$3:$G$50,MATCH($E163,Divisions!$A$3:$A$50,0)),"")&lt;&gt;"",", "&amp;IFERROR(INDEX(Divisions!$G$3:$G$50,MATCH($E163,Divisions!$A$3:$A$50,0)),""),"")&amp;IF(IFERROR(INDEX(Divisions!$I$3:$I$50,MATCH($E163,Divisions!$A$3:$A$50,0)),"")&lt;&gt;"",", "&amp;IFERROR(INDEX(Divisions!$I$3:$I$50,MATCH($E163,Divisions!$A$3:$A$50,0)),""),"")))</f>
        <v/>
      </c>
    </row>
    <row r="164">
      <c r="F164" s="5">
        <f>IFERROR(INDEX('Company MOA setup'!$B$3:$B$500,MATCH($A164,'Company MOA setup'!$A$3:$A$500,0)),"Division default")</f>
        <v/>
      </c>
      <c r="L164" s="5">
        <f>IF($E164="","",TRIM(IFERROR(INDEX(Divisions!$C$3:$C$50,MATCH($E164,Divisions!$A$3:$A$50,0)),"")&amp;IF(IFERROR(INDEX(Divisions!$E$3:$E$50,MATCH($E164,Divisions!$A$3:$A$50,0)),"")&lt;&gt;"",", "&amp;IFERROR(INDEX(Divisions!$E$3:$E$50,MATCH($E164,Divisions!$A$3:$A$50,0)),""),"")&amp;IF(IFERROR(INDEX(Divisions!$G$3:$G$50,MATCH($E164,Divisions!$A$3:$A$50,0)),"")&lt;&gt;"",", "&amp;IFERROR(INDEX(Divisions!$G$3:$G$50,MATCH($E164,Divisions!$A$3:$A$50,0)),""),"")&amp;IF(IFERROR(INDEX(Divisions!$I$3:$I$50,MATCH($E164,Divisions!$A$3:$A$50,0)),"")&lt;&gt;"",", "&amp;IFERROR(INDEX(Divisions!$I$3:$I$50,MATCH($E164,Divisions!$A$3:$A$50,0)),""),"")))</f>
        <v/>
      </c>
    </row>
    <row r="165">
      <c r="F165" s="5">
        <f>IFERROR(INDEX('Company MOA setup'!$B$3:$B$500,MATCH($A165,'Company MOA setup'!$A$3:$A$500,0)),"Division default")</f>
        <v/>
      </c>
      <c r="L165" s="5">
        <f>IF($E165="","",TRIM(IFERROR(INDEX(Divisions!$C$3:$C$50,MATCH($E165,Divisions!$A$3:$A$50,0)),"")&amp;IF(IFERROR(INDEX(Divisions!$E$3:$E$50,MATCH($E165,Divisions!$A$3:$A$50,0)),"")&lt;&gt;"",", "&amp;IFERROR(INDEX(Divisions!$E$3:$E$50,MATCH($E165,Divisions!$A$3:$A$50,0)),""),"")&amp;IF(IFERROR(INDEX(Divisions!$G$3:$G$50,MATCH($E165,Divisions!$A$3:$A$50,0)),"")&lt;&gt;"",", "&amp;IFERROR(INDEX(Divisions!$G$3:$G$50,MATCH($E165,Divisions!$A$3:$A$50,0)),""),"")&amp;IF(IFERROR(INDEX(Divisions!$I$3:$I$50,MATCH($E165,Divisions!$A$3:$A$50,0)),"")&lt;&gt;"",", "&amp;IFERROR(INDEX(Divisions!$I$3:$I$50,MATCH($E165,Divisions!$A$3:$A$50,0)),""),"")))</f>
        <v/>
      </c>
    </row>
    <row r="166">
      <c r="F166" s="5">
        <f>IFERROR(INDEX('Company MOA setup'!$B$3:$B$500,MATCH($A166,'Company MOA setup'!$A$3:$A$500,0)),"Division default")</f>
        <v/>
      </c>
      <c r="L166" s="5">
        <f>IF($E166="","",TRIM(IFERROR(INDEX(Divisions!$C$3:$C$50,MATCH($E166,Divisions!$A$3:$A$50,0)),"")&amp;IF(IFERROR(INDEX(Divisions!$E$3:$E$50,MATCH($E166,Divisions!$A$3:$A$50,0)),"")&lt;&gt;"",", "&amp;IFERROR(INDEX(Divisions!$E$3:$E$50,MATCH($E166,Divisions!$A$3:$A$50,0)),""),"")&amp;IF(IFERROR(INDEX(Divisions!$G$3:$G$50,MATCH($E166,Divisions!$A$3:$A$50,0)),"")&lt;&gt;"",", "&amp;IFERROR(INDEX(Divisions!$G$3:$G$50,MATCH($E166,Divisions!$A$3:$A$50,0)),""),"")&amp;IF(IFERROR(INDEX(Divisions!$I$3:$I$50,MATCH($E166,Divisions!$A$3:$A$50,0)),"")&lt;&gt;"",", "&amp;IFERROR(INDEX(Divisions!$I$3:$I$50,MATCH($E166,Divisions!$A$3:$A$50,0)),""),"")))</f>
        <v/>
      </c>
    </row>
    <row r="167">
      <c r="F167" s="5">
        <f>IFERROR(INDEX('Company MOA setup'!$B$3:$B$500,MATCH($A167,'Company MOA setup'!$A$3:$A$500,0)),"Division default")</f>
        <v/>
      </c>
      <c r="L167" s="5">
        <f>IF($E167="","",TRIM(IFERROR(INDEX(Divisions!$C$3:$C$50,MATCH($E167,Divisions!$A$3:$A$50,0)),"")&amp;IF(IFERROR(INDEX(Divisions!$E$3:$E$50,MATCH($E167,Divisions!$A$3:$A$50,0)),"")&lt;&gt;"",", "&amp;IFERROR(INDEX(Divisions!$E$3:$E$50,MATCH($E167,Divisions!$A$3:$A$50,0)),""),"")&amp;IF(IFERROR(INDEX(Divisions!$G$3:$G$50,MATCH($E167,Divisions!$A$3:$A$50,0)),"")&lt;&gt;"",", "&amp;IFERROR(INDEX(Divisions!$G$3:$G$50,MATCH($E167,Divisions!$A$3:$A$50,0)),""),"")&amp;IF(IFERROR(INDEX(Divisions!$I$3:$I$50,MATCH($E167,Divisions!$A$3:$A$50,0)),"")&lt;&gt;"",", "&amp;IFERROR(INDEX(Divisions!$I$3:$I$50,MATCH($E167,Divisions!$A$3:$A$50,0)),""),"")))</f>
        <v/>
      </c>
    </row>
    <row r="168">
      <c r="F168" s="5">
        <f>IFERROR(INDEX('Company MOA setup'!$B$3:$B$500,MATCH($A168,'Company MOA setup'!$A$3:$A$500,0)),"Division default")</f>
        <v/>
      </c>
      <c r="L168" s="5">
        <f>IF($E168="","",TRIM(IFERROR(INDEX(Divisions!$C$3:$C$50,MATCH($E168,Divisions!$A$3:$A$50,0)),"")&amp;IF(IFERROR(INDEX(Divisions!$E$3:$E$50,MATCH($E168,Divisions!$A$3:$A$50,0)),"")&lt;&gt;"",", "&amp;IFERROR(INDEX(Divisions!$E$3:$E$50,MATCH($E168,Divisions!$A$3:$A$50,0)),""),"")&amp;IF(IFERROR(INDEX(Divisions!$G$3:$G$50,MATCH($E168,Divisions!$A$3:$A$50,0)),"")&lt;&gt;"",", "&amp;IFERROR(INDEX(Divisions!$G$3:$G$50,MATCH($E168,Divisions!$A$3:$A$50,0)),""),"")&amp;IF(IFERROR(INDEX(Divisions!$I$3:$I$50,MATCH($E168,Divisions!$A$3:$A$50,0)),"")&lt;&gt;"",", "&amp;IFERROR(INDEX(Divisions!$I$3:$I$50,MATCH($E168,Divisions!$A$3:$A$50,0)),""),"")))</f>
        <v/>
      </c>
    </row>
    <row r="169">
      <c r="F169" s="5">
        <f>IFERROR(INDEX('Company MOA setup'!$B$3:$B$500,MATCH($A169,'Company MOA setup'!$A$3:$A$500,0)),"Division default")</f>
        <v/>
      </c>
      <c r="L169" s="5">
        <f>IF($E169="","",TRIM(IFERROR(INDEX(Divisions!$C$3:$C$50,MATCH($E169,Divisions!$A$3:$A$50,0)),"")&amp;IF(IFERROR(INDEX(Divisions!$E$3:$E$50,MATCH($E169,Divisions!$A$3:$A$50,0)),"")&lt;&gt;"",", "&amp;IFERROR(INDEX(Divisions!$E$3:$E$50,MATCH($E169,Divisions!$A$3:$A$50,0)),""),"")&amp;IF(IFERROR(INDEX(Divisions!$G$3:$G$50,MATCH($E169,Divisions!$A$3:$A$50,0)),"")&lt;&gt;"",", "&amp;IFERROR(INDEX(Divisions!$G$3:$G$50,MATCH($E169,Divisions!$A$3:$A$50,0)),""),"")&amp;IF(IFERROR(INDEX(Divisions!$I$3:$I$50,MATCH($E169,Divisions!$A$3:$A$50,0)),"")&lt;&gt;"",", "&amp;IFERROR(INDEX(Divisions!$I$3:$I$50,MATCH($E169,Divisions!$A$3:$A$50,0)),""),"")))</f>
        <v/>
      </c>
    </row>
    <row r="170">
      <c r="F170" s="5">
        <f>IFERROR(INDEX('Company MOA setup'!$B$3:$B$500,MATCH($A170,'Company MOA setup'!$A$3:$A$500,0)),"Division default")</f>
        <v/>
      </c>
      <c r="L170" s="5">
        <f>IF($E170="","",TRIM(IFERROR(INDEX(Divisions!$C$3:$C$50,MATCH($E170,Divisions!$A$3:$A$50,0)),"")&amp;IF(IFERROR(INDEX(Divisions!$E$3:$E$50,MATCH($E170,Divisions!$A$3:$A$50,0)),"")&lt;&gt;"",", "&amp;IFERROR(INDEX(Divisions!$E$3:$E$50,MATCH($E170,Divisions!$A$3:$A$50,0)),""),"")&amp;IF(IFERROR(INDEX(Divisions!$G$3:$G$50,MATCH($E170,Divisions!$A$3:$A$50,0)),"")&lt;&gt;"",", "&amp;IFERROR(INDEX(Divisions!$G$3:$G$50,MATCH($E170,Divisions!$A$3:$A$50,0)),""),"")&amp;IF(IFERROR(INDEX(Divisions!$I$3:$I$50,MATCH($E170,Divisions!$A$3:$A$50,0)),"")&lt;&gt;"",", "&amp;IFERROR(INDEX(Divisions!$I$3:$I$50,MATCH($E170,Divisions!$A$3:$A$50,0)),""),"")))</f>
        <v/>
      </c>
    </row>
    <row r="171">
      <c r="F171" s="5">
        <f>IFERROR(INDEX('Company MOA setup'!$B$3:$B$500,MATCH($A171,'Company MOA setup'!$A$3:$A$500,0)),"Division default")</f>
        <v/>
      </c>
      <c r="L171" s="5">
        <f>IF($E171="","",TRIM(IFERROR(INDEX(Divisions!$C$3:$C$50,MATCH($E171,Divisions!$A$3:$A$50,0)),"")&amp;IF(IFERROR(INDEX(Divisions!$E$3:$E$50,MATCH($E171,Divisions!$A$3:$A$50,0)),"")&lt;&gt;"",", "&amp;IFERROR(INDEX(Divisions!$E$3:$E$50,MATCH($E171,Divisions!$A$3:$A$50,0)),""),"")&amp;IF(IFERROR(INDEX(Divisions!$G$3:$G$50,MATCH($E171,Divisions!$A$3:$A$50,0)),"")&lt;&gt;"",", "&amp;IFERROR(INDEX(Divisions!$G$3:$G$50,MATCH($E171,Divisions!$A$3:$A$50,0)),""),"")&amp;IF(IFERROR(INDEX(Divisions!$I$3:$I$50,MATCH($E171,Divisions!$A$3:$A$50,0)),"")&lt;&gt;"",", "&amp;IFERROR(INDEX(Divisions!$I$3:$I$50,MATCH($E171,Divisions!$A$3:$A$50,0)),""),"")))</f>
        <v/>
      </c>
    </row>
    <row r="172">
      <c r="F172" s="5">
        <f>IFERROR(INDEX('Company MOA setup'!$B$3:$B$500,MATCH($A172,'Company MOA setup'!$A$3:$A$500,0)),"Division default")</f>
        <v/>
      </c>
      <c r="L172" s="5">
        <f>IF($E172="","",TRIM(IFERROR(INDEX(Divisions!$C$3:$C$50,MATCH($E172,Divisions!$A$3:$A$50,0)),"")&amp;IF(IFERROR(INDEX(Divisions!$E$3:$E$50,MATCH($E172,Divisions!$A$3:$A$50,0)),"")&lt;&gt;"",", "&amp;IFERROR(INDEX(Divisions!$E$3:$E$50,MATCH($E172,Divisions!$A$3:$A$50,0)),""),"")&amp;IF(IFERROR(INDEX(Divisions!$G$3:$G$50,MATCH($E172,Divisions!$A$3:$A$50,0)),"")&lt;&gt;"",", "&amp;IFERROR(INDEX(Divisions!$G$3:$G$50,MATCH($E172,Divisions!$A$3:$A$50,0)),""),"")&amp;IF(IFERROR(INDEX(Divisions!$I$3:$I$50,MATCH($E172,Divisions!$A$3:$A$50,0)),"")&lt;&gt;"",", "&amp;IFERROR(INDEX(Divisions!$I$3:$I$50,MATCH($E172,Divisions!$A$3:$A$50,0)),""),"")))</f>
        <v/>
      </c>
    </row>
    <row r="173">
      <c r="F173" s="5">
        <f>IFERROR(INDEX('Company MOA setup'!$B$3:$B$500,MATCH($A173,'Company MOA setup'!$A$3:$A$500,0)),"Division default")</f>
        <v/>
      </c>
      <c r="L173" s="5">
        <f>IF($E173="","",TRIM(IFERROR(INDEX(Divisions!$C$3:$C$50,MATCH($E173,Divisions!$A$3:$A$50,0)),"")&amp;IF(IFERROR(INDEX(Divisions!$E$3:$E$50,MATCH($E173,Divisions!$A$3:$A$50,0)),"")&lt;&gt;"",", "&amp;IFERROR(INDEX(Divisions!$E$3:$E$50,MATCH($E173,Divisions!$A$3:$A$50,0)),""),"")&amp;IF(IFERROR(INDEX(Divisions!$G$3:$G$50,MATCH($E173,Divisions!$A$3:$A$50,0)),"")&lt;&gt;"",", "&amp;IFERROR(INDEX(Divisions!$G$3:$G$50,MATCH($E173,Divisions!$A$3:$A$50,0)),""),"")&amp;IF(IFERROR(INDEX(Divisions!$I$3:$I$50,MATCH($E173,Divisions!$A$3:$A$50,0)),"")&lt;&gt;"",", "&amp;IFERROR(INDEX(Divisions!$I$3:$I$50,MATCH($E173,Divisions!$A$3:$A$50,0)),""),"")))</f>
        <v/>
      </c>
    </row>
    <row r="174">
      <c r="F174" s="5">
        <f>IFERROR(INDEX('Company MOA setup'!$B$3:$B$500,MATCH($A174,'Company MOA setup'!$A$3:$A$500,0)),"Division default")</f>
        <v/>
      </c>
      <c r="L174" s="5">
        <f>IF($E174="","",TRIM(IFERROR(INDEX(Divisions!$C$3:$C$50,MATCH($E174,Divisions!$A$3:$A$50,0)),"")&amp;IF(IFERROR(INDEX(Divisions!$E$3:$E$50,MATCH($E174,Divisions!$A$3:$A$50,0)),"")&lt;&gt;"",", "&amp;IFERROR(INDEX(Divisions!$E$3:$E$50,MATCH($E174,Divisions!$A$3:$A$50,0)),""),"")&amp;IF(IFERROR(INDEX(Divisions!$G$3:$G$50,MATCH($E174,Divisions!$A$3:$A$50,0)),"")&lt;&gt;"",", "&amp;IFERROR(INDEX(Divisions!$G$3:$G$50,MATCH($E174,Divisions!$A$3:$A$50,0)),""),"")&amp;IF(IFERROR(INDEX(Divisions!$I$3:$I$50,MATCH($E174,Divisions!$A$3:$A$50,0)),"")&lt;&gt;"",", "&amp;IFERROR(INDEX(Divisions!$I$3:$I$50,MATCH($E174,Divisions!$A$3:$A$50,0)),""),"")))</f>
        <v/>
      </c>
    </row>
    <row r="175">
      <c r="F175" s="5">
        <f>IFERROR(INDEX('Company MOA setup'!$B$3:$B$500,MATCH($A175,'Company MOA setup'!$A$3:$A$500,0)),"Division default")</f>
        <v/>
      </c>
      <c r="L175" s="5">
        <f>IF($E175="","",TRIM(IFERROR(INDEX(Divisions!$C$3:$C$50,MATCH($E175,Divisions!$A$3:$A$50,0)),"")&amp;IF(IFERROR(INDEX(Divisions!$E$3:$E$50,MATCH($E175,Divisions!$A$3:$A$50,0)),"")&lt;&gt;"",", "&amp;IFERROR(INDEX(Divisions!$E$3:$E$50,MATCH($E175,Divisions!$A$3:$A$50,0)),""),"")&amp;IF(IFERROR(INDEX(Divisions!$G$3:$G$50,MATCH($E175,Divisions!$A$3:$A$50,0)),"")&lt;&gt;"",", "&amp;IFERROR(INDEX(Divisions!$G$3:$G$50,MATCH($E175,Divisions!$A$3:$A$50,0)),""),"")&amp;IF(IFERROR(INDEX(Divisions!$I$3:$I$50,MATCH($E175,Divisions!$A$3:$A$50,0)),"")&lt;&gt;"",", "&amp;IFERROR(INDEX(Divisions!$I$3:$I$50,MATCH($E175,Divisions!$A$3:$A$50,0)),""),"")))</f>
        <v/>
      </c>
    </row>
    <row r="176">
      <c r="F176" s="5">
        <f>IFERROR(INDEX('Company MOA setup'!$B$3:$B$500,MATCH($A176,'Company MOA setup'!$A$3:$A$500,0)),"Division default")</f>
        <v/>
      </c>
      <c r="L176" s="5">
        <f>IF($E176="","",TRIM(IFERROR(INDEX(Divisions!$C$3:$C$50,MATCH($E176,Divisions!$A$3:$A$50,0)),"")&amp;IF(IFERROR(INDEX(Divisions!$E$3:$E$50,MATCH($E176,Divisions!$A$3:$A$50,0)),"")&lt;&gt;"",", "&amp;IFERROR(INDEX(Divisions!$E$3:$E$50,MATCH($E176,Divisions!$A$3:$A$50,0)),""),"")&amp;IF(IFERROR(INDEX(Divisions!$G$3:$G$50,MATCH($E176,Divisions!$A$3:$A$50,0)),"")&lt;&gt;"",", "&amp;IFERROR(INDEX(Divisions!$G$3:$G$50,MATCH($E176,Divisions!$A$3:$A$50,0)),""),"")&amp;IF(IFERROR(INDEX(Divisions!$I$3:$I$50,MATCH($E176,Divisions!$A$3:$A$50,0)),"")&lt;&gt;"",", "&amp;IFERROR(INDEX(Divisions!$I$3:$I$50,MATCH($E176,Divisions!$A$3:$A$50,0)),""),"")))</f>
        <v/>
      </c>
    </row>
    <row r="177">
      <c r="F177" s="5">
        <f>IFERROR(INDEX('Company MOA setup'!$B$3:$B$500,MATCH($A177,'Company MOA setup'!$A$3:$A$500,0)),"Division default")</f>
        <v/>
      </c>
      <c r="L177" s="5">
        <f>IF($E177="","",TRIM(IFERROR(INDEX(Divisions!$C$3:$C$50,MATCH($E177,Divisions!$A$3:$A$50,0)),"")&amp;IF(IFERROR(INDEX(Divisions!$E$3:$E$50,MATCH($E177,Divisions!$A$3:$A$50,0)),"")&lt;&gt;"",", "&amp;IFERROR(INDEX(Divisions!$E$3:$E$50,MATCH($E177,Divisions!$A$3:$A$50,0)),""),"")&amp;IF(IFERROR(INDEX(Divisions!$G$3:$G$50,MATCH($E177,Divisions!$A$3:$A$50,0)),"")&lt;&gt;"",", "&amp;IFERROR(INDEX(Divisions!$G$3:$G$50,MATCH($E177,Divisions!$A$3:$A$50,0)),""),"")&amp;IF(IFERROR(INDEX(Divisions!$I$3:$I$50,MATCH($E177,Divisions!$A$3:$A$50,0)),"")&lt;&gt;"",", "&amp;IFERROR(INDEX(Divisions!$I$3:$I$50,MATCH($E177,Divisions!$A$3:$A$50,0)),""),"")))</f>
        <v/>
      </c>
    </row>
    <row r="178">
      <c r="F178" s="5">
        <f>IFERROR(INDEX('Company MOA setup'!$B$3:$B$500,MATCH($A178,'Company MOA setup'!$A$3:$A$500,0)),"Division default")</f>
        <v/>
      </c>
      <c r="L178" s="5">
        <f>IF($E178="","",TRIM(IFERROR(INDEX(Divisions!$C$3:$C$50,MATCH($E178,Divisions!$A$3:$A$50,0)),"")&amp;IF(IFERROR(INDEX(Divisions!$E$3:$E$50,MATCH($E178,Divisions!$A$3:$A$50,0)),"")&lt;&gt;"",", "&amp;IFERROR(INDEX(Divisions!$E$3:$E$50,MATCH($E178,Divisions!$A$3:$A$50,0)),""),"")&amp;IF(IFERROR(INDEX(Divisions!$G$3:$G$50,MATCH($E178,Divisions!$A$3:$A$50,0)),"")&lt;&gt;"",", "&amp;IFERROR(INDEX(Divisions!$G$3:$G$50,MATCH($E178,Divisions!$A$3:$A$50,0)),""),"")&amp;IF(IFERROR(INDEX(Divisions!$I$3:$I$50,MATCH($E178,Divisions!$A$3:$A$50,0)),"")&lt;&gt;"",", "&amp;IFERROR(INDEX(Divisions!$I$3:$I$50,MATCH($E178,Divisions!$A$3:$A$50,0)),""),"")))</f>
        <v/>
      </c>
    </row>
    <row r="179">
      <c r="F179" s="5">
        <f>IFERROR(INDEX('Company MOA setup'!$B$3:$B$500,MATCH($A179,'Company MOA setup'!$A$3:$A$500,0)),"Division default")</f>
        <v/>
      </c>
      <c r="L179" s="5">
        <f>IF($E179="","",TRIM(IFERROR(INDEX(Divisions!$C$3:$C$50,MATCH($E179,Divisions!$A$3:$A$50,0)),"")&amp;IF(IFERROR(INDEX(Divisions!$E$3:$E$50,MATCH($E179,Divisions!$A$3:$A$50,0)),"")&lt;&gt;"",", "&amp;IFERROR(INDEX(Divisions!$E$3:$E$50,MATCH($E179,Divisions!$A$3:$A$50,0)),""),"")&amp;IF(IFERROR(INDEX(Divisions!$G$3:$G$50,MATCH($E179,Divisions!$A$3:$A$50,0)),"")&lt;&gt;"",", "&amp;IFERROR(INDEX(Divisions!$G$3:$G$50,MATCH($E179,Divisions!$A$3:$A$50,0)),""),"")&amp;IF(IFERROR(INDEX(Divisions!$I$3:$I$50,MATCH($E179,Divisions!$A$3:$A$50,0)),"")&lt;&gt;"",", "&amp;IFERROR(INDEX(Divisions!$I$3:$I$50,MATCH($E179,Divisions!$A$3:$A$50,0)),""),"")))</f>
        <v/>
      </c>
    </row>
    <row r="180">
      <c r="F180" s="5">
        <f>IFERROR(INDEX('Company MOA setup'!$B$3:$B$500,MATCH($A180,'Company MOA setup'!$A$3:$A$500,0)),"Division default")</f>
        <v/>
      </c>
      <c r="L180" s="5">
        <f>IF($E180="","",TRIM(IFERROR(INDEX(Divisions!$C$3:$C$50,MATCH($E180,Divisions!$A$3:$A$50,0)),"")&amp;IF(IFERROR(INDEX(Divisions!$E$3:$E$50,MATCH($E180,Divisions!$A$3:$A$50,0)),"")&lt;&gt;"",", "&amp;IFERROR(INDEX(Divisions!$E$3:$E$50,MATCH($E180,Divisions!$A$3:$A$50,0)),""),"")&amp;IF(IFERROR(INDEX(Divisions!$G$3:$G$50,MATCH($E180,Divisions!$A$3:$A$50,0)),"")&lt;&gt;"",", "&amp;IFERROR(INDEX(Divisions!$G$3:$G$50,MATCH($E180,Divisions!$A$3:$A$50,0)),""),"")&amp;IF(IFERROR(INDEX(Divisions!$I$3:$I$50,MATCH($E180,Divisions!$A$3:$A$50,0)),"")&lt;&gt;"",", "&amp;IFERROR(INDEX(Divisions!$I$3:$I$50,MATCH($E180,Divisions!$A$3:$A$50,0)),""),"")))</f>
        <v/>
      </c>
    </row>
    <row r="181">
      <c r="F181" s="5">
        <f>IFERROR(INDEX('Company MOA setup'!$B$3:$B$500,MATCH($A181,'Company MOA setup'!$A$3:$A$500,0)),"Division default")</f>
        <v/>
      </c>
      <c r="L181" s="5">
        <f>IF($E181="","",TRIM(IFERROR(INDEX(Divisions!$C$3:$C$50,MATCH($E181,Divisions!$A$3:$A$50,0)),"")&amp;IF(IFERROR(INDEX(Divisions!$E$3:$E$50,MATCH($E181,Divisions!$A$3:$A$50,0)),"")&lt;&gt;"",", "&amp;IFERROR(INDEX(Divisions!$E$3:$E$50,MATCH($E181,Divisions!$A$3:$A$50,0)),""),"")&amp;IF(IFERROR(INDEX(Divisions!$G$3:$G$50,MATCH($E181,Divisions!$A$3:$A$50,0)),"")&lt;&gt;"",", "&amp;IFERROR(INDEX(Divisions!$G$3:$G$50,MATCH($E181,Divisions!$A$3:$A$50,0)),""),"")&amp;IF(IFERROR(INDEX(Divisions!$I$3:$I$50,MATCH($E181,Divisions!$A$3:$A$50,0)),"")&lt;&gt;"",", "&amp;IFERROR(INDEX(Divisions!$I$3:$I$50,MATCH($E181,Divisions!$A$3:$A$50,0)),""),"")))</f>
        <v/>
      </c>
    </row>
    <row r="182">
      <c r="F182" s="5">
        <f>IFERROR(INDEX('Company MOA setup'!$B$3:$B$500,MATCH($A182,'Company MOA setup'!$A$3:$A$500,0)),"Division default")</f>
        <v/>
      </c>
      <c r="L182" s="5">
        <f>IF($E182="","",TRIM(IFERROR(INDEX(Divisions!$C$3:$C$50,MATCH($E182,Divisions!$A$3:$A$50,0)),"")&amp;IF(IFERROR(INDEX(Divisions!$E$3:$E$50,MATCH($E182,Divisions!$A$3:$A$50,0)),"")&lt;&gt;"",", "&amp;IFERROR(INDEX(Divisions!$E$3:$E$50,MATCH($E182,Divisions!$A$3:$A$50,0)),""),"")&amp;IF(IFERROR(INDEX(Divisions!$G$3:$G$50,MATCH($E182,Divisions!$A$3:$A$50,0)),"")&lt;&gt;"",", "&amp;IFERROR(INDEX(Divisions!$G$3:$G$50,MATCH($E182,Divisions!$A$3:$A$50,0)),""),"")&amp;IF(IFERROR(INDEX(Divisions!$I$3:$I$50,MATCH($E182,Divisions!$A$3:$A$50,0)),"")&lt;&gt;"",", "&amp;IFERROR(INDEX(Divisions!$I$3:$I$50,MATCH($E182,Divisions!$A$3:$A$50,0)),""),"")))</f>
        <v/>
      </c>
    </row>
    <row r="183">
      <c r="F183" s="5">
        <f>IFERROR(INDEX('Company MOA setup'!$B$3:$B$500,MATCH($A183,'Company MOA setup'!$A$3:$A$500,0)),"Division default")</f>
        <v/>
      </c>
      <c r="L183" s="5">
        <f>IF($E183="","",TRIM(IFERROR(INDEX(Divisions!$C$3:$C$50,MATCH($E183,Divisions!$A$3:$A$50,0)),"")&amp;IF(IFERROR(INDEX(Divisions!$E$3:$E$50,MATCH($E183,Divisions!$A$3:$A$50,0)),"")&lt;&gt;"",", "&amp;IFERROR(INDEX(Divisions!$E$3:$E$50,MATCH($E183,Divisions!$A$3:$A$50,0)),""),"")&amp;IF(IFERROR(INDEX(Divisions!$G$3:$G$50,MATCH($E183,Divisions!$A$3:$A$50,0)),"")&lt;&gt;"",", "&amp;IFERROR(INDEX(Divisions!$G$3:$G$50,MATCH($E183,Divisions!$A$3:$A$50,0)),""),"")&amp;IF(IFERROR(INDEX(Divisions!$I$3:$I$50,MATCH($E183,Divisions!$A$3:$A$50,0)),"")&lt;&gt;"",", "&amp;IFERROR(INDEX(Divisions!$I$3:$I$50,MATCH($E183,Divisions!$A$3:$A$50,0)),""),"")))</f>
        <v/>
      </c>
    </row>
    <row r="184">
      <c r="F184" s="5">
        <f>IFERROR(INDEX('Company MOA setup'!$B$3:$B$500,MATCH($A184,'Company MOA setup'!$A$3:$A$500,0)),"Division default")</f>
        <v/>
      </c>
      <c r="L184" s="5">
        <f>IF($E184="","",TRIM(IFERROR(INDEX(Divisions!$C$3:$C$50,MATCH($E184,Divisions!$A$3:$A$50,0)),"")&amp;IF(IFERROR(INDEX(Divisions!$E$3:$E$50,MATCH($E184,Divisions!$A$3:$A$50,0)),"")&lt;&gt;"",", "&amp;IFERROR(INDEX(Divisions!$E$3:$E$50,MATCH($E184,Divisions!$A$3:$A$50,0)),""),"")&amp;IF(IFERROR(INDEX(Divisions!$G$3:$G$50,MATCH($E184,Divisions!$A$3:$A$50,0)),"")&lt;&gt;"",", "&amp;IFERROR(INDEX(Divisions!$G$3:$G$50,MATCH($E184,Divisions!$A$3:$A$50,0)),""),"")&amp;IF(IFERROR(INDEX(Divisions!$I$3:$I$50,MATCH($E184,Divisions!$A$3:$A$50,0)),"")&lt;&gt;"",", "&amp;IFERROR(INDEX(Divisions!$I$3:$I$50,MATCH($E184,Divisions!$A$3:$A$50,0)),""),"")))</f>
        <v/>
      </c>
    </row>
    <row r="185">
      <c r="F185" s="5">
        <f>IFERROR(INDEX('Company MOA setup'!$B$3:$B$500,MATCH($A185,'Company MOA setup'!$A$3:$A$500,0)),"Division default")</f>
        <v/>
      </c>
      <c r="L185" s="5">
        <f>IF($E185="","",TRIM(IFERROR(INDEX(Divisions!$C$3:$C$50,MATCH($E185,Divisions!$A$3:$A$50,0)),"")&amp;IF(IFERROR(INDEX(Divisions!$E$3:$E$50,MATCH($E185,Divisions!$A$3:$A$50,0)),"")&lt;&gt;"",", "&amp;IFERROR(INDEX(Divisions!$E$3:$E$50,MATCH($E185,Divisions!$A$3:$A$50,0)),""),"")&amp;IF(IFERROR(INDEX(Divisions!$G$3:$G$50,MATCH($E185,Divisions!$A$3:$A$50,0)),"")&lt;&gt;"",", "&amp;IFERROR(INDEX(Divisions!$G$3:$G$50,MATCH($E185,Divisions!$A$3:$A$50,0)),""),"")&amp;IF(IFERROR(INDEX(Divisions!$I$3:$I$50,MATCH($E185,Divisions!$A$3:$A$50,0)),"")&lt;&gt;"",", "&amp;IFERROR(INDEX(Divisions!$I$3:$I$50,MATCH($E185,Divisions!$A$3:$A$50,0)),""),"")))</f>
        <v/>
      </c>
    </row>
    <row r="186">
      <c r="F186" s="5">
        <f>IFERROR(INDEX('Company MOA setup'!$B$3:$B$500,MATCH($A186,'Company MOA setup'!$A$3:$A$500,0)),"Division default")</f>
        <v/>
      </c>
      <c r="L186" s="5">
        <f>IF($E186="","",TRIM(IFERROR(INDEX(Divisions!$C$3:$C$50,MATCH($E186,Divisions!$A$3:$A$50,0)),"")&amp;IF(IFERROR(INDEX(Divisions!$E$3:$E$50,MATCH($E186,Divisions!$A$3:$A$50,0)),"")&lt;&gt;"",", "&amp;IFERROR(INDEX(Divisions!$E$3:$E$50,MATCH($E186,Divisions!$A$3:$A$50,0)),""),"")&amp;IF(IFERROR(INDEX(Divisions!$G$3:$G$50,MATCH($E186,Divisions!$A$3:$A$50,0)),"")&lt;&gt;"",", "&amp;IFERROR(INDEX(Divisions!$G$3:$G$50,MATCH($E186,Divisions!$A$3:$A$50,0)),""),"")&amp;IF(IFERROR(INDEX(Divisions!$I$3:$I$50,MATCH($E186,Divisions!$A$3:$A$50,0)),"")&lt;&gt;"",", "&amp;IFERROR(INDEX(Divisions!$I$3:$I$50,MATCH($E186,Divisions!$A$3:$A$50,0)),""),"")))</f>
        <v/>
      </c>
    </row>
    <row r="187">
      <c r="F187" s="5">
        <f>IFERROR(INDEX('Company MOA setup'!$B$3:$B$500,MATCH($A187,'Company MOA setup'!$A$3:$A$500,0)),"Division default")</f>
        <v/>
      </c>
      <c r="L187" s="5">
        <f>IF($E187="","",TRIM(IFERROR(INDEX(Divisions!$C$3:$C$50,MATCH($E187,Divisions!$A$3:$A$50,0)),"")&amp;IF(IFERROR(INDEX(Divisions!$E$3:$E$50,MATCH($E187,Divisions!$A$3:$A$50,0)),"")&lt;&gt;"",", "&amp;IFERROR(INDEX(Divisions!$E$3:$E$50,MATCH($E187,Divisions!$A$3:$A$50,0)),""),"")&amp;IF(IFERROR(INDEX(Divisions!$G$3:$G$50,MATCH($E187,Divisions!$A$3:$A$50,0)),"")&lt;&gt;"",", "&amp;IFERROR(INDEX(Divisions!$G$3:$G$50,MATCH($E187,Divisions!$A$3:$A$50,0)),""),"")&amp;IF(IFERROR(INDEX(Divisions!$I$3:$I$50,MATCH($E187,Divisions!$A$3:$A$50,0)),"")&lt;&gt;"",", "&amp;IFERROR(INDEX(Divisions!$I$3:$I$50,MATCH($E187,Divisions!$A$3:$A$50,0)),""),"")))</f>
        <v/>
      </c>
    </row>
    <row r="188">
      <c r="F188" s="5">
        <f>IFERROR(INDEX('Company MOA setup'!$B$3:$B$500,MATCH($A188,'Company MOA setup'!$A$3:$A$500,0)),"Division default")</f>
        <v/>
      </c>
      <c r="L188" s="5">
        <f>IF($E188="","",TRIM(IFERROR(INDEX(Divisions!$C$3:$C$50,MATCH($E188,Divisions!$A$3:$A$50,0)),"")&amp;IF(IFERROR(INDEX(Divisions!$E$3:$E$50,MATCH($E188,Divisions!$A$3:$A$50,0)),"")&lt;&gt;"",", "&amp;IFERROR(INDEX(Divisions!$E$3:$E$50,MATCH($E188,Divisions!$A$3:$A$50,0)),""),"")&amp;IF(IFERROR(INDEX(Divisions!$G$3:$G$50,MATCH($E188,Divisions!$A$3:$A$50,0)),"")&lt;&gt;"",", "&amp;IFERROR(INDEX(Divisions!$G$3:$G$50,MATCH($E188,Divisions!$A$3:$A$50,0)),""),"")&amp;IF(IFERROR(INDEX(Divisions!$I$3:$I$50,MATCH($E188,Divisions!$A$3:$A$50,0)),"")&lt;&gt;"",", "&amp;IFERROR(INDEX(Divisions!$I$3:$I$50,MATCH($E188,Divisions!$A$3:$A$50,0)),""),"")))</f>
        <v/>
      </c>
    </row>
    <row r="189">
      <c r="F189" s="5">
        <f>IFERROR(INDEX('Company MOA setup'!$B$3:$B$500,MATCH($A189,'Company MOA setup'!$A$3:$A$500,0)),"Division default")</f>
        <v/>
      </c>
      <c r="L189" s="5">
        <f>IF($E189="","",TRIM(IFERROR(INDEX(Divisions!$C$3:$C$50,MATCH($E189,Divisions!$A$3:$A$50,0)),"")&amp;IF(IFERROR(INDEX(Divisions!$E$3:$E$50,MATCH($E189,Divisions!$A$3:$A$50,0)),"")&lt;&gt;"",", "&amp;IFERROR(INDEX(Divisions!$E$3:$E$50,MATCH($E189,Divisions!$A$3:$A$50,0)),""),"")&amp;IF(IFERROR(INDEX(Divisions!$G$3:$G$50,MATCH($E189,Divisions!$A$3:$A$50,0)),"")&lt;&gt;"",", "&amp;IFERROR(INDEX(Divisions!$G$3:$G$50,MATCH($E189,Divisions!$A$3:$A$50,0)),""),"")&amp;IF(IFERROR(INDEX(Divisions!$I$3:$I$50,MATCH($E189,Divisions!$A$3:$A$50,0)),"")&lt;&gt;"",", "&amp;IFERROR(INDEX(Divisions!$I$3:$I$50,MATCH($E189,Divisions!$A$3:$A$50,0)),""),"")))</f>
        <v/>
      </c>
    </row>
    <row r="190">
      <c r="F190" s="5">
        <f>IFERROR(INDEX('Company MOA setup'!$B$3:$B$500,MATCH($A190,'Company MOA setup'!$A$3:$A$500,0)),"Division default")</f>
        <v/>
      </c>
      <c r="L190" s="5">
        <f>IF($E190="","",TRIM(IFERROR(INDEX(Divisions!$C$3:$C$50,MATCH($E190,Divisions!$A$3:$A$50,0)),"")&amp;IF(IFERROR(INDEX(Divisions!$E$3:$E$50,MATCH($E190,Divisions!$A$3:$A$50,0)),"")&lt;&gt;"",", "&amp;IFERROR(INDEX(Divisions!$E$3:$E$50,MATCH($E190,Divisions!$A$3:$A$50,0)),""),"")&amp;IF(IFERROR(INDEX(Divisions!$G$3:$G$50,MATCH($E190,Divisions!$A$3:$A$50,0)),"")&lt;&gt;"",", "&amp;IFERROR(INDEX(Divisions!$G$3:$G$50,MATCH($E190,Divisions!$A$3:$A$50,0)),""),"")&amp;IF(IFERROR(INDEX(Divisions!$I$3:$I$50,MATCH($E190,Divisions!$A$3:$A$50,0)),"")&lt;&gt;"",", "&amp;IFERROR(INDEX(Divisions!$I$3:$I$50,MATCH($E190,Divisions!$A$3:$A$50,0)),""),"")))</f>
        <v/>
      </c>
    </row>
    <row r="191">
      <c r="F191" s="5">
        <f>IFERROR(INDEX('Company MOA setup'!$B$3:$B$500,MATCH($A191,'Company MOA setup'!$A$3:$A$500,0)),"Division default")</f>
        <v/>
      </c>
      <c r="L191" s="5">
        <f>IF($E191="","",TRIM(IFERROR(INDEX(Divisions!$C$3:$C$50,MATCH($E191,Divisions!$A$3:$A$50,0)),"")&amp;IF(IFERROR(INDEX(Divisions!$E$3:$E$50,MATCH($E191,Divisions!$A$3:$A$50,0)),"")&lt;&gt;"",", "&amp;IFERROR(INDEX(Divisions!$E$3:$E$50,MATCH($E191,Divisions!$A$3:$A$50,0)),""),"")&amp;IF(IFERROR(INDEX(Divisions!$G$3:$G$50,MATCH($E191,Divisions!$A$3:$A$50,0)),"")&lt;&gt;"",", "&amp;IFERROR(INDEX(Divisions!$G$3:$G$50,MATCH($E191,Divisions!$A$3:$A$50,0)),""),"")&amp;IF(IFERROR(INDEX(Divisions!$I$3:$I$50,MATCH($E191,Divisions!$A$3:$A$50,0)),"")&lt;&gt;"",", "&amp;IFERROR(INDEX(Divisions!$I$3:$I$50,MATCH($E191,Divisions!$A$3:$A$50,0)),""),"")))</f>
        <v/>
      </c>
    </row>
    <row r="192">
      <c r="F192" s="5">
        <f>IFERROR(INDEX('Company MOA setup'!$B$3:$B$500,MATCH($A192,'Company MOA setup'!$A$3:$A$500,0)),"Division default")</f>
        <v/>
      </c>
      <c r="L192" s="5">
        <f>IF($E192="","",TRIM(IFERROR(INDEX(Divisions!$C$3:$C$50,MATCH($E192,Divisions!$A$3:$A$50,0)),"")&amp;IF(IFERROR(INDEX(Divisions!$E$3:$E$50,MATCH($E192,Divisions!$A$3:$A$50,0)),"")&lt;&gt;"",", "&amp;IFERROR(INDEX(Divisions!$E$3:$E$50,MATCH($E192,Divisions!$A$3:$A$50,0)),""),"")&amp;IF(IFERROR(INDEX(Divisions!$G$3:$G$50,MATCH($E192,Divisions!$A$3:$A$50,0)),"")&lt;&gt;"",", "&amp;IFERROR(INDEX(Divisions!$G$3:$G$50,MATCH($E192,Divisions!$A$3:$A$50,0)),""),"")&amp;IF(IFERROR(INDEX(Divisions!$I$3:$I$50,MATCH($E192,Divisions!$A$3:$A$50,0)),"")&lt;&gt;"",", "&amp;IFERROR(INDEX(Divisions!$I$3:$I$50,MATCH($E192,Divisions!$A$3:$A$50,0)),""),"")))</f>
        <v/>
      </c>
    </row>
    <row r="193">
      <c r="F193" s="5">
        <f>IFERROR(INDEX('Company MOA setup'!$B$3:$B$500,MATCH($A193,'Company MOA setup'!$A$3:$A$500,0)),"Division default")</f>
        <v/>
      </c>
      <c r="L193" s="5">
        <f>IF($E193="","",TRIM(IFERROR(INDEX(Divisions!$C$3:$C$50,MATCH($E193,Divisions!$A$3:$A$50,0)),"")&amp;IF(IFERROR(INDEX(Divisions!$E$3:$E$50,MATCH($E193,Divisions!$A$3:$A$50,0)),"")&lt;&gt;"",", "&amp;IFERROR(INDEX(Divisions!$E$3:$E$50,MATCH($E193,Divisions!$A$3:$A$50,0)),""),"")&amp;IF(IFERROR(INDEX(Divisions!$G$3:$G$50,MATCH($E193,Divisions!$A$3:$A$50,0)),"")&lt;&gt;"",", "&amp;IFERROR(INDEX(Divisions!$G$3:$G$50,MATCH($E193,Divisions!$A$3:$A$50,0)),""),"")&amp;IF(IFERROR(INDEX(Divisions!$I$3:$I$50,MATCH($E193,Divisions!$A$3:$A$50,0)),"")&lt;&gt;"",", "&amp;IFERROR(INDEX(Divisions!$I$3:$I$50,MATCH($E193,Divisions!$A$3:$A$50,0)),""),"")))</f>
        <v/>
      </c>
    </row>
    <row r="194">
      <c r="F194" s="5">
        <f>IFERROR(INDEX('Company MOA setup'!$B$3:$B$500,MATCH($A194,'Company MOA setup'!$A$3:$A$500,0)),"Division default")</f>
        <v/>
      </c>
      <c r="L194" s="5">
        <f>IF($E194="","",TRIM(IFERROR(INDEX(Divisions!$C$3:$C$50,MATCH($E194,Divisions!$A$3:$A$50,0)),"")&amp;IF(IFERROR(INDEX(Divisions!$E$3:$E$50,MATCH($E194,Divisions!$A$3:$A$50,0)),"")&lt;&gt;"",", "&amp;IFERROR(INDEX(Divisions!$E$3:$E$50,MATCH($E194,Divisions!$A$3:$A$50,0)),""),"")&amp;IF(IFERROR(INDEX(Divisions!$G$3:$G$50,MATCH($E194,Divisions!$A$3:$A$50,0)),"")&lt;&gt;"",", "&amp;IFERROR(INDEX(Divisions!$G$3:$G$50,MATCH($E194,Divisions!$A$3:$A$50,0)),""),"")&amp;IF(IFERROR(INDEX(Divisions!$I$3:$I$50,MATCH($E194,Divisions!$A$3:$A$50,0)),"")&lt;&gt;"",", "&amp;IFERROR(INDEX(Divisions!$I$3:$I$50,MATCH($E194,Divisions!$A$3:$A$50,0)),""),"")))</f>
        <v/>
      </c>
    </row>
    <row r="195">
      <c r="F195" s="5">
        <f>IFERROR(INDEX('Company MOA setup'!$B$3:$B$500,MATCH($A195,'Company MOA setup'!$A$3:$A$500,0)),"Division default")</f>
        <v/>
      </c>
      <c r="L195" s="5">
        <f>IF($E195="","",TRIM(IFERROR(INDEX(Divisions!$C$3:$C$50,MATCH($E195,Divisions!$A$3:$A$50,0)),"")&amp;IF(IFERROR(INDEX(Divisions!$E$3:$E$50,MATCH($E195,Divisions!$A$3:$A$50,0)),"")&lt;&gt;"",", "&amp;IFERROR(INDEX(Divisions!$E$3:$E$50,MATCH($E195,Divisions!$A$3:$A$50,0)),""),"")&amp;IF(IFERROR(INDEX(Divisions!$G$3:$G$50,MATCH($E195,Divisions!$A$3:$A$50,0)),"")&lt;&gt;"",", "&amp;IFERROR(INDEX(Divisions!$G$3:$G$50,MATCH($E195,Divisions!$A$3:$A$50,0)),""),"")&amp;IF(IFERROR(INDEX(Divisions!$I$3:$I$50,MATCH($E195,Divisions!$A$3:$A$50,0)),"")&lt;&gt;"",", "&amp;IFERROR(INDEX(Divisions!$I$3:$I$50,MATCH($E195,Divisions!$A$3:$A$50,0)),""),"")))</f>
        <v/>
      </c>
    </row>
    <row r="196">
      <c r="F196" s="5">
        <f>IFERROR(INDEX('Company MOA setup'!$B$3:$B$500,MATCH($A196,'Company MOA setup'!$A$3:$A$500,0)),"Division default")</f>
        <v/>
      </c>
      <c r="L196" s="5">
        <f>IF($E196="","",TRIM(IFERROR(INDEX(Divisions!$C$3:$C$50,MATCH($E196,Divisions!$A$3:$A$50,0)),"")&amp;IF(IFERROR(INDEX(Divisions!$E$3:$E$50,MATCH($E196,Divisions!$A$3:$A$50,0)),"")&lt;&gt;"",", "&amp;IFERROR(INDEX(Divisions!$E$3:$E$50,MATCH($E196,Divisions!$A$3:$A$50,0)),""),"")&amp;IF(IFERROR(INDEX(Divisions!$G$3:$G$50,MATCH($E196,Divisions!$A$3:$A$50,0)),"")&lt;&gt;"",", "&amp;IFERROR(INDEX(Divisions!$G$3:$G$50,MATCH($E196,Divisions!$A$3:$A$50,0)),""),"")&amp;IF(IFERROR(INDEX(Divisions!$I$3:$I$50,MATCH($E196,Divisions!$A$3:$A$50,0)),"")&lt;&gt;"",", "&amp;IFERROR(INDEX(Divisions!$I$3:$I$50,MATCH($E196,Divisions!$A$3:$A$50,0)),""),"")))</f>
        <v/>
      </c>
    </row>
    <row r="197">
      <c r="F197" s="5">
        <f>IFERROR(INDEX('Company MOA setup'!$B$3:$B$500,MATCH($A197,'Company MOA setup'!$A$3:$A$500,0)),"Division default")</f>
        <v/>
      </c>
      <c r="L197" s="5">
        <f>IF($E197="","",TRIM(IFERROR(INDEX(Divisions!$C$3:$C$50,MATCH($E197,Divisions!$A$3:$A$50,0)),"")&amp;IF(IFERROR(INDEX(Divisions!$E$3:$E$50,MATCH($E197,Divisions!$A$3:$A$50,0)),"")&lt;&gt;"",", "&amp;IFERROR(INDEX(Divisions!$E$3:$E$50,MATCH($E197,Divisions!$A$3:$A$50,0)),""),"")&amp;IF(IFERROR(INDEX(Divisions!$G$3:$G$50,MATCH($E197,Divisions!$A$3:$A$50,0)),"")&lt;&gt;"",", "&amp;IFERROR(INDEX(Divisions!$G$3:$G$50,MATCH($E197,Divisions!$A$3:$A$50,0)),""),"")&amp;IF(IFERROR(INDEX(Divisions!$I$3:$I$50,MATCH($E197,Divisions!$A$3:$A$50,0)),"")&lt;&gt;"",", "&amp;IFERROR(INDEX(Divisions!$I$3:$I$50,MATCH($E197,Divisions!$A$3:$A$50,0)),""),"")))</f>
        <v/>
      </c>
    </row>
    <row r="198">
      <c r="F198" s="5">
        <f>IFERROR(INDEX('Company MOA setup'!$B$3:$B$500,MATCH($A198,'Company MOA setup'!$A$3:$A$500,0)),"Division default")</f>
        <v/>
      </c>
      <c r="L198" s="5">
        <f>IF($E198="","",TRIM(IFERROR(INDEX(Divisions!$C$3:$C$50,MATCH($E198,Divisions!$A$3:$A$50,0)),"")&amp;IF(IFERROR(INDEX(Divisions!$E$3:$E$50,MATCH($E198,Divisions!$A$3:$A$50,0)),"")&lt;&gt;"",", "&amp;IFERROR(INDEX(Divisions!$E$3:$E$50,MATCH($E198,Divisions!$A$3:$A$50,0)),""),"")&amp;IF(IFERROR(INDEX(Divisions!$G$3:$G$50,MATCH($E198,Divisions!$A$3:$A$50,0)),"")&lt;&gt;"",", "&amp;IFERROR(INDEX(Divisions!$G$3:$G$50,MATCH($E198,Divisions!$A$3:$A$50,0)),""),"")&amp;IF(IFERROR(INDEX(Divisions!$I$3:$I$50,MATCH($E198,Divisions!$A$3:$A$50,0)),"")&lt;&gt;"",", "&amp;IFERROR(INDEX(Divisions!$I$3:$I$50,MATCH($E198,Divisions!$A$3:$A$50,0)),""),"")))</f>
        <v/>
      </c>
    </row>
    <row r="199">
      <c r="F199" s="5">
        <f>IFERROR(INDEX('Company MOA setup'!$B$3:$B$500,MATCH($A199,'Company MOA setup'!$A$3:$A$500,0)),"Division default")</f>
        <v/>
      </c>
      <c r="L199" s="5">
        <f>IF($E199="","",TRIM(IFERROR(INDEX(Divisions!$C$3:$C$50,MATCH($E199,Divisions!$A$3:$A$50,0)),"")&amp;IF(IFERROR(INDEX(Divisions!$E$3:$E$50,MATCH($E199,Divisions!$A$3:$A$50,0)),"")&lt;&gt;"",", "&amp;IFERROR(INDEX(Divisions!$E$3:$E$50,MATCH($E199,Divisions!$A$3:$A$50,0)),""),"")&amp;IF(IFERROR(INDEX(Divisions!$G$3:$G$50,MATCH($E199,Divisions!$A$3:$A$50,0)),"")&lt;&gt;"",", "&amp;IFERROR(INDEX(Divisions!$G$3:$G$50,MATCH($E199,Divisions!$A$3:$A$50,0)),""),"")&amp;IF(IFERROR(INDEX(Divisions!$I$3:$I$50,MATCH($E199,Divisions!$A$3:$A$50,0)),"")&lt;&gt;"",", "&amp;IFERROR(INDEX(Divisions!$I$3:$I$50,MATCH($E199,Divisions!$A$3:$A$50,0)),""),"")))</f>
        <v/>
      </c>
    </row>
    <row r="200">
      <c r="F200" s="5">
        <f>IFERROR(INDEX('Company MOA setup'!$B$3:$B$500,MATCH($A200,'Company MOA setup'!$A$3:$A$500,0)),"Division default")</f>
        <v/>
      </c>
      <c r="L200" s="5">
        <f>IF($E200="","",TRIM(IFERROR(INDEX(Divisions!$C$3:$C$50,MATCH($E200,Divisions!$A$3:$A$50,0)),"")&amp;IF(IFERROR(INDEX(Divisions!$E$3:$E$50,MATCH($E200,Divisions!$A$3:$A$50,0)),"")&lt;&gt;"",", "&amp;IFERROR(INDEX(Divisions!$E$3:$E$50,MATCH($E200,Divisions!$A$3:$A$50,0)),""),"")&amp;IF(IFERROR(INDEX(Divisions!$G$3:$G$50,MATCH($E200,Divisions!$A$3:$A$50,0)),"")&lt;&gt;"",", "&amp;IFERROR(INDEX(Divisions!$G$3:$G$50,MATCH($E200,Divisions!$A$3:$A$50,0)),""),"")&amp;IF(IFERROR(INDEX(Divisions!$I$3:$I$50,MATCH($E200,Divisions!$A$3:$A$50,0)),"")&lt;&gt;"",", "&amp;IFERROR(INDEX(Divisions!$I$3:$I$50,MATCH($E200,Divisions!$A$3:$A$50,0)),""),"")))</f>
        <v/>
      </c>
    </row>
    <row r="201">
      <c r="F201" s="5">
        <f>IFERROR(INDEX('Company MOA setup'!$B$3:$B$500,MATCH($A201,'Company MOA setup'!$A$3:$A$500,0)),"Division default")</f>
        <v/>
      </c>
      <c r="L201" s="5">
        <f>IF($E201="","",TRIM(IFERROR(INDEX(Divisions!$C$3:$C$50,MATCH($E201,Divisions!$A$3:$A$50,0)),"")&amp;IF(IFERROR(INDEX(Divisions!$E$3:$E$50,MATCH($E201,Divisions!$A$3:$A$50,0)),"")&lt;&gt;"",", "&amp;IFERROR(INDEX(Divisions!$E$3:$E$50,MATCH($E201,Divisions!$A$3:$A$50,0)),""),"")&amp;IF(IFERROR(INDEX(Divisions!$G$3:$G$50,MATCH($E201,Divisions!$A$3:$A$50,0)),"")&lt;&gt;"",", "&amp;IFERROR(INDEX(Divisions!$G$3:$G$50,MATCH($E201,Divisions!$A$3:$A$50,0)),""),"")&amp;IF(IFERROR(INDEX(Divisions!$I$3:$I$50,MATCH($E201,Divisions!$A$3:$A$50,0)),"")&lt;&gt;"",", "&amp;IFERROR(INDEX(Divisions!$I$3:$I$50,MATCH($E201,Divisions!$A$3:$A$50,0)),""),"")))</f>
        <v/>
      </c>
    </row>
    <row r="202">
      <c r="F202" s="5">
        <f>IFERROR(INDEX('Company MOA setup'!$B$3:$B$500,MATCH($A202,'Company MOA setup'!$A$3:$A$500,0)),"Division default")</f>
        <v/>
      </c>
      <c r="L202" s="5">
        <f>IF($E202="","",TRIM(IFERROR(INDEX(Divisions!$C$3:$C$50,MATCH($E202,Divisions!$A$3:$A$50,0)),"")&amp;IF(IFERROR(INDEX(Divisions!$E$3:$E$50,MATCH($E202,Divisions!$A$3:$A$50,0)),"")&lt;&gt;"",", "&amp;IFERROR(INDEX(Divisions!$E$3:$E$50,MATCH($E202,Divisions!$A$3:$A$50,0)),""),"")&amp;IF(IFERROR(INDEX(Divisions!$G$3:$G$50,MATCH($E202,Divisions!$A$3:$A$50,0)),"")&lt;&gt;"",", "&amp;IFERROR(INDEX(Divisions!$G$3:$G$50,MATCH($E202,Divisions!$A$3:$A$50,0)),""),"")&amp;IF(IFERROR(INDEX(Divisions!$I$3:$I$50,MATCH($E202,Divisions!$A$3:$A$50,0)),"")&lt;&gt;"",", "&amp;IFERROR(INDEX(Divisions!$I$3:$I$50,MATCH($E202,Divisions!$A$3:$A$50,0)),""),"")))</f>
        <v/>
      </c>
    </row>
    <row r="203">
      <c r="F203" s="5">
        <f>IFERROR(INDEX('Company MOA setup'!$B$3:$B$500,MATCH($A203,'Company MOA setup'!$A$3:$A$500,0)),"Division default")</f>
        <v/>
      </c>
      <c r="L203" s="5">
        <f>IF($E203="","",TRIM(IFERROR(INDEX(Divisions!$C$3:$C$50,MATCH($E203,Divisions!$A$3:$A$50,0)),"")&amp;IF(IFERROR(INDEX(Divisions!$E$3:$E$50,MATCH($E203,Divisions!$A$3:$A$50,0)),"")&lt;&gt;"",", "&amp;IFERROR(INDEX(Divisions!$E$3:$E$50,MATCH($E203,Divisions!$A$3:$A$50,0)),""),"")&amp;IF(IFERROR(INDEX(Divisions!$G$3:$G$50,MATCH($E203,Divisions!$A$3:$A$50,0)),"")&lt;&gt;"",", "&amp;IFERROR(INDEX(Divisions!$G$3:$G$50,MATCH($E203,Divisions!$A$3:$A$50,0)),""),"")&amp;IF(IFERROR(INDEX(Divisions!$I$3:$I$50,MATCH($E203,Divisions!$A$3:$A$50,0)),"")&lt;&gt;"",", "&amp;IFERROR(INDEX(Divisions!$I$3:$I$50,MATCH($E203,Divisions!$A$3:$A$50,0)),""),"")))</f>
        <v/>
      </c>
    </row>
    <row r="204">
      <c r="F204" s="5">
        <f>IFERROR(INDEX('Company MOA setup'!$B$3:$B$500,MATCH($A204,'Company MOA setup'!$A$3:$A$500,0)),"Division default")</f>
        <v/>
      </c>
      <c r="L204" s="5">
        <f>IF($E204="","",TRIM(IFERROR(INDEX(Divisions!$C$3:$C$50,MATCH($E204,Divisions!$A$3:$A$50,0)),"")&amp;IF(IFERROR(INDEX(Divisions!$E$3:$E$50,MATCH($E204,Divisions!$A$3:$A$50,0)),"")&lt;&gt;"",", "&amp;IFERROR(INDEX(Divisions!$E$3:$E$50,MATCH($E204,Divisions!$A$3:$A$50,0)),""),"")&amp;IF(IFERROR(INDEX(Divisions!$G$3:$G$50,MATCH($E204,Divisions!$A$3:$A$50,0)),"")&lt;&gt;"",", "&amp;IFERROR(INDEX(Divisions!$G$3:$G$50,MATCH($E204,Divisions!$A$3:$A$50,0)),""),"")&amp;IF(IFERROR(INDEX(Divisions!$I$3:$I$50,MATCH($E204,Divisions!$A$3:$A$50,0)),"")&lt;&gt;"",", "&amp;IFERROR(INDEX(Divisions!$I$3:$I$50,MATCH($E204,Divisions!$A$3:$A$50,0)),""),"")))</f>
        <v/>
      </c>
    </row>
    <row r="205">
      <c r="F205" s="5">
        <f>IFERROR(INDEX('Company MOA setup'!$B$3:$B$500,MATCH($A205,'Company MOA setup'!$A$3:$A$500,0)),"Division default")</f>
        <v/>
      </c>
      <c r="L205" s="5">
        <f>IF($E205="","",TRIM(IFERROR(INDEX(Divisions!$C$3:$C$50,MATCH($E205,Divisions!$A$3:$A$50,0)),"")&amp;IF(IFERROR(INDEX(Divisions!$E$3:$E$50,MATCH($E205,Divisions!$A$3:$A$50,0)),"")&lt;&gt;"",", "&amp;IFERROR(INDEX(Divisions!$E$3:$E$50,MATCH($E205,Divisions!$A$3:$A$50,0)),""),"")&amp;IF(IFERROR(INDEX(Divisions!$G$3:$G$50,MATCH($E205,Divisions!$A$3:$A$50,0)),"")&lt;&gt;"",", "&amp;IFERROR(INDEX(Divisions!$G$3:$G$50,MATCH($E205,Divisions!$A$3:$A$50,0)),""),"")&amp;IF(IFERROR(INDEX(Divisions!$I$3:$I$50,MATCH($E205,Divisions!$A$3:$A$50,0)),"")&lt;&gt;"",", "&amp;IFERROR(INDEX(Divisions!$I$3:$I$50,MATCH($E205,Divisions!$A$3:$A$50,0)),""),"")))</f>
        <v/>
      </c>
    </row>
    <row r="206">
      <c r="F206" s="5">
        <f>IFERROR(INDEX('Company MOA setup'!$B$3:$B$500,MATCH($A206,'Company MOA setup'!$A$3:$A$500,0)),"Division default")</f>
        <v/>
      </c>
      <c r="L206" s="5">
        <f>IF($E206="","",TRIM(IFERROR(INDEX(Divisions!$C$3:$C$50,MATCH($E206,Divisions!$A$3:$A$50,0)),"")&amp;IF(IFERROR(INDEX(Divisions!$E$3:$E$50,MATCH($E206,Divisions!$A$3:$A$50,0)),"")&lt;&gt;"",", "&amp;IFERROR(INDEX(Divisions!$E$3:$E$50,MATCH($E206,Divisions!$A$3:$A$50,0)),""),"")&amp;IF(IFERROR(INDEX(Divisions!$G$3:$G$50,MATCH($E206,Divisions!$A$3:$A$50,0)),"")&lt;&gt;"",", "&amp;IFERROR(INDEX(Divisions!$G$3:$G$50,MATCH($E206,Divisions!$A$3:$A$50,0)),""),"")&amp;IF(IFERROR(INDEX(Divisions!$I$3:$I$50,MATCH($E206,Divisions!$A$3:$A$50,0)),"")&lt;&gt;"",", "&amp;IFERROR(INDEX(Divisions!$I$3:$I$50,MATCH($E206,Divisions!$A$3:$A$50,0)),""),"")))</f>
        <v/>
      </c>
    </row>
    <row r="207">
      <c r="F207" s="5">
        <f>IFERROR(INDEX('Company MOA setup'!$B$3:$B$500,MATCH($A207,'Company MOA setup'!$A$3:$A$500,0)),"Division default")</f>
        <v/>
      </c>
      <c r="L207" s="5">
        <f>IF($E207="","",TRIM(IFERROR(INDEX(Divisions!$C$3:$C$50,MATCH($E207,Divisions!$A$3:$A$50,0)),"")&amp;IF(IFERROR(INDEX(Divisions!$E$3:$E$50,MATCH($E207,Divisions!$A$3:$A$50,0)),"")&lt;&gt;"",", "&amp;IFERROR(INDEX(Divisions!$E$3:$E$50,MATCH($E207,Divisions!$A$3:$A$50,0)),""),"")&amp;IF(IFERROR(INDEX(Divisions!$G$3:$G$50,MATCH($E207,Divisions!$A$3:$A$50,0)),"")&lt;&gt;"",", "&amp;IFERROR(INDEX(Divisions!$G$3:$G$50,MATCH($E207,Divisions!$A$3:$A$50,0)),""),"")&amp;IF(IFERROR(INDEX(Divisions!$I$3:$I$50,MATCH($E207,Divisions!$A$3:$A$50,0)),"")&lt;&gt;"",", "&amp;IFERROR(INDEX(Divisions!$I$3:$I$50,MATCH($E207,Divisions!$A$3:$A$50,0)),""),"")))</f>
        <v/>
      </c>
    </row>
    <row r="208">
      <c r="F208" s="5">
        <f>IFERROR(INDEX('Company MOA setup'!$B$3:$B$500,MATCH($A208,'Company MOA setup'!$A$3:$A$500,0)),"Division default")</f>
        <v/>
      </c>
      <c r="L208" s="5">
        <f>IF($E208="","",TRIM(IFERROR(INDEX(Divisions!$C$3:$C$50,MATCH($E208,Divisions!$A$3:$A$50,0)),"")&amp;IF(IFERROR(INDEX(Divisions!$E$3:$E$50,MATCH($E208,Divisions!$A$3:$A$50,0)),"")&lt;&gt;"",", "&amp;IFERROR(INDEX(Divisions!$E$3:$E$50,MATCH($E208,Divisions!$A$3:$A$50,0)),""),"")&amp;IF(IFERROR(INDEX(Divisions!$G$3:$G$50,MATCH($E208,Divisions!$A$3:$A$50,0)),"")&lt;&gt;"",", "&amp;IFERROR(INDEX(Divisions!$G$3:$G$50,MATCH($E208,Divisions!$A$3:$A$50,0)),""),"")&amp;IF(IFERROR(INDEX(Divisions!$I$3:$I$50,MATCH($E208,Divisions!$A$3:$A$50,0)),"")&lt;&gt;"",", "&amp;IFERROR(INDEX(Divisions!$I$3:$I$50,MATCH($E208,Divisions!$A$3:$A$50,0)),""),"")))</f>
        <v/>
      </c>
    </row>
    <row r="209">
      <c r="F209" s="5">
        <f>IFERROR(INDEX('Company MOA setup'!$B$3:$B$500,MATCH($A209,'Company MOA setup'!$A$3:$A$500,0)),"Division default")</f>
        <v/>
      </c>
      <c r="L209" s="5">
        <f>IF($E209="","",TRIM(IFERROR(INDEX(Divisions!$C$3:$C$50,MATCH($E209,Divisions!$A$3:$A$50,0)),"")&amp;IF(IFERROR(INDEX(Divisions!$E$3:$E$50,MATCH($E209,Divisions!$A$3:$A$50,0)),"")&lt;&gt;"",", "&amp;IFERROR(INDEX(Divisions!$E$3:$E$50,MATCH($E209,Divisions!$A$3:$A$50,0)),""),"")&amp;IF(IFERROR(INDEX(Divisions!$G$3:$G$50,MATCH($E209,Divisions!$A$3:$A$50,0)),"")&lt;&gt;"",", "&amp;IFERROR(INDEX(Divisions!$G$3:$G$50,MATCH($E209,Divisions!$A$3:$A$50,0)),""),"")&amp;IF(IFERROR(INDEX(Divisions!$I$3:$I$50,MATCH($E209,Divisions!$A$3:$A$50,0)),"")&lt;&gt;"",", "&amp;IFERROR(INDEX(Divisions!$I$3:$I$50,MATCH($E209,Divisions!$A$3:$A$50,0)),""),"")))</f>
        <v/>
      </c>
    </row>
    <row r="210">
      <c r="F210" s="5">
        <f>IFERROR(INDEX('Company MOA setup'!$B$3:$B$500,MATCH($A210,'Company MOA setup'!$A$3:$A$500,0)),"Division default")</f>
        <v/>
      </c>
      <c r="L210" s="5">
        <f>IF($E210="","",TRIM(IFERROR(INDEX(Divisions!$C$3:$C$50,MATCH($E210,Divisions!$A$3:$A$50,0)),"")&amp;IF(IFERROR(INDEX(Divisions!$E$3:$E$50,MATCH($E210,Divisions!$A$3:$A$50,0)),"")&lt;&gt;"",", "&amp;IFERROR(INDEX(Divisions!$E$3:$E$50,MATCH($E210,Divisions!$A$3:$A$50,0)),""),"")&amp;IF(IFERROR(INDEX(Divisions!$G$3:$G$50,MATCH($E210,Divisions!$A$3:$A$50,0)),"")&lt;&gt;"",", "&amp;IFERROR(INDEX(Divisions!$G$3:$G$50,MATCH($E210,Divisions!$A$3:$A$50,0)),""),"")&amp;IF(IFERROR(INDEX(Divisions!$I$3:$I$50,MATCH($E210,Divisions!$A$3:$A$50,0)),"")&lt;&gt;"",", "&amp;IFERROR(INDEX(Divisions!$I$3:$I$50,MATCH($E210,Divisions!$A$3:$A$50,0)),""),"")))</f>
        <v/>
      </c>
    </row>
    <row r="211">
      <c r="F211" s="5">
        <f>IFERROR(INDEX('Company MOA setup'!$B$3:$B$500,MATCH($A211,'Company MOA setup'!$A$3:$A$500,0)),"Division default")</f>
        <v/>
      </c>
      <c r="L211" s="5">
        <f>IF($E211="","",TRIM(IFERROR(INDEX(Divisions!$C$3:$C$50,MATCH($E211,Divisions!$A$3:$A$50,0)),"")&amp;IF(IFERROR(INDEX(Divisions!$E$3:$E$50,MATCH($E211,Divisions!$A$3:$A$50,0)),"")&lt;&gt;"",", "&amp;IFERROR(INDEX(Divisions!$E$3:$E$50,MATCH($E211,Divisions!$A$3:$A$50,0)),""),"")&amp;IF(IFERROR(INDEX(Divisions!$G$3:$G$50,MATCH($E211,Divisions!$A$3:$A$50,0)),"")&lt;&gt;"",", "&amp;IFERROR(INDEX(Divisions!$G$3:$G$50,MATCH($E211,Divisions!$A$3:$A$50,0)),""),"")&amp;IF(IFERROR(INDEX(Divisions!$I$3:$I$50,MATCH($E211,Divisions!$A$3:$A$50,0)),"")&lt;&gt;"",", "&amp;IFERROR(INDEX(Divisions!$I$3:$I$50,MATCH($E211,Divisions!$A$3:$A$50,0)),""),"")))</f>
        <v/>
      </c>
    </row>
    <row r="212">
      <c r="F212" s="5">
        <f>IFERROR(INDEX('Company MOA setup'!$B$3:$B$500,MATCH($A212,'Company MOA setup'!$A$3:$A$500,0)),"Division default")</f>
        <v/>
      </c>
      <c r="L212" s="5">
        <f>IF($E212="","",TRIM(IFERROR(INDEX(Divisions!$C$3:$C$50,MATCH($E212,Divisions!$A$3:$A$50,0)),"")&amp;IF(IFERROR(INDEX(Divisions!$E$3:$E$50,MATCH($E212,Divisions!$A$3:$A$50,0)),"")&lt;&gt;"",", "&amp;IFERROR(INDEX(Divisions!$E$3:$E$50,MATCH($E212,Divisions!$A$3:$A$50,0)),""),"")&amp;IF(IFERROR(INDEX(Divisions!$G$3:$G$50,MATCH($E212,Divisions!$A$3:$A$50,0)),"")&lt;&gt;"",", "&amp;IFERROR(INDEX(Divisions!$G$3:$G$50,MATCH($E212,Divisions!$A$3:$A$50,0)),""),"")&amp;IF(IFERROR(INDEX(Divisions!$I$3:$I$50,MATCH($E212,Divisions!$A$3:$A$50,0)),"")&lt;&gt;"",", "&amp;IFERROR(INDEX(Divisions!$I$3:$I$50,MATCH($E212,Divisions!$A$3:$A$50,0)),""),"")))</f>
        <v/>
      </c>
    </row>
    <row r="213">
      <c r="F213" s="5">
        <f>IFERROR(INDEX('Company MOA setup'!$B$3:$B$500,MATCH($A213,'Company MOA setup'!$A$3:$A$500,0)),"Division default")</f>
        <v/>
      </c>
      <c r="L213" s="5">
        <f>IF($E213="","",TRIM(IFERROR(INDEX(Divisions!$C$3:$C$50,MATCH($E213,Divisions!$A$3:$A$50,0)),"")&amp;IF(IFERROR(INDEX(Divisions!$E$3:$E$50,MATCH($E213,Divisions!$A$3:$A$50,0)),"")&lt;&gt;"",", "&amp;IFERROR(INDEX(Divisions!$E$3:$E$50,MATCH($E213,Divisions!$A$3:$A$50,0)),""),"")&amp;IF(IFERROR(INDEX(Divisions!$G$3:$G$50,MATCH($E213,Divisions!$A$3:$A$50,0)),"")&lt;&gt;"",", "&amp;IFERROR(INDEX(Divisions!$G$3:$G$50,MATCH($E213,Divisions!$A$3:$A$50,0)),""),"")&amp;IF(IFERROR(INDEX(Divisions!$I$3:$I$50,MATCH($E213,Divisions!$A$3:$A$50,0)),"")&lt;&gt;"",", "&amp;IFERROR(INDEX(Divisions!$I$3:$I$50,MATCH($E213,Divisions!$A$3:$A$50,0)),""),"")))</f>
        <v/>
      </c>
    </row>
    <row r="214">
      <c r="F214" s="5">
        <f>IFERROR(INDEX('Company MOA setup'!$B$3:$B$500,MATCH($A214,'Company MOA setup'!$A$3:$A$500,0)),"Division default")</f>
        <v/>
      </c>
      <c r="L214" s="5">
        <f>IF($E214="","",TRIM(IFERROR(INDEX(Divisions!$C$3:$C$50,MATCH($E214,Divisions!$A$3:$A$50,0)),"")&amp;IF(IFERROR(INDEX(Divisions!$E$3:$E$50,MATCH($E214,Divisions!$A$3:$A$50,0)),"")&lt;&gt;"",", "&amp;IFERROR(INDEX(Divisions!$E$3:$E$50,MATCH($E214,Divisions!$A$3:$A$50,0)),""),"")&amp;IF(IFERROR(INDEX(Divisions!$G$3:$G$50,MATCH($E214,Divisions!$A$3:$A$50,0)),"")&lt;&gt;"",", "&amp;IFERROR(INDEX(Divisions!$G$3:$G$50,MATCH($E214,Divisions!$A$3:$A$50,0)),""),"")&amp;IF(IFERROR(INDEX(Divisions!$I$3:$I$50,MATCH($E214,Divisions!$A$3:$A$50,0)),"")&lt;&gt;"",", "&amp;IFERROR(INDEX(Divisions!$I$3:$I$50,MATCH($E214,Divisions!$A$3:$A$50,0)),""),"")))</f>
        <v/>
      </c>
    </row>
    <row r="215">
      <c r="F215" s="5">
        <f>IFERROR(INDEX('Company MOA setup'!$B$3:$B$500,MATCH($A215,'Company MOA setup'!$A$3:$A$500,0)),"Division default")</f>
        <v/>
      </c>
      <c r="L215" s="5">
        <f>IF($E215="","",TRIM(IFERROR(INDEX(Divisions!$C$3:$C$50,MATCH($E215,Divisions!$A$3:$A$50,0)),"")&amp;IF(IFERROR(INDEX(Divisions!$E$3:$E$50,MATCH($E215,Divisions!$A$3:$A$50,0)),"")&lt;&gt;"",", "&amp;IFERROR(INDEX(Divisions!$E$3:$E$50,MATCH($E215,Divisions!$A$3:$A$50,0)),""),"")&amp;IF(IFERROR(INDEX(Divisions!$G$3:$G$50,MATCH($E215,Divisions!$A$3:$A$50,0)),"")&lt;&gt;"",", "&amp;IFERROR(INDEX(Divisions!$G$3:$G$50,MATCH($E215,Divisions!$A$3:$A$50,0)),""),"")&amp;IF(IFERROR(INDEX(Divisions!$I$3:$I$50,MATCH($E215,Divisions!$A$3:$A$50,0)),"")&lt;&gt;"",", "&amp;IFERROR(INDEX(Divisions!$I$3:$I$50,MATCH($E215,Divisions!$A$3:$A$50,0)),""),"")))</f>
        <v/>
      </c>
    </row>
    <row r="216">
      <c r="F216" s="5">
        <f>IFERROR(INDEX('Company MOA setup'!$B$3:$B$500,MATCH($A216,'Company MOA setup'!$A$3:$A$500,0)),"Division default")</f>
        <v/>
      </c>
      <c r="L216" s="5">
        <f>IF($E216="","",TRIM(IFERROR(INDEX(Divisions!$C$3:$C$50,MATCH($E216,Divisions!$A$3:$A$50,0)),"")&amp;IF(IFERROR(INDEX(Divisions!$E$3:$E$50,MATCH($E216,Divisions!$A$3:$A$50,0)),"")&lt;&gt;"",", "&amp;IFERROR(INDEX(Divisions!$E$3:$E$50,MATCH($E216,Divisions!$A$3:$A$50,0)),""),"")&amp;IF(IFERROR(INDEX(Divisions!$G$3:$G$50,MATCH($E216,Divisions!$A$3:$A$50,0)),"")&lt;&gt;"",", "&amp;IFERROR(INDEX(Divisions!$G$3:$G$50,MATCH($E216,Divisions!$A$3:$A$50,0)),""),"")&amp;IF(IFERROR(INDEX(Divisions!$I$3:$I$50,MATCH($E216,Divisions!$A$3:$A$50,0)),"")&lt;&gt;"",", "&amp;IFERROR(INDEX(Divisions!$I$3:$I$50,MATCH($E216,Divisions!$A$3:$A$50,0)),""),"")))</f>
        <v/>
      </c>
    </row>
    <row r="217">
      <c r="F217" s="5">
        <f>IFERROR(INDEX('Company MOA setup'!$B$3:$B$500,MATCH($A217,'Company MOA setup'!$A$3:$A$500,0)),"Division default")</f>
        <v/>
      </c>
      <c r="L217" s="5">
        <f>IF($E217="","",TRIM(IFERROR(INDEX(Divisions!$C$3:$C$50,MATCH($E217,Divisions!$A$3:$A$50,0)),"")&amp;IF(IFERROR(INDEX(Divisions!$E$3:$E$50,MATCH($E217,Divisions!$A$3:$A$50,0)),"")&lt;&gt;"",", "&amp;IFERROR(INDEX(Divisions!$E$3:$E$50,MATCH($E217,Divisions!$A$3:$A$50,0)),""),"")&amp;IF(IFERROR(INDEX(Divisions!$G$3:$G$50,MATCH($E217,Divisions!$A$3:$A$50,0)),"")&lt;&gt;"",", "&amp;IFERROR(INDEX(Divisions!$G$3:$G$50,MATCH($E217,Divisions!$A$3:$A$50,0)),""),"")&amp;IF(IFERROR(INDEX(Divisions!$I$3:$I$50,MATCH($E217,Divisions!$A$3:$A$50,0)),"")&lt;&gt;"",", "&amp;IFERROR(INDEX(Divisions!$I$3:$I$50,MATCH($E217,Divisions!$A$3:$A$50,0)),""),"")))</f>
        <v/>
      </c>
    </row>
    <row r="218">
      <c r="F218" s="5">
        <f>IFERROR(INDEX('Company MOA setup'!$B$3:$B$500,MATCH($A218,'Company MOA setup'!$A$3:$A$500,0)),"Division default")</f>
        <v/>
      </c>
      <c r="L218" s="5">
        <f>IF($E218="","",TRIM(IFERROR(INDEX(Divisions!$C$3:$C$50,MATCH($E218,Divisions!$A$3:$A$50,0)),"")&amp;IF(IFERROR(INDEX(Divisions!$E$3:$E$50,MATCH($E218,Divisions!$A$3:$A$50,0)),"")&lt;&gt;"",", "&amp;IFERROR(INDEX(Divisions!$E$3:$E$50,MATCH($E218,Divisions!$A$3:$A$50,0)),""),"")&amp;IF(IFERROR(INDEX(Divisions!$G$3:$G$50,MATCH($E218,Divisions!$A$3:$A$50,0)),"")&lt;&gt;"",", "&amp;IFERROR(INDEX(Divisions!$G$3:$G$50,MATCH($E218,Divisions!$A$3:$A$50,0)),""),"")&amp;IF(IFERROR(INDEX(Divisions!$I$3:$I$50,MATCH($E218,Divisions!$A$3:$A$50,0)),"")&lt;&gt;"",", "&amp;IFERROR(INDEX(Divisions!$I$3:$I$50,MATCH($E218,Divisions!$A$3:$A$50,0)),""),"")))</f>
        <v/>
      </c>
    </row>
    <row r="219">
      <c r="F219" s="5">
        <f>IFERROR(INDEX('Company MOA setup'!$B$3:$B$500,MATCH($A219,'Company MOA setup'!$A$3:$A$500,0)),"Division default")</f>
        <v/>
      </c>
      <c r="L219" s="5">
        <f>IF($E219="","",TRIM(IFERROR(INDEX(Divisions!$C$3:$C$50,MATCH($E219,Divisions!$A$3:$A$50,0)),"")&amp;IF(IFERROR(INDEX(Divisions!$E$3:$E$50,MATCH($E219,Divisions!$A$3:$A$50,0)),"")&lt;&gt;"",", "&amp;IFERROR(INDEX(Divisions!$E$3:$E$50,MATCH($E219,Divisions!$A$3:$A$50,0)),""),"")&amp;IF(IFERROR(INDEX(Divisions!$G$3:$G$50,MATCH($E219,Divisions!$A$3:$A$50,0)),"")&lt;&gt;"",", "&amp;IFERROR(INDEX(Divisions!$G$3:$G$50,MATCH($E219,Divisions!$A$3:$A$50,0)),""),"")&amp;IF(IFERROR(INDEX(Divisions!$I$3:$I$50,MATCH($E219,Divisions!$A$3:$A$50,0)),"")&lt;&gt;"",", "&amp;IFERROR(INDEX(Divisions!$I$3:$I$50,MATCH($E219,Divisions!$A$3:$A$50,0)),""),"")))</f>
        <v/>
      </c>
    </row>
    <row r="220">
      <c r="F220" s="5">
        <f>IFERROR(INDEX('Company MOA setup'!$B$3:$B$500,MATCH($A220,'Company MOA setup'!$A$3:$A$500,0)),"Division default")</f>
        <v/>
      </c>
      <c r="L220" s="5">
        <f>IF($E220="","",TRIM(IFERROR(INDEX(Divisions!$C$3:$C$50,MATCH($E220,Divisions!$A$3:$A$50,0)),"")&amp;IF(IFERROR(INDEX(Divisions!$E$3:$E$50,MATCH($E220,Divisions!$A$3:$A$50,0)),"")&lt;&gt;"",", "&amp;IFERROR(INDEX(Divisions!$E$3:$E$50,MATCH($E220,Divisions!$A$3:$A$50,0)),""),"")&amp;IF(IFERROR(INDEX(Divisions!$G$3:$G$50,MATCH($E220,Divisions!$A$3:$A$50,0)),"")&lt;&gt;"",", "&amp;IFERROR(INDEX(Divisions!$G$3:$G$50,MATCH($E220,Divisions!$A$3:$A$50,0)),""),"")&amp;IF(IFERROR(INDEX(Divisions!$I$3:$I$50,MATCH($E220,Divisions!$A$3:$A$50,0)),"")&lt;&gt;"",", "&amp;IFERROR(INDEX(Divisions!$I$3:$I$50,MATCH($E220,Divisions!$A$3:$A$50,0)),""),"")))</f>
        <v/>
      </c>
    </row>
    <row r="221">
      <c r="F221" s="5">
        <f>IFERROR(INDEX('Company MOA setup'!$B$3:$B$500,MATCH($A221,'Company MOA setup'!$A$3:$A$500,0)),"Division default")</f>
        <v/>
      </c>
      <c r="L221" s="5">
        <f>IF($E221="","",TRIM(IFERROR(INDEX(Divisions!$C$3:$C$50,MATCH($E221,Divisions!$A$3:$A$50,0)),"")&amp;IF(IFERROR(INDEX(Divisions!$E$3:$E$50,MATCH($E221,Divisions!$A$3:$A$50,0)),"")&lt;&gt;"",", "&amp;IFERROR(INDEX(Divisions!$E$3:$E$50,MATCH($E221,Divisions!$A$3:$A$50,0)),""),"")&amp;IF(IFERROR(INDEX(Divisions!$G$3:$G$50,MATCH($E221,Divisions!$A$3:$A$50,0)),"")&lt;&gt;"",", "&amp;IFERROR(INDEX(Divisions!$G$3:$G$50,MATCH($E221,Divisions!$A$3:$A$50,0)),""),"")&amp;IF(IFERROR(INDEX(Divisions!$I$3:$I$50,MATCH($E221,Divisions!$A$3:$A$50,0)),"")&lt;&gt;"",", "&amp;IFERROR(INDEX(Divisions!$I$3:$I$50,MATCH($E221,Divisions!$A$3:$A$50,0)),""),"")))</f>
        <v/>
      </c>
    </row>
    <row r="222">
      <c r="F222" s="5">
        <f>IFERROR(INDEX('Company MOA setup'!$B$3:$B$500,MATCH($A222,'Company MOA setup'!$A$3:$A$500,0)),"Division default")</f>
        <v/>
      </c>
      <c r="L222" s="5">
        <f>IF($E222="","",TRIM(IFERROR(INDEX(Divisions!$C$3:$C$50,MATCH($E222,Divisions!$A$3:$A$50,0)),"")&amp;IF(IFERROR(INDEX(Divisions!$E$3:$E$50,MATCH($E222,Divisions!$A$3:$A$50,0)),"")&lt;&gt;"",", "&amp;IFERROR(INDEX(Divisions!$E$3:$E$50,MATCH($E222,Divisions!$A$3:$A$50,0)),""),"")&amp;IF(IFERROR(INDEX(Divisions!$G$3:$G$50,MATCH($E222,Divisions!$A$3:$A$50,0)),"")&lt;&gt;"",", "&amp;IFERROR(INDEX(Divisions!$G$3:$G$50,MATCH($E222,Divisions!$A$3:$A$50,0)),""),"")&amp;IF(IFERROR(INDEX(Divisions!$I$3:$I$50,MATCH($E222,Divisions!$A$3:$A$50,0)),"")&lt;&gt;"",", "&amp;IFERROR(INDEX(Divisions!$I$3:$I$50,MATCH($E222,Divisions!$A$3:$A$50,0)),""),"")))</f>
        <v/>
      </c>
    </row>
    <row r="223">
      <c r="F223" s="5">
        <f>IFERROR(INDEX('Company MOA setup'!$B$3:$B$500,MATCH($A223,'Company MOA setup'!$A$3:$A$500,0)),"Division default")</f>
        <v/>
      </c>
      <c r="L223" s="5">
        <f>IF($E223="","",TRIM(IFERROR(INDEX(Divisions!$C$3:$C$50,MATCH($E223,Divisions!$A$3:$A$50,0)),"")&amp;IF(IFERROR(INDEX(Divisions!$E$3:$E$50,MATCH($E223,Divisions!$A$3:$A$50,0)),"")&lt;&gt;"",", "&amp;IFERROR(INDEX(Divisions!$E$3:$E$50,MATCH($E223,Divisions!$A$3:$A$50,0)),""),"")&amp;IF(IFERROR(INDEX(Divisions!$G$3:$G$50,MATCH($E223,Divisions!$A$3:$A$50,0)),"")&lt;&gt;"",", "&amp;IFERROR(INDEX(Divisions!$G$3:$G$50,MATCH($E223,Divisions!$A$3:$A$50,0)),""),"")&amp;IF(IFERROR(INDEX(Divisions!$I$3:$I$50,MATCH($E223,Divisions!$A$3:$A$50,0)),"")&lt;&gt;"",", "&amp;IFERROR(INDEX(Divisions!$I$3:$I$50,MATCH($E223,Divisions!$A$3:$A$50,0)),""),"")))</f>
        <v/>
      </c>
    </row>
    <row r="224">
      <c r="F224" s="5">
        <f>IFERROR(INDEX('Company MOA setup'!$B$3:$B$500,MATCH($A224,'Company MOA setup'!$A$3:$A$500,0)),"Division default")</f>
        <v/>
      </c>
      <c r="L224" s="5">
        <f>IF($E224="","",TRIM(IFERROR(INDEX(Divisions!$C$3:$C$50,MATCH($E224,Divisions!$A$3:$A$50,0)),"")&amp;IF(IFERROR(INDEX(Divisions!$E$3:$E$50,MATCH($E224,Divisions!$A$3:$A$50,0)),"")&lt;&gt;"",", "&amp;IFERROR(INDEX(Divisions!$E$3:$E$50,MATCH($E224,Divisions!$A$3:$A$50,0)),""),"")&amp;IF(IFERROR(INDEX(Divisions!$G$3:$G$50,MATCH($E224,Divisions!$A$3:$A$50,0)),"")&lt;&gt;"",", "&amp;IFERROR(INDEX(Divisions!$G$3:$G$50,MATCH($E224,Divisions!$A$3:$A$50,0)),""),"")&amp;IF(IFERROR(INDEX(Divisions!$I$3:$I$50,MATCH($E224,Divisions!$A$3:$A$50,0)),"")&lt;&gt;"",", "&amp;IFERROR(INDEX(Divisions!$I$3:$I$50,MATCH($E224,Divisions!$A$3:$A$50,0)),""),"")))</f>
        <v/>
      </c>
    </row>
    <row r="225">
      <c r="F225" s="5">
        <f>IFERROR(INDEX('Company MOA setup'!$B$3:$B$500,MATCH($A225,'Company MOA setup'!$A$3:$A$500,0)),"Division default")</f>
        <v/>
      </c>
      <c r="L225" s="5">
        <f>IF($E225="","",TRIM(IFERROR(INDEX(Divisions!$C$3:$C$50,MATCH($E225,Divisions!$A$3:$A$50,0)),"")&amp;IF(IFERROR(INDEX(Divisions!$E$3:$E$50,MATCH($E225,Divisions!$A$3:$A$50,0)),"")&lt;&gt;"",", "&amp;IFERROR(INDEX(Divisions!$E$3:$E$50,MATCH($E225,Divisions!$A$3:$A$50,0)),""),"")&amp;IF(IFERROR(INDEX(Divisions!$G$3:$G$50,MATCH($E225,Divisions!$A$3:$A$50,0)),"")&lt;&gt;"",", "&amp;IFERROR(INDEX(Divisions!$G$3:$G$50,MATCH($E225,Divisions!$A$3:$A$50,0)),""),"")&amp;IF(IFERROR(INDEX(Divisions!$I$3:$I$50,MATCH($E225,Divisions!$A$3:$A$50,0)),"")&lt;&gt;"",", "&amp;IFERROR(INDEX(Divisions!$I$3:$I$50,MATCH($E225,Divisions!$A$3:$A$50,0)),""),"")))</f>
        <v/>
      </c>
    </row>
    <row r="226">
      <c r="F226" s="5">
        <f>IFERROR(INDEX('Company MOA setup'!$B$3:$B$500,MATCH($A226,'Company MOA setup'!$A$3:$A$500,0)),"Division default")</f>
        <v/>
      </c>
      <c r="L226" s="5">
        <f>IF($E226="","",TRIM(IFERROR(INDEX(Divisions!$C$3:$C$50,MATCH($E226,Divisions!$A$3:$A$50,0)),"")&amp;IF(IFERROR(INDEX(Divisions!$E$3:$E$50,MATCH($E226,Divisions!$A$3:$A$50,0)),"")&lt;&gt;"",", "&amp;IFERROR(INDEX(Divisions!$E$3:$E$50,MATCH($E226,Divisions!$A$3:$A$50,0)),""),"")&amp;IF(IFERROR(INDEX(Divisions!$G$3:$G$50,MATCH($E226,Divisions!$A$3:$A$50,0)),"")&lt;&gt;"",", "&amp;IFERROR(INDEX(Divisions!$G$3:$G$50,MATCH($E226,Divisions!$A$3:$A$50,0)),""),"")&amp;IF(IFERROR(INDEX(Divisions!$I$3:$I$50,MATCH($E226,Divisions!$A$3:$A$50,0)),"")&lt;&gt;"",", "&amp;IFERROR(INDEX(Divisions!$I$3:$I$50,MATCH($E226,Divisions!$A$3:$A$50,0)),""),"")))</f>
        <v/>
      </c>
    </row>
    <row r="227">
      <c r="F227" s="5">
        <f>IFERROR(INDEX('Company MOA setup'!$B$3:$B$500,MATCH($A227,'Company MOA setup'!$A$3:$A$500,0)),"Division default")</f>
        <v/>
      </c>
      <c r="L227" s="5">
        <f>IF($E227="","",TRIM(IFERROR(INDEX(Divisions!$C$3:$C$50,MATCH($E227,Divisions!$A$3:$A$50,0)),"")&amp;IF(IFERROR(INDEX(Divisions!$E$3:$E$50,MATCH($E227,Divisions!$A$3:$A$50,0)),"")&lt;&gt;"",", "&amp;IFERROR(INDEX(Divisions!$E$3:$E$50,MATCH($E227,Divisions!$A$3:$A$50,0)),""),"")&amp;IF(IFERROR(INDEX(Divisions!$G$3:$G$50,MATCH($E227,Divisions!$A$3:$A$50,0)),"")&lt;&gt;"",", "&amp;IFERROR(INDEX(Divisions!$G$3:$G$50,MATCH($E227,Divisions!$A$3:$A$50,0)),""),"")&amp;IF(IFERROR(INDEX(Divisions!$I$3:$I$50,MATCH($E227,Divisions!$A$3:$A$50,0)),"")&lt;&gt;"",", "&amp;IFERROR(INDEX(Divisions!$I$3:$I$50,MATCH($E227,Divisions!$A$3:$A$50,0)),""),"")))</f>
        <v/>
      </c>
    </row>
    <row r="228">
      <c r="F228" s="5">
        <f>IFERROR(INDEX('Company MOA setup'!$B$3:$B$500,MATCH($A228,'Company MOA setup'!$A$3:$A$500,0)),"Division default")</f>
        <v/>
      </c>
      <c r="L228" s="5">
        <f>IF($E228="","",TRIM(IFERROR(INDEX(Divisions!$C$3:$C$50,MATCH($E228,Divisions!$A$3:$A$50,0)),"")&amp;IF(IFERROR(INDEX(Divisions!$E$3:$E$50,MATCH($E228,Divisions!$A$3:$A$50,0)),"")&lt;&gt;"",", "&amp;IFERROR(INDEX(Divisions!$E$3:$E$50,MATCH($E228,Divisions!$A$3:$A$50,0)),""),"")&amp;IF(IFERROR(INDEX(Divisions!$G$3:$G$50,MATCH($E228,Divisions!$A$3:$A$50,0)),"")&lt;&gt;"",", "&amp;IFERROR(INDEX(Divisions!$G$3:$G$50,MATCH($E228,Divisions!$A$3:$A$50,0)),""),"")&amp;IF(IFERROR(INDEX(Divisions!$I$3:$I$50,MATCH($E228,Divisions!$A$3:$A$50,0)),"")&lt;&gt;"",", "&amp;IFERROR(INDEX(Divisions!$I$3:$I$50,MATCH($E228,Divisions!$A$3:$A$50,0)),""),"")))</f>
        <v/>
      </c>
    </row>
    <row r="229">
      <c r="F229" s="5">
        <f>IFERROR(INDEX('Company MOA setup'!$B$3:$B$500,MATCH($A229,'Company MOA setup'!$A$3:$A$500,0)),"Division default")</f>
        <v/>
      </c>
      <c r="L229" s="5">
        <f>IF($E229="","",TRIM(IFERROR(INDEX(Divisions!$C$3:$C$50,MATCH($E229,Divisions!$A$3:$A$50,0)),"")&amp;IF(IFERROR(INDEX(Divisions!$E$3:$E$50,MATCH($E229,Divisions!$A$3:$A$50,0)),"")&lt;&gt;"",", "&amp;IFERROR(INDEX(Divisions!$E$3:$E$50,MATCH($E229,Divisions!$A$3:$A$50,0)),""),"")&amp;IF(IFERROR(INDEX(Divisions!$G$3:$G$50,MATCH($E229,Divisions!$A$3:$A$50,0)),"")&lt;&gt;"",", "&amp;IFERROR(INDEX(Divisions!$G$3:$G$50,MATCH($E229,Divisions!$A$3:$A$50,0)),""),"")&amp;IF(IFERROR(INDEX(Divisions!$I$3:$I$50,MATCH($E229,Divisions!$A$3:$A$50,0)),"")&lt;&gt;"",", "&amp;IFERROR(INDEX(Divisions!$I$3:$I$50,MATCH($E229,Divisions!$A$3:$A$50,0)),""),"")))</f>
        <v/>
      </c>
    </row>
    <row r="230">
      <c r="F230" s="5">
        <f>IFERROR(INDEX('Company MOA setup'!$B$3:$B$500,MATCH($A230,'Company MOA setup'!$A$3:$A$500,0)),"Division default")</f>
        <v/>
      </c>
      <c r="L230" s="5">
        <f>IF($E230="","",TRIM(IFERROR(INDEX(Divisions!$C$3:$C$50,MATCH($E230,Divisions!$A$3:$A$50,0)),"")&amp;IF(IFERROR(INDEX(Divisions!$E$3:$E$50,MATCH($E230,Divisions!$A$3:$A$50,0)),"")&lt;&gt;"",", "&amp;IFERROR(INDEX(Divisions!$E$3:$E$50,MATCH($E230,Divisions!$A$3:$A$50,0)),""),"")&amp;IF(IFERROR(INDEX(Divisions!$G$3:$G$50,MATCH($E230,Divisions!$A$3:$A$50,0)),"")&lt;&gt;"",", "&amp;IFERROR(INDEX(Divisions!$G$3:$G$50,MATCH($E230,Divisions!$A$3:$A$50,0)),""),"")&amp;IF(IFERROR(INDEX(Divisions!$I$3:$I$50,MATCH($E230,Divisions!$A$3:$A$50,0)),"")&lt;&gt;"",", "&amp;IFERROR(INDEX(Divisions!$I$3:$I$50,MATCH($E230,Divisions!$A$3:$A$50,0)),""),"")))</f>
        <v/>
      </c>
    </row>
    <row r="231">
      <c r="F231" s="5">
        <f>IFERROR(INDEX('Company MOA setup'!$B$3:$B$500,MATCH($A231,'Company MOA setup'!$A$3:$A$500,0)),"Division default")</f>
        <v/>
      </c>
      <c r="L231" s="5">
        <f>IF($E231="","",TRIM(IFERROR(INDEX(Divisions!$C$3:$C$50,MATCH($E231,Divisions!$A$3:$A$50,0)),"")&amp;IF(IFERROR(INDEX(Divisions!$E$3:$E$50,MATCH($E231,Divisions!$A$3:$A$50,0)),"")&lt;&gt;"",", "&amp;IFERROR(INDEX(Divisions!$E$3:$E$50,MATCH($E231,Divisions!$A$3:$A$50,0)),""),"")&amp;IF(IFERROR(INDEX(Divisions!$G$3:$G$50,MATCH($E231,Divisions!$A$3:$A$50,0)),"")&lt;&gt;"",", "&amp;IFERROR(INDEX(Divisions!$G$3:$G$50,MATCH($E231,Divisions!$A$3:$A$50,0)),""),"")&amp;IF(IFERROR(INDEX(Divisions!$I$3:$I$50,MATCH($E231,Divisions!$A$3:$A$50,0)),"")&lt;&gt;"",", "&amp;IFERROR(INDEX(Divisions!$I$3:$I$50,MATCH($E231,Divisions!$A$3:$A$50,0)),""),"")))</f>
        <v/>
      </c>
    </row>
    <row r="232">
      <c r="F232" s="5">
        <f>IFERROR(INDEX('Company MOA setup'!$B$3:$B$500,MATCH($A232,'Company MOA setup'!$A$3:$A$500,0)),"Division default")</f>
        <v/>
      </c>
      <c r="L232" s="5">
        <f>IF($E232="","",TRIM(IFERROR(INDEX(Divisions!$C$3:$C$50,MATCH($E232,Divisions!$A$3:$A$50,0)),"")&amp;IF(IFERROR(INDEX(Divisions!$E$3:$E$50,MATCH($E232,Divisions!$A$3:$A$50,0)),"")&lt;&gt;"",", "&amp;IFERROR(INDEX(Divisions!$E$3:$E$50,MATCH($E232,Divisions!$A$3:$A$50,0)),""),"")&amp;IF(IFERROR(INDEX(Divisions!$G$3:$G$50,MATCH($E232,Divisions!$A$3:$A$50,0)),"")&lt;&gt;"",", "&amp;IFERROR(INDEX(Divisions!$G$3:$G$50,MATCH($E232,Divisions!$A$3:$A$50,0)),""),"")&amp;IF(IFERROR(INDEX(Divisions!$I$3:$I$50,MATCH($E232,Divisions!$A$3:$A$50,0)),"")&lt;&gt;"",", "&amp;IFERROR(INDEX(Divisions!$I$3:$I$50,MATCH($E232,Divisions!$A$3:$A$50,0)),""),"")))</f>
        <v/>
      </c>
    </row>
    <row r="233">
      <c r="F233" s="5">
        <f>IFERROR(INDEX('Company MOA setup'!$B$3:$B$500,MATCH($A233,'Company MOA setup'!$A$3:$A$500,0)),"Division default")</f>
        <v/>
      </c>
      <c r="L233" s="5">
        <f>IF($E233="","",TRIM(IFERROR(INDEX(Divisions!$C$3:$C$50,MATCH($E233,Divisions!$A$3:$A$50,0)),"")&amp;IF(IFERROR(INDEX(Divisions!$E$3:$E$50,MATCH($E233,Divisions!$A$3:$A$50,0)),"")&lt;&gt;"",", "&amp;IFERROR(INDEX(Divisions!$E$3:$E$50,MATCH($E233,Divisions!$A$3:$A$50,0)),""),"")&amp;IF(IFERROR(INDEX(Divisions!$G$3:$G$50,MATCH($E233,Divisions!$A$3:$A$50,0)),"")&lt;&gt;"",", "&amp;IFERROR(INDEX(Divisions!$G$3:$G$50,MATCH($E233,Divisions!$A$3:$A$50,0)),""),"")&amp;IF(IFERROR(INDEX(Divisions!$I$3:$I$50,MATCH($E233,Divisions!$A$3:$A$50,0)),"")&lt;&gt;"",", "&amp;IFERROR(INDEX(Divisions!$I$3:$I$50,MATCH($E233,Divisions!$A$3:$A$50,0)),""),"")))</f>
        <v/>
      </c>
    </row>
    <row r="234">
      <c r="F234" s="5">
        <f>IFERROR(INDEX('Company MOA setup'!$B$3:$B$500,MATCH($A234,'Company MOA setup'!$A$3:$A$500,0)),"Division default")</f>
        <v/>
      </c>
      <c r="L234" s="5">
        <f>IF($E234="","",TRIM(IFERROR(INDEX(Divisions!$C$3:$C$50,MATCH($E234,Divisions!$A$3:$A$50,0)),"")&amp;IF(IFERROR(INDEX(Divisions!$E$3:$E$50,MATCH($E234,Divisions!$A$3:$A$50,0)),"")&lt;&gt;"",", "&amp;IFERROR(INDEX(Divisions!$E$3:$E$50,MATCH($E234,Divisions!$A$3:$A$50,0)),""),"")&amp;IF(IFERROR(INDEX(Divisions!$G$3:$G$50,MATCH($E234,Divisions!$A$3:$A$50,0)),"")&lt;&gt;"",", "&amp;IFERROR(INDEX(Divisions!$G$3:$G$50,MATCH($E234,Divisions!$A$3:$A$50,0)),""),"")&amp;IF(IFERROR(INDEX(Divisions!$I$3:$I$50,MATCH($E234,Divisions!$A$3:$A$50,0)),"")&lt;&gt;"",", "&amp;IFERROR(INDEX(Divisions!$I$3:$I$50,MATCH($E234,Divisions!$A$3:$A$50,0)),""),"")))</f>
        <v/>
      </c>
    </row>
    <row r="235">
      <c r="F235" s="5">
        <f>IFERROR(INDEX('Company MOA setup'!$B$3:$B$500,MATCH($A235,'Company MOA setup'!$A$3:$A$500,0)),"Division default")</f>
        <v/>
      </c>
      <c r="L235" s="5">
        <f>IF($E235="","",TRIM(IFERROR(INDEX(Divisions!$C$3:$C$50,MATCH($E235,Divisions!$A$3:$A$50,0)),"")&amp;IF(IFERROR(INDEX(Divisions!$E$3:$E$50,MATCH($E235,Divisions!$A$3:$A$50,0)),"")&lt;&gt;"",", "&amp;IFERROR(INDEX(Divisions!$E$3:$E$50,MATCH($E235,Divisions!$A$3:$A$50,0)),""),"")&amp;IF(IFERROR(INDEX(Divisions!$G$3:$G$50,MATCH($E235,Divisions!$A$3:$A$50,0)),"")&lt;&gt;"",", "&amp;IFERROR(INDEX(Divisions!$G$3:$G$50,MATCH($E235,Divisions!$A$3:$A$50,0)),""),"")&amp;IF(IFERROR(INDEX(Divisions!$I$3:$I$50,MATCH($E235,Divisions!$A$3:$A$50,0)),"")&lt;&gt;"",", "&amp;IFERROR(INDEX(Divisions!$I$3:$I$50,MATCH($E235,Divisions!$A$3:$A$50,0)),""),"")))</f>
        <v/>
      </c>
    </row>
    <row r="236">
      <c r="F236" s="5">
        <f>IFERROR(INDEX('Company MOA setup'!$B$3:$B$500,MATCH($A236,'Company MOA setup'!$A$3:$A$500,0)),"Division default")</f>
        <v/>
      </c>
      <c r="L236" s="5">
        <f>IF($E236="","",TRIM(IFERROR(INDEX(Divisions!$C$3:$C$50,MATCH($E236,Divisions!$A$3:$A$50,0)),"")&amp;IF(IFERROR(INDEX(Divisions!$E$3:$E$50,MATCH($E236,Divisions!$A$3:$A$50,0)),"")&lt;&gt;"",", "&amp;IFERROR(INDEX(Divisions!$E$3:$E$50,MATCH($E236,Divisions!$A$3:$A$50,0)),""),"")&amp;IF(IFERROR(INDEX(Divisions!$G$3:$G$50,MATCH($E236,Divisions!$A$3:$A$50,0)),"")&lt;&gt;"",", "&amp;IFERROR(INDEX(Divisions!$G$3:$G$50,MATCH($E236,Divisions!$A$3:$A$50,0)),""),"")&amp;IF(IFERROR(INDEX(Divisions!$I$3:$I$50,MATCH($E236,Divisions!$A$3:$A$50,0)),"")&lt;&gt;"",", "&amp;IFERROR(INDEX(Divisions!$I$3:$I$50,MATCH($E236,Divisions!$A$3:$A$50,0)),""),"")))</f>
        <v/>
      </c>
    </row>
    <row r="237">
      <c r="F237" s="5">
        <f>IFERROR(INDEX('Company MOA setup'!$B$3:$B$500,MATCH($A237,'Company MOA setup'!$A$3:$A$500,0)),"Division default")</f>
        <v/>
      </c>
      <c r="L237" s="5">
        <f>IF($E237="","",TRIM(IFERROR(INDEX(Divisions!$C$3:$C$50,MATCH($E237,Divisions!$A$3:$A$50,0)),"")&amp;IF(IFERROR(INDEX(Divisions!$E$3:$E$50,MATCH($E237,Divisions!$A$3:$A$50,0)),"")&lt;&gt;"",", "&amp;IFERROR(INDEX(Divisions!$E$3:$E$50,MATCH($E237,Divisions!$A$3:$A$50,0)),""),"")&amp;IF(IFERROR(INDEX(Divisions!$G$3:$G$50,MATCH($E237,Divisions!$A$3:$A$50,0)),"")&lt;&gt;"",", "&amp;IFERROR(INDEX(Divisions!$G$3:$G$50,MATCH($E237,Divisions!$A$3:$A$50,0)),""),"")&amp;IF(IFERROR(INDEX(Divisions!$I$3:$I$50,MATCH($E237,Divisions!$A$3:$A$50,0)),"")&lt;&gt;"",", "&amp;IFERROR(INDEX(Divisions!$I$3:$I$50,MATCH($E237,Divisions!$A$3:$A$50,0)),""),"")))</f>
        <v/>
      </c>
    </row>
    <row r="238">
      <c r="F238" s="5">
        <f>IFERROR(INDEX('Company MOA setup'!$B$3:$B$500,MATCH($A238,'Company MOA setup'!$A$3:$A$500,0)),"Division default")</f>
        <v/>
      </c>
      <c r="L238" s="5">
        <f>IF($E238="","",TRIM(IFERROR(INDEX(Divisions!$C$3:$C$50,MATCH($E238,Divisions!$A$3:$A$50,0)),"")&amp;IF(IFERROR(INDEX(Divisions!$E$3:$E$50,MATCH($E238,Divisions!$A$3:$A$50,0)),"")&lt;&gt;"",", "&amp;IFERROR(INDEX(Divisions!$E$3:$E$50,MATCH($E238,Divisions!$A$3:$A$50,0)),""),"")&amp;IF(IFERROR(INDEX(Divisions!$G$3:$G$50,MATCH($E238,Divisions!$A$3:$A$50,0)),"")&lt;&gt;"",", "&amp;IFERROR(INDEX(Divisions!$G$3:$G$50,MATCH($E238,Divisions!$A$3:$A$50,0)),""),"")&amp;IF(IFERROR(INDEX(Divisions!$I$3:$I$50,MATCH($E238,Divisions!$A$3:$A$50,0)),"")&lt;&gt;"",", "&amp;IFERROR(INDEX(Divisions!$I$3:$I$50,MATCH($E238,Divisions!$A$3:$A$50,0)),""),"")))</f>
        <v/>
      </c>
    </row>
    <row r="239">
      <c r="F239" s="5">
        <f>IFERROR(INDEX('Company MOA setup'!$B$3:$B$500,MATCH($A239,'Company MOA setup'!$A$3:$A$500,0)),"Division default")</f>
        <v/>
      </c>
      <c r="L239" s="5">
        <f>IF($E239="","",TRIM(IFERROR(INDEX(Divisions!$C$3:$C$50,MATCH($E239,Divisions!$A$3:$A$50,0)),"")&amp;IF(IFERROR(INDEX(Divisions!$E$3:$E$50,MATCH($E239,Divisions!$A$3:$A$50,0)),"")&lt;&gt;"",", "&amp;IFERROR(INDEX(Divisions!$E$3:$E$50,MATCH($E239,Divisions!$A$3:$A$50,0)),""),"")&amp;IF(IFERROR(INDEX(Divisions!$G$3:$G$50,MATCH($E239,Divisions!$A$3:$A$50,0)),"")&lt;&gt;"",", "&amp;IFERROR(INDEX(Divisions!$G$3:$G$50,MATCH($E239,Divisions!$A$3:$A$50,0)),""),"")&amp;IF(IFERROR(INDEX(Divisions!$I$3:$I$50,MATCH($E239,Divisions!$A$3:$A$50,0)),"")&lt;&gt;"",", "&amp;IFERROR(INDEX(Divisions!$I$3:$I$50,MATCH($E239,Divisions!$A$3:$A$50,0)),""),"")))</f>
        <v/>
      </c>
    </row>
    <row r="240">
      <c r="F240" s="5">
        <f>IFERROR(INDEX('Company MOA setup'!$B$3:$B$500,MATCH($A240,'Company MOA setup'!$A$3:$A$500,0)),"Division default")</f>
        <v/>
      </c>
      <c r="L240" s="5">
        <f>IF($E240="","",TRIM(IFERROR(INDEX(Divisions!$C$3:$C$50,MATCH($E240,Divisions!$A$3:$A$50,0)),"")&amp;IF(IFERROR(INDEX(Divisions!$E$3:$E$50,MATCH($E240,Divisions!$A$3:$A$50,0)),"")&lt;&gt;"",", "&amp;IFERROR(INDEX(Divisions!$E$3:$E$50,MATCH($E240,Divisions!$A$3:$A$50,0)),""),"")&amp;IF(IFERROR(INDEX(Divisions!$G$3:$G$50,MATCH($E240,Divisions!$A$3:$A$50,0)),"")&lt;&gt;"",", "&amp;IFERROR(INDEX(Divisions!$G$3:$G$50,MATCH($E240,Divisions!$A$3:$A$50,0)),""),"")&amp;IF(IFERROR(INDEX(Divisions!$I$3:$I$50,MATCH($E240,Divisions!$A$3:$A$50,0)),"")&lt;&gt;"",", "&amp;IFERROR(INDEX(Divisions!$I$3:$I$50,MATCH($E240,Divisions!$A$3:$A$50,0)),""),"")))</f>
        <v/>
      </c>
    </row>
    <row r="241">
      <c r="F241" s="5">
        <f>IFERROR(INDEX('Company MOA setup'!$B$3:$B$500,MATCH($A241,'Company MOA setup'!$A$3:$A$500,0)),"Division default")</f>
        <v/>
      </c>
      <c r="L241" s="5">
        <f>IF($E241="","",TRIM(IFERROR(INDEX(Divisions!$C$3:$C$50,MATCH($E241,Divisions!$A$3:$A$50,0)),"")&amp;IF(IFERROR(INDEX(Divisions!$E$3:$E$50,MATCH($E241,Divisions!$A$3:$A$50,0)),"")&lt;&gt;"",", "&amp;IFERROR(INDEX(Divisions!$E$3:$E$50,MATCH($E241,Divisions!$A$3:$A$50,0)),""),"")&amp;IF(IFERROR(INDEX(Divisions!$G$3:$G$50,MATCH($E241,Divisions!$A$3:$A$50,0)),"")&lt;&gt;"",", "&amp;IFERROR(INDEX(Divisions!$G$3:$G$50,MATCH($E241,Divisions!$A$3:$A$50,0)),""),"")&amp;IF(IFERROR(INDEX(Divisions!$I$3:$I$50,MATCH($E241,Divisions!$A$3:$A$50,0)),"")&lt;&gt;"",", "&amp;IFERROR(INDEX(Divisions!$I$3:$I$50,MATCH($E241,Divisions!$A$3:$A$50,0)),""),"")))</f>
        <v/>
      </c>
    </row>
    <row r="242">
      <c r="F242" s="5">
        <f>IFERROR(INDEX('Company MOA setup'!$B$3:$B$500,MATCH($A242,'Company MOA setup'!$A$3:$A$500,0)),"Division default")</f>
        <v/>
      </c>
      <c r="L242" s="5">
        <f>IF($E242="","",TRIM(IFERROR(INDEX(Divisions!$C$3:$C$50,MATCH($E242,Divisions!$A$3:$A$50,0)),"")&amp;IF(IFERROR(INDEX(Divisions!$E$3:$E$50,MATCH($E242,Divisions!$A$3:$A$50,0)),"")&lt;&gt;"",", "&amp;IFERROR(INDEX(Divisions!$E$3:$E$50,MATCH($E242,Divisions!$A$3:$A$50,0)),""),"")&amp;IF(IFERROR(INDEX(Divisions!$G$3:$G$50,MATCH($E242,Divisions!$A$3:$A$50,0)),"")&lt;&gt;"",", "&amp;IFERROR(INDEX(Divisions!$G$3:$G$50,MATCH($E242,Divisions!$A$3:$A$50,0)),""),"")&amp;IF(IFERROR(INDEX(Divisions!$I$3:$I$50,MATCH($E242,Divisions!$A$3:$A$50,0)),"")&lt;&gt;"",", "&amp;IFERROR(INDEX(Divisions!$I$3:$I$50,MATCH($E242,Divisions!$A$3:$A$50,0)),""),"")))</f>
        <v/>
      </c>
    </row>
    <row r="243">
      <c r="F243" s="5">
        <f>IFERROR(INDEX('Company MOA setup'!$B$3:$B$500,MATCH($A243,'Company MOA setup'!$A$3:$A$500,0)),"Division default")</f>
        <v/>
      </c>
      <c r="L243" s="5">
        <f>IF($E243="","",TRIM(IFERROR(INDEX(Divisions!$C$3:$C$50,MATCH($E243,Divisions!$A$3:$A$50,0)),"")&amp;IF(IFERROR(INDEX(Divisions!$E$3:$E$50,MATCH($E243,Divisions!$A$3:$A$50,0)),"")&lt;&gt;"",", "&amp;IFERROR(INDEX(Divisions!$E$3:$E$50,MATCH($E243,Divisions!$A$3:$A$50,0)),""),"")&amp;IF(IFERROR(INDEX(Divisions!$G$3:$G$50,MATCH($E243,Divisions!$A$3:$A$50,0)),"")&lt;&gt;"",", "&amp;IFERROR(INDEX(Divisions!$G$3:$G$50,MATCH($E243,Divisions!$A$3:$A$50,0)),""),"")&amp;IF(IFERROR(INDEX(Divisions!$I$3:$I$50,MATCH($E243,Divisions!$A$3:$A$50,0)),"")&lt;&gt;"",", "&amp;IFERROR(INDEX(Divisions!$I$3:$I$50,MATCH($E243,Divisions!$A$3:$A$50,0)),""),"")))</f>
        <v/>
      </c>
    </row>
    <row r="244">
      <c r="F244" s="5">
        <f>IFERROR(INDEX('Company MOA setup'!$B$3:$B$500,MATCH($A244,'Company MOA setup'!$A$3:$A$500,0)),"Division default")</f>
        <v/>
      </c>
      <c r="L244" s="5">
        <f>IF($E244="","",TRIM(IFERROR(INDEX(Divisions!$C$3:$C$50,MATCH($E244,Divisions!$A$3:$A$50,0)),"")&amp;IF(IFERROR(INDEX(Divisions!$E$3:$E$50,MATCH($E244,Divisions!$A$3:$A$50,0)),"")&lt;&gt;"",", "&amp;IFERROR(INDEX(Divisions!$E$3:$E$50,MATCH($E244,Divisions!$A$3:$A$50,0)),""),"")&amp;IF(IFERROR(INDEX(Divisions!$G$3:$G$50,MATCH($E244,Divisions!$A$3:$A$50,0)),"")&lt;&gt;"",", "&amp;IFERROR(INDEX(Divisions!$G$3:$G$50,MATCH($E244,Divisions!$A$3:$A$50,0)),""),"")&amp;IF(IFERROR(INDEX(Divisions!$I$3:$I$50,MATCH($E244,Divisions!$A$3:$A$50,0)),"")&lt;&gt;"",", "&amp;IFERROR(INDEX(Divisions!$I$3:$I$50,MATCH($E244,Divisions!$A$3:$A$50,0)),""),"")))</f>
        <v/>
      </c>
    </row>
    <row r="245">
      <c r="F245" s="5">
        <f>IFERROR(INDEX('Company MOA setup'!$B$3:$B$500,MATCH($A245,'Company MOA setup'!$A$3:$A$500,0)),"Division default")</f>
        <v/>
      </c>
      <c r="L245" s="5">
        <f>IF($E245="","",TRIM(IFERROR(INDEX(Divisions!$C$3:$C$50,MATCH($E245,Divisions!$A$3:$A$50,0)),"")&amp;IF(IFERROR(INDEX(Divisions!$E$3:$E$50,MATCH($E245,Divisions!$A$3:$A$50,0)),"")&lt;&gt;"",", "&amp;IFERROR(INDEX(Divisions!$E$3:$E$50,MATCH($E245,Divisions!$A$3:$A$50,0)),""),"")&amp;IF(IFERROR(INDEX(Divisions!$G$3:$G$50,MATCH($E245,Divisions!$A$3:$A$50,0)),"")&lt;&gt;"",", "&amp;IFERROR(INDEX(Divisions!$G$3:$G$50,MATCH($E245,Divisions!$A$3:$A$50,0)),""),"")&amp;IF(IFERROR(INDEX(Divisions!$I$3:$I$50,MATCH($E245,Divisions!$A$3:$A$50,0)),"")&lt;&gt;"",", "&amp;IFERROR(INDEX(Divisions!$I$3:$I$50,MATCH($E245,Divisions!$A$3:$A$50,0)),""),"")))</f>
        <v/>
      </c>
    </row>
    <row r="246">
      <c r="F246" s="5">
        <f>IFERROR(INDEX('Company MOA setup'!$B$3:$B$500,MATCH($A246,'Company MOA setup'!$A$3:$A$500,0)),"Division default")</f>
        <v/>
      </c>
      <c r="L246" s="5">
        <f>IF($E246="","",TRIM(IFERROR(INDEX(Divisions!$C$3:$C$50,MATCH($E246,Divisions!$A$3:$A$50,0)),"")&amp;IF(IFERROR(INDEX(Divisions!$E$3:$E$50,MATCH($E246,Divisions!$A$3:$A$50,0)),"")&lt;&gt;"",", "&amp;IFERROR(INDEX(Divisions!$E$3:$E$50,MATCH($E246,Divisions!$A$3:$A$50,0)),""),"")&amp;IF(IFERROR(INDEX(Divisions!$G$3:$G$50,MATCH($E246,Divisions!$A$3:$A$50,0)),"")&lt;&gt;"",", "&amp;IFERROR(INDEX(Divisions!$G$3:$G$50,MATCH($E246,Divisions!$A$3:$A$50,0)),""),"")&amp;IF(IFERROR(INDEX(Divisions!$I$3:$I$50,MATCH($E246,Divisions!$A$3:$A$50,0)),"")&lt;&gt;"",", "&amp;IFERROR(INDEX(Divisions!$I$3:$I$50,MATCH($E246,Divisions!$A$3:$A$50,0)),""),"")))</f>
        <v/>
      </c>
    </row>
    <row r="247">
      <c r="F247" s="5">
        <f>IFERROR(INDEX('Company MOA setup'!$B$3:$B$500,MATCH($A247,'Company MOA setup'!$A$3:$A$500,0)),"Division default")</f>
        <v/>
      </c>
      <c r="L247" s="5">
        <f>IF($E247="","",TRIM(IFERROR(INDEX(Divisions!$C$3:$C$50,MATCH($E247,Divisions!$A$3:$A$50,0)),"")&amp;IF(IFERROR(INDEX(Divisions!$E$3:$E$50,MATCH($E247,Divisions!$A$3:$A$50,0)),"")&lt;&gt;"",", "&amp;IFERROR(INDEX(Divisions!$E$3:$E$50,MATCH($E247,Divisions!$A$3:$A$50,0)),""),"")&amp;IF(IFERROR(INDEX(Divisions!$G$3:$G$50,MATCH($E247,Divisions!$A$3:$A$50,0)),"")&lt;&gt;"",", "&amp;IFERROR(INDEX(Divisions!$G$3:$G$50,MATCH($E247,Divisions!$A$3:$A$50,0)),""),"")&amp;IF(IFERROR(INDEX(Divisions!$I$3:$I$50,MATCH($E247,Divisions!$A$3:$A$50,0)),"")&lt;&gt;"",", "&amp;IFERROR(INDEX(Divisions!$I$3:$I$50,MATCH($E247,Divisions!$A$3:$A$50,0)),""),"")))</f>
        <v/>
      </c>
    </row>
    <row r="248">
      <c r="F248" s="5">
        <f>IFERROR(INDEX('Company MOA setup'!$B$3:$B$500,MATCH($A248,'Company MOA setup'!$A$3:$A$500,0)),"Division default")</f>
        <v/>
      </c>
      <c r="L248" s="5">
        <f>IF($E248="","",TRIM(IFERROR(INDEX(Divisions!$C$3:$C$50,MATCH($E248,Divisions!$A$3:$A$50,0)),"")&amp;IF(IFERROR(INDEX(Divisions!$E$3:$E$50,MATCH($E248,Divisions!$A$3:$A$50,0)),"")&lt;&gt;"",", "&amp;IFERROR(INDEX(Divisions!$E$3:$E$50,MATCH($E248,Divisions!$A$3:$A$50,0)),""),"")&amp;IF(IFERROR(INDEX(Divisions!$G$3:$G$50,MATCH($E248,Divisions!$A$3:$A$50,0)),"")&lt;&gt;"",", "&amp;IFERROR(INDEX(Divisions!$G$3:$G$50,MATCH($E248,Divisions!$A$3:$A$50,0)),""),"")&amp;IF(IFERROR(INDEX(Divisions!$I$3:$I$50,MATCH($E248,Divisions!$A$3:$A$50,0)),"")&lt;&gt;"",", "&amp;IFERROR(INDEX(Divisions!$I$3:$I$50,MATCH($E248,Divisions!$A$3:$A$50,0)),""),"")))</f>
        <v/>
      </c>
    </row>
    <row r="249">
      <c r="F249" s="5">
        <f>IFERROR(INDEX('Company MOA setup'!$B$3:$B$500,MATCH($A249,'Company MOA setup'!$A$3:$A$500,0)),"Division default")</f>
        <v/>
      </c>
      <c r="L249" s="5">
        <f>IF($E249="","",TRIM(IFERROR(INDEX(Divisions!$C$3:$C$50,MATCH($E249,Divisions!$A$3:$A$50,0)),"")&amp;IF(IFERROR(INDEX(Divisions!$E$3:$E$50,MATCH($E249,Divisions!$A$3:$A$50,0)),"")&lt;&gt;"",", "&amp;IFERROR(INDEX(Divisions!$E$3:$E$50,MATCH($E249,Divisions!$A$3:$A$50,0)),""),"")&amp;IF(IFERROR(INDEX(Divisions!$G$3:$G$50,MATCH($E249,Divisions!$A$3:$A$50,0)),"")&lt;&gt;"",", "&amp;IFERROR(INDEX(Divisions!$G$3:$G$50,MATCH($E249,Divisions!$A$3:$A$50,0)),""),"")&amp;IF(IFERROR(INDEX(Divisions!$I$3:$I$50,MATCH($E249,Divisions!$A$3:$A$50,0)),"")&lt;&gt;"",", "&amp;IFERROR(INDEX(Divisions!$I$3:$I$50,MATCH($E249,Divisions!$A$3:$A$50,0)),""),"")))</f>
        <v/>
      </c>
    </row>
    <row r="250">
      <c r="F250" s="5">
        <f>IFERROR(INDEX('Company MOA setup'!$B$3:$B$500,MATCH($A250,'Company MOA setup'!$A$3:$A$500,0)),"Division default")</f>
        <v/>
      </c>
      <c r="L250" s="5">
        <f>IF($E250="","",TRIM(IFERROR(INDEX(Divisions!$C$3:$C$50,MATCH($E250,Divisions!$A$3:$A$50,0)),"")&amp;IF(IFERROR(INDEX(Divisions!$E$3:$E$50,MATCH($E250,Divisions!$A$3:$A$50,0)),"")&lt;&gt;"",", "&amp;IFERROR(INDEX(Divisions!$E$3:$E$50,MATCH($E250,Divisions!$A$3:$A$50,0)),""),"")&amp;IF(IFERROR(INDEX(Divisions!$G$3:$G$50,MATCH($E250,Divisions!$A$3:$A$50,0)),"")&lt;&gt;"",", "&amp;IFERROR(INDEX(Divisions!$G$3:$G$50,MATCH($E250,Divisions!$A$3:$A$50,0)),""),"")&amp;IF(IFERROR(INDEX(Divisions!$I$3:$I$50,MATCH($E250,Divisions!$A$3:$A$50,0)),"")&lt;&gt;"",", "&amp;IFERROR(INDEX(Divisions!$I$3:$I$50,MATCH($E250,Divisions!$A$3:$A$50,0)),""),"")))</f>
        <v/>
      </c>
    </row>
    <row r="251">
      <c r="F251" s="5">
        <f>IFERROR(INDEX('Company MOA setup'!$B$3:$B$500,MATCH($A251,'Company MOA setup'!$A$3:$A$500,0)),"Division default")</f>
        <v/>
      </c>
      <c r="L251" s="5">
        <f>IF($E251="","",TRIM(IFERROR(INDEX(Divisions!$C$3:$C$50,MATCH($E251,Divisions!$A$3:$A$50,0)),"")&amp;IF(IFERROR(INDEX(Divisions!$E$3:$E$50,MATCH($E251,Divisions!$A$3:$A$50,0)),"")&lt;&gt;"",", "&amp;IFERROR(INDEX(Divisions!$E$3:$E$50,MATCH($E251,Divisions!$A$3:$A$50,0)),""),"")&amp;IF(IFERROR(INDEX(Divisions!$G$3:$G$50,MATCH($E251,Divisions!$A$3:$A$50,0)),"")&lt;&gt;"",", "&amp;IFERROR(INDEX(Divisions!$G$3:$G$50,MATCH($E251,Divisions!$A$3:$A$50,0)),""),"")&amp;IF(IFERROR(INDEX(Divisions!$I$3:$I$50,MATCH($E251,Divisions!$A$3:$A$50,0)),"")&lt;&gt;"",", "&amp;IFERROR(INDEX(Divisions!$I$3:$I$50,MATCH($E251,Divisions!$A$3:$A$50,0)),""),"")))</f>
        <v/>
      </c>
    </row>
    <row r="252">
      <c r="F252" s="5">
        <f>IFERROR(INDEX('Company MOA setup'!$B$3:$B$500,MATCH($A252,'Company MOA setup'!$A$3:$A$500,0)),"Division default")</f>
        <v/>
      </c>
      <c r="L252" s="5">
        <f>IF($E252="","",TRIM(IFERROR(INDEX(Divisions!$C$3:$C$50,MATCH($E252,Divisions!$A$3:$A$50,0)),"")&amp;IF(IFERROR(INDEX(Divisions!$E$3:$E$50,MATCH($E252,Divisions!$A$3:$A$50,0)),"")&lt;&gt;"",", "&amp;IFERROR(INDEX(Divisions!$E$3:$E$50,MATCH($E252,Divisions!$A$3:$A$50,0)),""),"")&amp;IF(IFERROR(INDEX(Divisions!$G$3:$G$50,MATCH($E252,Divisions!$A$3:$A$50,0)),"")&lt;&gt;"",", "&amp;IFERROR(INDEX(Divisions!$G$3:$G$50,MATCH($E252,Divisions!$A$3:$A$50,0)),""),"")&amp;IF(IFERROR(INDEX(Divisions!$I$3:$I$50,MATCH($E252,Divisions!$A$3:$A$50,0)),"")&lt;&gt;"",", "&amp;IFERROR(INDEX(Divisions!$I$3:$I$50,MATCH($E252,Divisions!$A$3:$A$50,0)),""),"")))</f>
        <v/>
      </c>
    </row>
    <row r="253">
      <c r="F253" s="5">
        <f>IFERROR(INDEX('Company MOA setup'!$B$3:$B$500,MATCH($A253,'Company MOA setup'!$A$3:$A$500,0)),"Division default")</f>
        <v/>
      </c>
      <c r="L253" s="5">
        <f>IF($E253="","",TRIM(IFERROR(INDEX(Divisions!$C$3:$C$50,MATCH($E253,Divisions!$A$3:$A$50,0)),"")&amp;IF(IFERROR(INDEX(Divisions!$E$3:$E$50,MATCH($E253,Divisions!$A$3:$A$50,0)),"")&lt;&gt;"",", "&amp;IFERROR(INDEX(Divisions!$E$3:$E$50,MATCH($E253,Divisions!$A$3:$A$50,0)),""),"")&amp;IF(IFERROR(INDEX(Divisions!$G$3:$G$50,MATCH($E253,Divisions!$A$3:$A$50,0)),"")&lt;&gt;"",", "&amp;IFERROR(INDEX(Divisions!$G$3:$G$50,MATCH($E253,Divisions!$A$3:$A$50,0)),""),"")&amp;IF(IFERROR(INDEX(Divisions!$I$3:$I$50,MATCH($E253,Divisions!$A$3:$A$50,0)),"")&lt;&gt;"",", "&amp;IFERROR(INDEX(Divisions!$I$3:$I$50,MATCH($E253,Divisions!$A$3:$A$50,0)),""),"")))</f>
        <v/>
      </c>
    </row>
    <row r="254">
      <c r="F254" s="5">
        <f>IFERROR(INDEX('Company MOA setup'!$B$3:$B$500,MATCH($A254,'Company MOA setup'!$A$3:$A$500,0)),"Division default")</f>
        <v/>
      </c>
      <c r="L254" s="5">
        <f>IF($E254="","",TRIM(IFERROR(INDEX(Divisions!$C$3:$C$50,MATCH($E254,Divisions!$A$3:$A$50,0)),"")&amp;IF(IFERROR(INDEX(Divisions!$E$3:$E$50,MATCH($E254,Divisions!$A$3:$A$50,0)),"")&lt;&gt;"",", "&amp;IFERROR(INDEX(Divisions!$E$3:$E$50,MATCH($E254,Divisions!$A$3:$A$50,0)),""),"")&amp;IF(IFERROR(INDEX(Divisions!$G$3:$G$50,MATCH($E254,Divisions!$A$3:$A$50,0)),"")&lt;&gt;"",", "&amp;IFERROR(INDEX(Divisions!$G$3:$G$50,MATCH($E254,Divisions!$A$3:$A$50,0)),""),"")&amp;IF(IFERROR(INDEX(Divisions!$I$3:$I$50,MATCH($E254,Divisions!$A$3:$A$50,0)),"")&lt;&gt;"",", "&amp;IFERROR(INDEX(Divisions!$I$3:$I$50,MATCH($E254,Divisions!$A$3:$A$50,0)),""),"")))</f>
        <v/>
      </c>
    </row>
    <row r="255">
      <c r="F255" s="5">
        <f>IFERROR(INDEX('Company MOA setup'!$B$3:$B$500,MATCH($A255,'Company MOA setup'!$A$3:$A$500,0)),"Division default")</f>
        <v/>
      </c>
      <c r="L255" s="5">
        <f>IF($E255="","",TRIM(IFERROR(INDEX(Divisions!$C$3:$C$50,MATCH($E255,Divisions!$A$3:$A$50,0)),"")&amp;IF(IFERROR(INDEX(Divisions!$E$3:$E$50,MATCH($E255,Divisions!$A$3:$A$50,0)),"")&lt;&gt;"",", "&amp;IFERROR(INDEX(Divisions!$E$3:$E$50,MATCH($E255,Divisions!$A$3:$A$50,0)),""),"")&amp;IF(IFERROR(INDEX(Divisions!$G$3:$G$50,MATCH($E255,Divisions!$A$3:$A$50,0)),"")&lt;&gt;"",", "&amp;IFERROR(INDEX(Divisions!$G$3:$G$50,MATCH($E255,Divisions!$A$3:$A$50,0)),""),"")&amp;IF(IFERROR(INDEX(Divisions!$I$3:$I$50,MATCH($E255,Divisions!$A$3:$A$50,0)),"")&lt;&gt;"",", "&amp;IFERROR(INDEX(Divisions!$I$3:$I$50,MATCH($E255,Divisions!$A$3:$A$50,0)),""),"")))</f>
        <v/>
      </c>
    </row>
    <row r="256">
      <c r="F256" s="5">
        <f>IFERROR(INDEX('Company MOA setup'!$B$3:$B$500,MATCH($A256,'Company MOA setup'!$A$3:$A$500,0)),"Division default")</f>
        <v/>
      </c>
      <c r="L256" s="5">
        <f>IF($E256="","",TRIM(IFERROR(INDEX(Divisions!$C$3:$C$50,MATCH($E256,Divisions!$A$3:$A$50,0)),"")&amp;IF(IFERROR(INDEX(Divisions!$E$3:$E$50,MATCH($E256,Divisions!$A$3:$A$50,0)),"")&lt;&gt;"",", "&amp;IFERROR(INDEX(Divisions!$E$3:$E$50,MATCH($E256,Divisions!$A$3:$A$50,0)),""),"")&amp;IF(IFERROR(INDEX(Divisions!$G$3:$G$50,MATCH($E256,Divisions!$A$3:$A$50,0)),"")&lt;&gt;"",", "&amp;IFERROR(INDEX(Divisions!$G$3:$G$50,MATCH($E256,Divisions!$A$3:$A$50,0)),""),"")&amp;IF(IFERROR(INDEX(Divisions!$I$3:$I$50,MATCH($E256,Divisions!$A$3:$A$50,0)),"")&lt;&gt;"",", "&amp;IFERROR(INDEX(Divisions!$I$3:$I$50,MATCH($E256,Divisions!$A$3:$A$50,0)),""),"")))</f>
        <v/>
      </c>
    </row>
    <row r="257">
      <c r="F257" s="5">
        <f>IFERROR(INDEX('Company MOA setup'!$B$3:$B$500,MATCH($A257,'Company MOA setup'!$A$3:$A$500,0)),"Division default")</f>
        <v/>
      </c>
      <c r="L257" s="5">
        <f>IF($E257="","",TRIM(IFERROR(INDEX(Divisions!$C$3:$C$50,MATCH($E257,Divisions!$A$3:$A$50,0)),"")&amp;IF(IFERROR(INDEX(Divisions!$E$3:$E$50,MATCH($E257,Divisions!$A$3:$A$50,0)),"")&lt;&gt;"",", "&amp;IFERROR(INDEX(Divisions!$E$3:$E$50,MATCH($E257,Divisions!$A$3:$A$50,0)),""),"")&amp;IF(IFERROR(INDEX(Divisions!$G$3:$G$50,MATCH($E257,Divisions!$A$3:$A$50,0)),"")&lt;&gt;"",", "&amp;IFERROR(INDEX(Divisions!$G$3:$G$50,MATCH($E257,Divisions!$A$3:$A$50,0)),""),"")&amp;IF(IFERROR(INDEX(Divisions!$I$3:$I$50,MATCH($E257,Divisions!$A$3:$A$50,0)),"")&lt;&gt;"",", "&amp;IFERROR(INDEX(Divisions!$I$3:$I$50,MATCH($E257,Divisions!$A$3:$A$50,0)),""),"")))</f>
        <v/>
      </c>
    </row>
    <row r="258">
      <c r="F258" s="5">
        <f>IFERROR(INDEX('Company MOA setup'!$B$3:$B$500,MATCH($A258,'Company MOA setup'!$A$3:$A$500,0)),"Division default")</f>
        <v/>
      </c>
      <c r="L258" s="5">
        <f>IF($E258="","",TRIM(IFERROR(INDEX(Divisions!$C$3:$C$50,MATCH($E258,Divisions!$A$3:$A$50,0)),"")&amp;IF(IFERROR(INDEX(Divisions!$E$3:$E$50,MATCH($E258,Divisions!$A$3:$A$50,0)),"")&lt;&gt;"",", "&amp;IFERROR(INDEX(Divisions!$E$3:$E$50,MATCH($E258,Divisions!$A$3:$A$50,0)),""),"")&amp;IF(IFERROR(INDEX(Divisions!$G$3:$G$50,MATCH($E258,Divisions!$A$3:$A$50,0)),"")&lt;&gt;"",", "&amp;IFERROR(INDEX(Divisions!$G$3:$G$50,MATCH($E258,Divisions!$A$3:$A$50,0)),""),"")&amp;IF(IFERROR(INDEX(Divisions!$I$3:$I$50,MATCH($E258,Divisions!$A$3:$A$50,0)),"")&lt;&gt;"",", "&amp;IFERROR(INDEX(Divisions!$I$3:$I$50,MATCH($E258,Divisions!$A$3:$A$50,0)),""),"")))</f>
        <v/>
      </c>
    </row>
    <row r="259">
      <c r="F259" s="5">
        <f>IFERROR(INDEX('Company MOA setup'!$B$3:$B$500,MATCH($A259,'Company MOA setup'!$A$3:$A$500,0)),"Division default")</f>
        <v/>
      </c>
      <c r="L259" s="5">
        <f>IF($E259="","",TRIM(IFERROR(INDEX(Divisions!$C$3:$C$50,MATCH($E259,Divisions!$A$3:$A$50,0)),"")&amp;IF(IFERROR(INDEX(Divisions!$E$3:$E$50,MATCH($E259,Divisions!$A$3:$A$50,0)),"")&lt;&gt;"",", "&amp;IFERROR(INDEX(Divisions!$E$3:$E$50,MATCH($E259,Divisions!$A$3:$A$50,0)),""),"")&amp;IF(IFERROR(INDEX(Divisions!$G$3:$G$50,MATCH($E259,Divisions!$A$3:$A$50,0)),"")&lt;&gt;"",", "&amp;IFERROR(INDEX(Divisions!$G$3:$G$50,MATCH($E259,Divisions!$A$3:$A$50,0)),""),"")&amp;IF(IFERROR(INDEX(Divisions!$I$3:$I$50,MATCH($E259,Divisions!$A$3:$A$50,0)),"")&lt;&gt;"",", "&amp;IFERROR(INDEX(Divisions!$I$3:$I$50,MATCH($E259,Divisions!$A$3:$A$50,0)),""),"")))</f>
        <v/>
      </c>
    </row>
    <row r="260">
      <c r="F260" s="5">
        <f>IFERROR(INDEX('Company MOA setup'!$B$3:$B$500,MATCH($A260,'Company MOA setup'!$A$3:$A$500,0)),"Division default")</f>
        <v/>
      </c>
      <c r="L260" s="5">
        <f>IF($E260="","",TRIM(IFERROR(INDEX(Divisions!$C$3:$C$50,MATCH($E260,Divisions!$A$3:$A$50,0)),"")&amp;IF(IFERROR(INDEX(Divisions!$E$3:$E$50,MATCH($E260,Divisions!$A$3:$A$50,0)),"")&lt;&gt;"",", "&amp;IFERROR(INDEX(Divisions!$E$3:$E$50,MATCH($E260,Divisions!$A$3:$A$50,0)),""),"")&amp;IF(IFERROR(INDEX(Divisions!$G$3:$G$50,MATCH($E260,Divisions!$A$3:$A$50,0)),"")&lt;&gt;"",", "&amp;IFERROR(INDEX(Divisions!$G$3:$G$50,MATCH($E260,Divisions!$A$3:$A$50,0)),""),"")&amp;IF(IFERROR(INDEX(Divisions!$I$3:$I$50,MATCH($E260,Divisions!$A$3:$A$50,0)),"")&lt;&gt;"",", "&amp;IFERROR(INDEX(Divisions!$I$3:$I$50,MATCH($E260,Divisions!$A$3:$A$50,0)),""),"")))</f>
        <v/>
      </c>
    </row>
    <row r="261">
      <c r="F261" s="5">
        <f>IFERROR(INDEX('Company MOA setup'!$B$3:$B$500,MATCH($A261,'Company MOA setup'!$A$3:$A$500,0)),"Division default")</f>
        <v/>
      </c>
      <c r="L261" s="5">
        <f>IF($E261="","",TRIM(IFERROR(INDEX(Divisions!$C$3:$C$50,MATCH($E261,Divisions!$A$3:$A$50,0)),"")&amp;IF(IFERROR(INDEX(Divisions!$E$3:$E$50,MATCH($E261,Divisions!$A$3:$A$50,0)),"")&lt;&gt;"",", "&amp;IFERROR(INDEX(Divisions!$E$3:$E$50,MATCH($E261,Divisions!$A$3:$A$50,0)),""),"")&amp;IF(IFERROR(INDEX(Divisions!$G$3:$G$50,MATCH($E261,Divisions!$A$3:$A$50,0)),"")&lt;&gt;"",", "&amp;IFERROR(INDEX(Divisions!$G$3:$G$50,MATCH($E261,Divisions!$A$3:$A$50,0)),""),"")&amp;IF(IFERROR(INDEX(Divisions!$I$3:$I$50,MATCH($E261,Divisions!$A$3:$A$50,0)),"")&lt;&gt;"",", "&amp;IFERROR(INDEX(Divisions!$I$3:$I$50,MATCH($E261,Divisions!$A$3:$A$50,0)),""),"")))</f>
        <v/>
      </c>
    </row>
    <row r="262">
      <c r="F262" s="5">
        <f>IFERROR(INDEX('Company MOA setup'!$B$3:$B$500,MATCH($A262,'Company MOA setup'!$A$3:$A$500,0)),"Division default")</f>
        <v/>
      </c>
      <c r="L262" s="5">
        <f>IF($E262="","",TRIM(IFERROR(INDEX(Divisions!$C$3:$C$50,MATCH($E262,Divisions!$A$3:$A$50,0)),"")&amp;IF(IFERROR(INDEX(Divisions!$E$3:$E$50,MATCH($E262,Divisions!$A$3:$A$50,0)),"")&lt;&gt;"",", "&amp;IFERROR(INDEX(Divisions!$E$3:$E$50,MATCH($E262,Divisions!$A$3:$A$50,0)),""),"")&amp;IF(IFERROR(INDEX(Divisions!$G$3:$G$50,MATCH($E262,Divisions!$A$3:$A$50,0)),"")&lt;&gt;"",", "&amp;IFERROR(INDEX(Divisions!$G$3:$G$50,MATCH($E262,Divisions!$A$3:$A$50,0)),""),"")&amp;IF(IFERROR(INDEX(Divisions!$I$3:$I$50,MATCH($E262,Divisions!$A$3:$A$50,0)),"")&lt;&gt;"",", "&amp;IFERROR(INDEX(Divisions!$I$3:$I$50,MATCH($E262,Divisions!$A$3:$A$50,0)),""),"")))</f>
        <v/>
      </c>
    </row>
    <row r="263">
      <c r="F263" s="5">
        <f>IFERROR(INDEX('Company MOA setup'!$B$3:$B$500,MATCH($A263,'Company MOA setup'!$A$3:$A$500,0)),"Division default")</f>
        <v/>
      </c>
      <c r="L263" s="5">
        <f>IF($E263="","",TRIM(IFERROR(INDEX(Divisions!$C$3:$C$50,MATCH($E263,Divisions!$A$3:$A$50,0)),"")&amp;IF(IFERROR(INDEX(Divisions!$E$3:$E$50,MATCH($E263,Divisions!$A$3:$A$50,0)),"")&lt;&gt;"",", "&amp;IFERROR(INDEX(Divisions!$E$3:$E$50,MATCH($E263,Divisions!$A$3:$A$50,0)),""),"")&amp;IF(IFERROR(INDEX(Divisions!$G$3:$G$50,MATCH($E263,Divisions!$A$3:$A$50,0)),"")&lt;&gt;"",", "&amp;IFERROR(INDEX(Divisions!$G$3:$G$50,MATCH($E263,Divisions!$A$3:$A$50,0)),""),"")&amp;IF(IFERROR(INDEX(Divisions!$I$3:$I$50,MATCH($E263,Divisions!$A$3:$A$50,0)),"")&lt;&gt;"",", "&amp;IFERROR(INDEX(Divisions!$I$3:$I$50,MATCH($E263,Divisions!$A$3:$A$50,0)),""),"")))</f>
        <v/>
      </c>
    </row>
    <row r="264">
      <c r="F264" s="5">
        <f>IFERROR(INDEX('Company MOA setup'!$B$3:$B$500,MATCH($A264,'Company MOA setup'!$A$3:$A$500,0)),"Division default")</f>
        <v/>
      </c>
      <c r="L264" s="5">
        <f>IF($E264="","",TRIM(IFERROR(INDEX(Divisions!$C$3:$C$50,MATCH($E264,Divisions!$A$3:$A$50,0)),"")&amp;IF(IFERROR(INDEX(Divisions!$E$3:$E$50,MATCH($E264,Divisions!$A$3:$A$50,0)),"")&lt;&gt;"",", "&amp;IFERROR(INDEX(Divisions!$E$3:$E$50,MATCH($E264,Divisions!$A$3:$A$50,0)),""),"")&amp;IF(IFERROR(INDEX(Divisions!$G$3:$G$50,MATCH($E264,Divisions!$A$3:$A$50,0)),"")&lt;&gt;"",", "&amp;IFERROR(INDEX(Divisions!$G$3:$G$50,MATCH($E264,Divisions!$A$3:$A$50,0)),""),"")&amp;IF(IFERROR(INDEX(Divisions!$I$3:$I$50,MATCH($E264,Divisions!$A$3:$A$50,0)),"")&lt;&gt;"",", "&amp;IFERROR(INDEX(Divisions!$I$3:$I$50,MATCH($E264,Divisions!$A$3:$A$50,0)),""),"")))</f>
        <v/>
      </c>
    </row>
    <row r="265">
      <c r="F265" s="5">
        <f>IFERROR(INDEX('Company MOA setup'!$B$3:$B$500,MATCH($A265,'Company MOA setup'!$A$3:$A$500,0)),"Division default")</f>
        <v/>
      </c>
      <c r="L265" s="5">
        <f>IF($E265="","",TRIM(IFERROR(INDEX(Divisions!$C$3:$C$50,MATCH($E265,Divisions!$A$3:$A$50,0)),"")&amp;IF(IFERROR(INDEX(Divisions!$E$3:$E$50,MATCH($E265,Divisions!$A$3:$A$50,0)),"")&lt;&gt;"",", "&amp;IFERROR(INDEX(Divisions!$E$3:$E$50,MATCH($E265,Divisions!$A$3:$A$50,0)),""),"")&amp;IF(IFERROR(INDEX(Divisions!$G$3:$G$50,MATCH($E265,Divisions!$A$3:$A$50,0)),"")&lt;&gt;"",", "&amp;IFERROR(INDEX(Divisions!$G$3:$G$50,MATCH($E265,Divisions!$A$3:$A$50,0)),""),"")&amp;IF(IFERROR(INDEX(Divisions!$I$3:$I$50,MATCH($E265,Divisions!$A$3:$A$50,0)),"")&lt;&gt;"",", "&amp;IFERROR(INDEX(Divisions!$I$3:$I$50,MATCH($E265,Divisions!$A$3:$A$50,0)),""),"")))</f>
        <v/>
      </c>
    </row>
    <row r="266">
      <c r="F266" s="5">
        <f>IFERROR(INDEX('Company MOA setup'!$B$3:$B$500,MATCH($A266,'Company MOA setup'!$A$3:$A$500,0)),"Division default")</f>
        <v/>
      </c>
      <c r="L266" s="5">
        <f>IF($E266="","",TRIM(IFERROR(INDEX(Divisions!$C$3:$C$50,MATCH($E266,Divisions!$A$3:$A$50,0)),"")&amp;IF(IFERROR(INDEX(Divisions!$E$3:$E$50,MATCH($E266,Divisions!$A$3:$A$50,0)),"")&lt;&gt;"",", "&amp;IFERROR(INDEX(Divisions!$E$3:$E$50,MATCH($E266,Divisions!$A$3:$A$50,0)),""),"")&amp;IF(IFERROR(INDEX(Divisions!$G$3:$G$50,MATCH($E266,Divisions!$A$3:$A$50,0)),"")&lt;&gt;"",", "&amp;IFERROR(INDEX(Divisions!$G$3:$G$50,MATCH($E266,Divisions!$A$3:$A$50,0)),""),"")&amp;IF(IFERROR(INDEX(Divisions!$I$3:$I$50,MATCH($E266,Divisions!$A$3:$A$50,0)),"")&lt;&gt;"",", "&amp;IFERROR(INDEX(Divisions!$I$3:$I$50,MATCH($E266,Divisions!$A$3:$A$50,0)),""),"")))</f>
        <v/>
      </c>
    </row>
    <row r="267">
      <c r="F267" s="5">
        <f>IFERROR(INDEX('Company MOA setup'!$B$3:$B$500,MATCH($A267,'Company MOA setup'!$A$3:$A$500,0)),"Division default")</f>
        <v/>
      </c>
      <c r="L267" s="5">
        <f>IF($E267="","",TRIM(IFERROR(INDEX(Divisions!$C$3:$C$50,MATCH($E267,Divisions!$A$3:$A$50,0)),"")&amp;IF(IFERROR(INDEX(Divisions!$E$3:$E$50,MATCH($E267,Divisions!$A$3:$A$50,0)),"")&lt;&gt;"",", "&amp;IFERROR(INDEX(Divisions!$E$3:$E$50,MATCH($E267,Divisions!$A$3:$A$50,0)),""),"")&amp;IF(IFERROR(INDEX(Divisions!$G$3:$G$50,MATCH($E267,Divisions!$A$3:$A$50,0)),"")&lt;&gt;"",", "&amp;IFERROR(INDEX(Divisions!$G$3:$G$50,MATCH($E267,Divisions!$A$3:$A$50,0)),""),"")&amp;IF(IFERROR(INDEX(Divisions!$I$3:$I$50,MATCH($E267,Divisions!$A$3:$A$50,0)),"")&lt;&gt;"",", "&amp;IFERROR(INDEX(Divisions!$I$3:$I$50,MATCH($E267,Divisions!$A$3:$A$50,0)),""),"")))</f>
        <v/>
      </c>
    </row>
    <row r="268">
      <c r="F268" s="5">
        <f>IFERROR(INDEX('Company MOA setup'!$B$3:$B$500,MATCH($A268,'Company MOA setup'!$A$3:$A$500,0)),"Division default")</f>
        <v/>
      </c>
      <c r="L268" s="5">
        <f>IF($E268="","",TRIM(IFERROR(INDEX(Divisions!$C$3:$C$50,MATCH($E268,Divisions!$A$3:$A$50,0)),"")&amp;IF(IFERROR(INDEX(Divisions!$E$3:$E$50,MATCH($E268,Divisions!$A$3:$A$50,0)),"")&lt;&gt;"",", "&amp;IFERROR(INDEX(Divisions!$E$3:$E$50,MATCH($E268,Divisions!$A$3:$A$50,0)),""),"")&amp;IF(IFERROR(INDEX(Divisions!$G$3:$G$50,MATCH($E268,Divisions!$A$3:$A$50,0)),"")&lt;&gt;"",", "&amp;IFERROR(INDEX(Divisions!$G$3:$G$50,MATCH($E268,Divisions!$A$3:$A$50,0)),""),"")&amp;IF(IFERROR(INDEX(Divisions!$I$3:$I$50,MATCH($E268,Divisions!$A$3:$A$50,0)),"")&lt;&gt;"",", "&amp;IFERROR(INDEX(Divisions!$I$3:$I$50,MATCH($E268,Divisions!$A$3:$A$50,0)),""),"")))</f>
        <v/>
      </c>
    </row>
    <row r="269">
      <c r="F269" s="5">
        <f>IFERROR(INDEX('Company MOA setup'!$B$3:$B$500,MATCH($A269,'Company MOA setup'!$A$3:$A$500,0)),"Division default")</f>
        <v/>
      </c>
      <c r="L269" s="5">
        <f>IF($E269="","",TRIM(IFERROR(INDEX(Divisions!$C$3:$C$50,MATCH($E269,Divisions!$A$3:$A$50,0)),"")&amp;IF(IFERROR(INDEX(Divisions!$E$3:$E$50,MATCH($E269,Divisions!$A$3:$A$50,0)),"")&lt;&gt;"",", "&amp;IFERROR(INDEX(Divisions!$E$3:$E$50,MATCH($E269,Divisions!$A$3:$A$50,0)),""),"")&amp;IF(IFERROR(INDEX(Divisions!$G$3:$G$50,MATCH($E269,Divisions!$A$3:$A$50,0)),"")&lt;&gt;"",", "&amp;IFERROR(INDEX(Divisions!$G$3:$G$50,MATCH($E269,Divisions!$A$3:$A$50,0)),""),"")&amp;IF(IFERROR(INDEX(Divisions!$I$3:$I$50,MATCH($E269,Divisions!$A$3:$A$50,0)),"")&lt;&gt;"",", "&amp;IFERROR(INDEX(Divisions!$I$3:$I$50,MATCH($E269,Divisions!$A$3:$A$50,0)),""),"")))</f>
        <v/>
      </c>
    </row>
    <row r="270">
      <c r="F270" s="5">
        <f>IFERROR(INDEX('Company MOA setup'!$B$3:$B$500,MATCH($A270,'Company MOA setup'!$A$3:$A$500,0)),"Division default")</f>
        <v/>
      </c>
      <c r="L270" s="5">
        <f>IF($E270="","",TRIM(IFERROR(INDEX(Divisions!$C$3:$C$50,MATCH($E270,Divisions!$A$3:$A$50,0)),"")&amp;IF(IFERROR(INDEX(Divisions!$E$3:$E$50,MATCH($E270,Divisions!$A$3:$A$50,0)),"")&lt;&gt;"",", "&amp;IFERROR(INDEX(Divisions!$E$3:$E$50,MATCH($E270,Divisions!$A$3:$A$50,0)),""),"")&amp;IF(IFERROR(INDEX(Divisions!$G$3:$G$50,MATCH($E270,Divisions!$A$3:$A$50,0)),"")&lt;&gt;"",", "&amp;IFERROR(INDEX(Divisions!$G$3:$G$50,MATCH($E270,Divisions!$A$3:$A$50,0)),""),"")&amp;IF(IFERROR(INDEX(Divisions!$I$3:$I$50,MATCH($E270,Divisions!$A$3:$A$50,0)),"")&lt;&gt;"",", "&amp;IFERROR(INDEX(Divisions!$I$3:$I$50,MATCH($E270,Divisions!$A$3:$A$50,0)),""),"")))</f>
        <v/>
      </c>
    </row>
    <row r="271">
      <c r="F271" s="5">
        <f>IFERROR(INDEX('Company MOA setup'!$B$3:$B$500,MATCH($A271,'Company MOA setup'!$A$3:$A$500,0)),"Division default")</f>
        <v/>
      </c>
      <c r="L271" s="5">
        <f>IF($E271="","",TRIM(IFERROR(INDEX(Divisions!$C$3:$C$50,MATCH($E271,Divisions!$A$3:$A$50,0)),"")&amp;IF(IFERROR(INDEX(Divisions!$E$3:$E$50,MATCH($E271,Divisions!$A$3:$A$50,0)),"")&lt;&gt;"",", "&amp;IFERROR(INDEX(Divisions!$E$3:$E$50,MATCH($E271,Divisions!$A$3:$A$50,0)),""),"")&amp;IF(IFERROR(INDEX(Divisions!$G$3:$G$50,MATCH($E271,Divisions!$A$3:$A$50,0)),"")&lt;&gt;"",", "&amp;IFERROR(INDEX(Divisions!$G$3:$G$50,MATCH($E271,Divisions!$A$3:$A$50,0)),""),"")&amp;IF(IFERROR(INDEX(Divisions!$I$3:$I$50,MATCH($E271,Divisions!$A$3:$A$50,0)),"")&lt;&gt;"",", "&amp;IFERROR(INDEX(Divisions!$I$3:$I$50,MATCH($E271,Divisions!$A$3:$A$50,0)),""),"")))</f>
        <v/>
      </c>
    </row>
    <row r="272">
      <c r="F272" s="5">
        <f>IFERROR(INDEX('Company MOA setup'!$B$3:$B$500,MATCH($A272,'Company MOA setup'!$A$3:$A$500,0)),"Division default")</f>
        <v/>
      </c>
      <c r="L272" s="5">
        <f>IF($E272="","",TRIM(IFERROR(INDEX(Divisions!$C$3:$C$50,MATCH($E272,Divisions!$A$3:$A$50,0)),"")&amp;IF(IFERROR(INDEX(Divisions!$E$3:$E$50,MATCH($E272,Divisions!$A$3:$A$50,0)),"")&lt;&gt;"",", "&amp;IFERROR(INDEX(Divisions!$E$3:$E$50,MATCH($E272,Divisions!$A$3:$A$50,0)),""),"")&amp;IF(IFERROR(INDEX(Divisions!$G$3:$G$50,MATCH($E272,Divisions!$A$3:$A$50,0)),"")&lt;&gt;"",", "&amp;IFERROR(INDEX(Divisions!$G$3:$G$50,MATCH($E272,Divisions!$A$3:$A$50,0)),""),"")&amp;IF(IFERROR(INDEX(Divisions!$I$3:$I$50,MATCH($E272,Divisions!$A$3:$A$50,0)),"")&lt;&gt;"",", "&amp;IFERROR(INDEX(Divisions!$I$3:$I$50,MATCH($E272,Divisions!$A$3:$A$50,0)),""),"")))</f>
        <v/>
      </c>
    </row>
    <row r="273">
      <c r="F273" s="5">
        <f>IFERROR(INDEX('Company MOA setup'!$B$3:$B$500,MATCH($A273,'Company MOA setup'!$A$3:$A$500,0)),"Division default")</f>
        <v/>
      </c>
      <c r="L273" s="5">
        <f>IF($E273="","",TRIM(IFERROR(INDEX(Divisions!$C$3:$C$50,MATCH($E273,Divisions!$A$3:$A$50,0)),"")&amp;IF(IFERROR(INDEX(Divisions!$E$3:$E$50,MATCH($E273,Divisions!$A$3:$A$50,0)),"")&lt;&gt;"",", "&amp;IFERROR(INDEX(Divisions!$E$3:$E$50,MATCH($E273,Divisions!$A$3:$A$50,0)),""),"")&amp;IF(IFERROR(INDEX(Divisions!$G$3:$G$50,MATCH($E273,Divisions!$A$3:$A$50,0)),"")&lt;&gt;"",", "&amp;IFERROR(INDEX(Divisions!$G$3:$G$50,MATCH($E273,Divisions!$A$3:$A$50,0)),""),"")&amp;IF(IFERROR(INDEX(Divisions!$I$3:$I$50,MATCH($E273,Divisions!$A$3:$A$50,0)),"")&lt;&gt;"",", "&amp;IFERROR(INDEX(Divisions!$I$3:$I$50,MATCH($E273,Divisions!$A$3:$A$50,0)),""),"")))</f>
        <v/>
      </c>
    </row>
    <row r="274">
      <c r="F274" s="5">
        <f>IFERROR(INDEX('Company MOA setup'!$B$3:$B$500,MATCH($A274,'Company MOA setup'!$A$3:$A$500,0)),"Division default")</f>
        <v/>
      </c>
      <c r="L274" s="5">
        <f>IF($E274="","",TRIM(IFERROR(INDEX(Divisions!$C$3:$C$50,MATCH($E274,Divisions!$A$3:$A$50,0)),"")&amp;IF(IFERROR(INDEX(Divisions!$E$3:$E$50,MATCH($E274,Divisions!$A$3:$A$50,0)),"")&lt;&gt;"",", "&amp;IFERROR(INDEX(Divisions!$E$3:$E$50,MATCH($E274,Divisions!$A$3:$A$50,0)),""),"")&amp;IF(IFERROR(INDEX(Divisions!$G$3:$G$50,MATCH($E274,Divisions!$A$3:$A$50,0)),"")&lt;&gt;"",", "&amp;IFERROR(INDEX(Divisions!$G$3:$G$50,MATCH($E274,Divisions!$A$3:$A$50,0)),""),"")&amp;IF(IFERROR(INDEX(Divisions!$I$3:$I$50,MATCH($E274,Divisions!$A$3:$A$50,0)),"")&lt;&gt;"",", "&amp;IFERROR(INDEX(Divisions!$I$3:$I$50,MATCH($E274,Divisions!$A$3:$A$50,0)),""),"")))</f>
        <v/>
      </c>
    </row>
    <row r="275">
      <c r="F275" s="5">
        <f>IFERROR(INDEX('Company MOA setup'!$B$3:$B$500,MATCH($A275,'Company MOA setup'!$A$3:$A$500,0)),"Division default")</f>
        <v/>
      </c>
      <c r="L275" s="5">
        <f>IF($E275="","",TRIM(IFERROR(INDEX(Divisions!$C$3:$C$50,MATCH($E275,Divisions!$A$3:$A$50,0)),"")&amp;IF(IFERROR(INDEX(Divisions!$E$3:$E$50,MATCH($E275,Divisions!$A$3:$A$50,0)),"")&lt;&gt;"",", "&amp;IFERROR(INDEX(Divisions!$E$3:$E$50,MATCH($E275,Divisions!$A$3:$A$50,0)),""),"")&amp;IF(IFERROR(INDEX(Divisions!$G$3:$G$50,MATCH($E275,Divisions!$A$3:$A$50,0)),"")&lt;&gt;"",", "&amp;IFERROR(INDEX(Divisions!$G$3:$G$50,MATCH($E275,Divisions!$A$3:$A$50,0)),""),"")&amp;IF(IFERROR(INDEX(Divisions!$I$3:$I$50,MATCH($E275,Divisions!$A$3:$A$50,0)),"")&lt;&gt;"",", "&amp;IFERROR(INDEX(Divisions!$I$3:$I$50,MATCH($E275,Divisions!$A$3:$A$50,0)),""),"")))</f>
        <v/>
      </c>
    </row>
    <row r="276">
      <c r="F276" s="5">
        <f>IFERROR(INDEX('Company MOA setup'!$B$3:$B$500,MATCH($A276,'Company MOA setup'!$A$3:$A$500,0)),"Division default")</f>
        <v/>
      </c>
      <c r="L276" s="5">
        <f>IF($E276="","",TRIM(IFERROR(INDEX(Divisions!$C$3:$C$50,MATCH($E276,Divisions!$A$3:$A$50,0)),"")&amp;IF(IFERROR(INDEX(Divisions!$E$3:$E$50,MATCH($E276,Divisions!$A$3:$A$50,0)),"")&lt;&gt;"",", "&amp;IFERROR(INDEX(Divisions!$E$3:$E$50,MATCH($E276,Divisions!$A$3:$A$50,0)),""),"")&amp;IF(IFERROR(INDEX(Divisions!$G$3:$G$50,MATCH($E276,Divisions!$A$3:$A$50,0)),"")&lt;&gt;"",", "&amp;IFERROR(INDEX(Divisions!$G$3:$G$50,MATCH($E276,Divisions!$A$3:$A$50,0)),""),"")&amp;IF(IFERROR(INDEX(Divisions!$I$3:$I$50,MATCH($E276,Divisions!$A$3:$A$50,0)),"")&lt;&gt;"",", "&amp;IFERROR(INDEX(Divisions!$I$3:$I$50,MATCH($E276,Divisions!$A$3:$A$50,0)),""),"")))</f>
        <v/>
      </c>
    </row>
    <row r="277">
      <c r="F277" s="5">
        <f>IFERROR(INDEX('Company MOA setup'!$B$3:$B$500,MATCH($A277,'Company MOA setup'!$A$3:$A$500,0)),"Division default")</f>
        <v/>
      </c>
      <c r="L277" s="5">
        <f>IF($E277="","",TRIM(IFERROR(INDEX(Divisions!$C$3:$C$50,MATCH($E277,Divisions!$A$3:$A$50,0)),"")&amp;IF(IFERROR(INDEX(Divisions!$E$3:$E$50,MATCH($E277,Divisions!$A$3:$A$50,0)),"")&lt;&gt;"",", "&amp;IFERROR(INDEX(Divisions!$E$3:$E$50,MATCH($E277,Divisions!$A$3:$A$50,0)),""),"")&amp;IF(IFERROR(INDEX(Divisions!$G$3:$G$50,MATCH($E277,Divisions!$A$3:$A$50,0)),"")&lt;&gt;"",", "&amp;IFERROR(INDEX(Divisions!$G$3:$G$50,MATCH($E277,Divisions!$A$3:$A$50,0)),""),"")&amp;IF(IFERROR(INDEX(Divisions!$I$3:$I$50,MATCH($E277,Divisions!$A$3:$A$50,0)),"")&lt;&gt;"",", "&amp;IFERROR(INDEX(Divisions!$I$3:$I$50,MATCH($E277,Divisions!$A$3:$A$50,0)),""),"")))</f>
        <v/>
      </c>
    </row>
    <row r="278">
      <c r="F278" s="5">
        <f>IFERROR(INDEX('Company MOA setup'!$B$3:$B$500,MATCH($A278,'Company MOA setup'!$A$3:$A$500,0)),"Division default")</f>
        <v/>
      </c>
      <c r="L278" s="5">
        <f>IF($E278="","",TRIM(IFERROR(INDEX(Divisions!$C$3:$C$50,MATCH($E278,Divisions!$A$3:$A$50,0)),"")&amp;IF(IFERROR(INDEX(Divisions!$E$3:$E$50,MATCH($E278,Divisions!$A$3:$A$50,0)),"")&lt;&gt;"",", "&amp;IFERROR(INDEX(Divisions!$E$3:$E$50,MATCH($E278,Divisions!$A$3:$A$50,0)),""),"")&amp;IF(IFERROR(INDEX(Divisions!$G$3:$G$50,MATCH($E278,Divisions!$A$3:$A$50,0)),"")&lt;&gt;"",", "&amp;IFERROR(INDEX(Divisions!$G$3:$G$50,MATCH($E278,Divisions!$A$3:$A$50,0)),""),"")&amp;IF(IFERROR(INDEX(Divisions!$I$3:$I$50,MATCH($E278,Divisions!$A$3:$A$50,0)),"")&lt;&gt;"",", "&amp;IFERROR(INDEX(Divisions!$I$3:$I$50,MATCH($E278,Divisions!$A$3:$A$50,0)),""),"")))</f>
        <v/>
      </c>
    </row>
    <row r="279">
      <c r="F279" s="5">
        <f>IFERROR(INDEX('Company MOA setup'!$B$3:$B$500,MATCH($A279,'Company MOA setup'!$A$3:$A$500,0)),"Division default")</f>
        <v/>
      </c>
      <c r="L279" s="5">
        <f>IF($E279="","",TRIM(IFERROR(INDEX(Divisions!$C$3:$C$50,MATCH($E279,Divisions!$A$3:$A$50,0)),"")&amp;IF(IFERROR(INDEX(Divisions!$E$3:$E$50,MATCH($E279,Divisions!$A$3:$A$50,0)),"")&lt;&gt;"",", "&amp;IFERROR(INDEX(Divisions!$E$3:$E$50,MATCH($E279,Divisions!$A$3:$A$50,0)),""),"")&amp;IF(IFERROR(INDEX(Divisions!$G$3:$G$50,MATCH($E279,Divisions!$A$3:$A$50,0)),"")&lt;&gt;"",", "&amp;IFERROR(INDEX(Divisions!$G$3:$G$50,MATCH($E279,Divisions!$A$3:$A$50,0)),""),"")&amp;IF(IFERROR(INDEX(Divisions!$I$3:$I$50,MATCH($E279,Divisions!$A$3:$A$50,0)),"")&lt;&gt;"",", "&amp;IFERROR(INDEX(Divisions!$I$3:$I$50,MATCH($E279,Divisions!$A$3:$A$50,0)),""),"")))</f>
        <v/>
      </c>
    </row>
    <row r="280">
      <c r="F280" s="5">
        <f>IFERROR(INDEX('Company MOA setup'!$B$3:$B$500,MATCH($A280,'Company MOA setup'!$A$3:$A$500,0)),"Division default")</f>
        <v/>
      </c>
      <c r="L280" s="5">
        <f>IF($E280="","",TRIM(IFERROR(INDEX(Divisions!$C$3:$C$50,MATCH($E280,Divisions!$A$3:$A$50,0)),"")&amp;IF(IFERROR(INDEX(Divisions!$E$3:$E$50,MATCH($E280,Divisions!$A$3:$A$50,0)),"")&lt;&gt;"",", "&amp;IFERROR(INDEX(Divisions!$E$3:$E$50,MATCH($E280,Divisions!$A$3:$A$50,0)),""),"")&amp;IF(IFERROR(INDEX(Divisions!$G$3:$G$50,MATCH($E280,Divisions!$A$3:$A$50,0)),"")&lt;&gt;"",", "&amp;IFERROR(INDEX(Divisions!$G$3:$G$50,MATCH($E280,Divisions!$A$3:$A$50,0)),""),"")&amp;IF(IFERROR(INDEX(Divisions!$I$3:$I$50,MATCH($E280,Divisions!$A$3:$A$50,0)),"")&lt;&gt;"",", "&amp;IFERROR(INDEX(Divisions!$I$3:$I$50,MATCH($E280,Divisions!$A$3:$A$50,0)),""),"")))</f>
        <v/>
      </c>
    </row>
    <row r="281">
      <c r="F281" s="5">
        <f>IFERROR(INDEX('Company MOA setup'!$B$3:$B$500,MATCH($A281,'Company MOA setup'!$A$3:$A$500,0)),"Division default")</f>
        <v/>
      </c>
      <c r="L281" s="5">
        <f>IF($E281="","",TRIM(IFERROR(INDEX(Divisions!$C$3:$C$50,MATCH($E281,Divisions!$A$3:$A$50,0)),"")&amp;IF(IFERROR(INDEX(Divisions!$E$3:$E$50,MATCH($E281,Divisions!$A$3:$A$50,0)),"")&lt;&gt;"",", "&amp;IFERROR(INDEX(Divisions!$E$3:$E$50,MATCH($E281,Divisions!$A$3:$A$50,0)),""),"")&amp;IF(IFERROR(INDEX(Divisions!$G$3:$G$50,MATCH($E281,Divisions!$A$3:$A$50,0)),"")&lt;&gt;"",", "&amp;IFERROR(INDEX(Divisions!$G$3:$G$50,MATCH($E281,Divisions!$A$3:$A$50,0)),""),"")&amp;IF(IFERROR(INDEX(Divisions!$I$3:$I$50,MATCH($E281,Divisions!$A$3:$A$50,0)),"")&lt;&gt;"",", "&amp;IFERROR(INDEX(Divisions!$I$3:$I$50,MATCH($E281,Divisions!$A$3:$A$50,0)),""),"")))</f>
        <v/>
      </c>
    </row>
    <row r="282">
      <c r="F282" s="5">
        <f>IFERROR(INDEX('Company MOA setup'!$B$3:$B$500,MATCH($A282,'Company MOA setup'!$A$3:$A$500,0)),"Division default")</f>
        <v/>
      </c>
      <c r="L282" s="5">
        <f>IF($E282="","",TRIM(IFERROR(INDEX(Divisions!$C$3:$C$50,MATCH($E282,Divisions!$A$3:$A$50,0)),"")&amp;IF(IFERROR(INDEX(Divisions!$E$3:$E$50,MATCH($E282,Divisions!$A$3:$A$50,0)),"")&lt;&gt;"",", "&amp;IFERROR(INDEX(Divisions!$E$3:$E$50,MATCH($E282,Divisions!$A$3:$A$50,0)),""),"")&amp;IF(IFERROR(INDEX(Divisions!$G$3:$G$50,MATCH($E282,Divisions!$A$3:$A$50,0)),"")&lt;&gt;"",", "&amp;IFERROR(INDEX(Divisions!$G$3:$G$50,MATCH($E282,Divisions!$A$3:$A$50,0)),""),"")&amp;IF(IFERROR(INDEX(Divisions!$I$3:$I$50,MATCH($E282,Divisions!$A$3:$A$50,0)),"")&lt;&gt;"",", "&amp;IFERROR(INDEX(Divisions!$I$3:$I$50,MATCH($E282,Divisions!$A$3:$A$50,0)),""),"")))</f>
        <v/>
      </c>
    </row>
    <row r="283">
      <c r="F283" s="5">
        <f>IFERROR(INDEX('Company MOA setup'!$B$3:$B$500,MATCH($A283,'Company MOA setup'!$A$3:$A$500,0)),"Division default")</f>
        <v/>
      </c>
      <c r="L283" s="5">
        <f>IF($E283="","",TRIM(IFERROR(INDEX(Divisions!$C$3:$C$50,MATCH($E283,Divisions!$A$3:$A$50,0)),"")&amp;IF(IFERROR(INDEX(Divisions!$E$3:$E$50,MATCH($E283,Divisions!$A$3:$A$50,0)),"")&lt;&gt;"",", "&amp;IFERROR(INDEX(Divisions!$E$3:$E$50,MATCH($E283,Divisions!$A$3:$A$50,0)),""),"")&amp;IF(IFERROR(INDEX(Divisions!$G$3:$G$50,MATCH($E283,Divisions!$A$3:$A$50,0)),"")&lt;&gt;"",", "&amp;IFERROR(INDEX(Divisions!$G$3:$G$50,MATCH($E283,Divisions!$A$3:$A$50,0)),""),"")&amp;IF(IFERROR(INDEX(Divisions!$I$3:$I$50,MATCH($E283,Divisions!$A$3:$A$50,0)),"")&lt;&gt;"",", "&amp;IFERROR(INDEX(Divisions!$I$3:$I$50,MATCH($E283,Divisions!$A$3:$A$50,0)),""),"")))</f>
        <v/>
      </c>
    </row>
    <row r="284">
      <c r="F284" s="5">
        <f>IFERROR(INDEX('Company MOA setup'!$B$3:$B$500,MATCH($A284,'Company MOA setup'!$A$3:$A$500,0)),"Division default")</f>
        <v/>
      </c>
      <c r="L284" s="5">
        <f>IF($E284="","",TRIM(IFERROR(INDEX(Divisions!$C$3:$C$50,MATCH($E284,Divisions!$A$3:$A$50,0)),"")&amp;IF(IFERROR(INDEX(Divisions!$E$3:$E$50,MATCH($E284,Divisions!$A$3:$A$50,0)),"")&lt;&gt;"",", "&amp;IFERROR(INDEX(Divisions!$E$3:$E$50,MATCH($E284,Divisions!$A$3:$A$50,0)),""),"")&amp;IF(IFERROR(INDEX(Divisions!$G$3:$G$50,MATCH($E284,Divisions!$A$3:$A$50,0)),"")&lt;&gt;"",", "&amp;IFERROR(INDEX(Divisions!$G$3:$G$50,MATCH($E284,Divisions!$A$3:$A$50,0)),""),"")&amp;IF(IFERROR(INDEX(Divisions!$I$3:$I$50,MATCH($E284,Divisions!$A$3:$A$50,0)),"")&lt;&gt;"",", "&amp;IFERROR(INDEX(Divisions!$I$3:$I$50,MATCH($E284,Divisions!$A$3:$A$50,0)),""),"")))</f>
        <v/>
      </c>
    </row>
    <row r="285">
      <c r="F285" s="5">
        <f>IFERROR(INDEX('Company MOA setup'!$B$3:$B$500,MATCH($A285,'Company MOA setup'!$A$3:$A$500,0)),"Division default")</f>
        <v/>
      </c>
      <c r="L285" s="5">
        <f>IF($E285="","",TRIM(IFERROR(INDEX(Divisions!$C$3:$C$50,MATCH($E285,Divisions!$A$3:$A$50,0)),"")&amp;IF(IFERROR(INDEX(Divisions!$E$3:$E$50,MATCH($E285,Divisions!$A$3:$A$50,0)),"")&lt;&gt;"",", "&amp;IFERROR(INDEX(Divisions!$E$3:$E$50,MATCH($E285,Divisions!$A$3:$A$50,0)),""),"")&amp;IF(IFERROR(INDEX(Divisions!$G$3:$G$50,MATCH($E285,Divisions!$A$3:$A$50,0)),"")&lt;&gt;"",", "&amp;IFERROR(INDEX(Divisions!$G$3:$G$50,MATCH($E285,Divisions!$A$3:$A$50,0)),""),"")&amp;IF(IFERROR(INDEX(Divisions!$I$3:$I$50,MATCH($E285,Divisions!$A$3:$A$50,0)),"")&lt;&gt;"",", "&amp;IFERROR(INDEX(Divisions!$I$3:$I$50,MATCH($E285,Divisions!$A$3:$A$50,0)),""),"")))</f>
        <v/>
      </c>
    </row>
    <row r="286">
      <c r="F286" s="5">
        <f>IFERROR(INDEX('Company MOA setup'!$B$3:$B$500,MATCH($A286,'Company MOA setup'!$A$3:$A$500,0)),"Division default")</f>
        <v/>
      </c>
      <c r="L286" s="5">
        <f>IF($E286="","",TRIM(IFERROR(INDEX(Divisions!$C$3:$C$50,MATCH($E286,Divisions!$A$3:$A$50,0)),"")&amp;IF(IFERROR(INDEX(Divisions!$E$3:$E$50,MATCH($E286,Divisions!$A$3:$A$50,0)),"")&lt;&gt;"",", "&amp;IFERROR(INDEX(Divisions!$E$3:$E$50,MATCH($E286,Divisions!$A$3:$A$50,0)),""),"")&amp;IF(IFERROR(INDEX(Divisions!$G$3:$G$50,MATCH($E286,Divisions!$A$3:$A$50,0)),"")&lt;&gt;"",", "&amp;IFERROR(INDEX(Divisions!$G$3:$G$50,MATCH($E286,Divisions!$A$3:$A$50,0)),""),"")&amp;IF(IFERROR(INDEX(Divisions!$I$3:$I$50,MATCH($E286,Divisions!$A$3:$A$50,0)),"")&lt;&gt;"",", "&amp;IFERROR(INDEX(Divisions!$I$3:$I$50,MATCH($E286,Divisions!$A$3:$A$50,0)),""),"")))</f>
        <v/>
      </c>
    </row>
    <row r="287">
      <c r="F287" s="5">
        <f>IFERROR(INDEX('Company MOA setup'!$B$3:$B$500,MATCH($A287,'Company MOA setup'!$A$3:$A$500,0)),"Division default")</f>
        <v/>
      </c>
      <c r="L287" s="5">
        <f>IF($E287="","",TRIM(IFERROR(INDEX(Divisions!$C$3:$C$50,MATCH($E287,Divisions!$A$3:$A$50,0)),"")&amp;IF(IFERROR(INDEX(Divisions!$E$3:$E$50,MATCH($E287,Divisions!$A$3:$A$50,0)),"")&lt;&gt;"",", "&amp;IFERROR(INDEX(Divisions!$E$3:$E$50,MATCH($E287,Divisions!$A$3:$A$50,0)),""),"")&amp;IF(IFERROR(INDEX(Divisions!$G$3:$G$50,MATCH($E287,Divisions!$A$3:$A$50,0)),"")&lt;&gt;"",", "&amp;IFERROR(INDEX(Divisions!$G$3:$G$50,MATCH($E287,Divisions!$A$3:$A$50,0)),""),"")&amp;IF(IFERROR(INDEX(Divisions!$I$3:$I$50,MATCH($E287,Divisions!$A$3:$A$50,0)),"")&lt;&gt;"",", "&amp;IFERROR(INDEX(Divisions!$I$3:$I$50,MATCH($E287,Divisions!$A$3:$A$50,0)),""),"")))</f>
        <v/>
      </c>
    </row>
    <row r="288">
      <c r="F288" s="5">
        <f>IFERROR(INDEX('Company MOA setup'!$B$3:$B$500,MATCH($A288,'Company MOA setup'!$A$3:$A$500,0)),"Division default")</f>
        <v/>
      </c>
      <c r="L288" s="5">
        <f>IF($E288="","",TRIM(IFERROR(INDEX(Divisions!$C$3:$C$50,MATCH($E288,Divisions!$A$3:$A$50,0)),"")&amp;IF(IFERROR(INDEX(Divisions!$E$3:$E$50,MATCH($E288,Divisions!$A$3:$A$50,0)),"")&lt;&gt;"",", "&amp;IFERROR(INDEX(Divisions!$E$3:$E$50,MATCH($E288,Divisions!$A$3:$A$50,0)),""),"")&amp;IF(IFERROR(INDEX(Divisions!$G$3:$G$50,MATCH($E288,Divisions!$A$3:$A$50,0)),"")&lt;&gt;"",", "&amp;IFERROR(INDEX(Divisions!$G$3:$G$50,MATCH($E288,Divisions!$A$3:$A$50,0)),""),"")&amp;IF(IFERROR(INDEX(Divisions!$I$3:$I$50,MATCH($E288,Divisions!$A$3:$A$50,0)),"")&lt;&gt;"",", "&amp;IFERROR(INDEX(Divisions!$I$3:$I$50,MATCH($E288,Divisions!$A$3:$A$50,0)),""),"")))</f>
        <v/>
      </c>
    </row>
    <row r="289">
      <c r="F289" s="5">
        <f>IFERROR(INDEX('Company MOA setup'!$B$3:$B$500,MATCH($A289,'Company MOA setup'!$A$3:$A$500,0)),"Division default")</f>
        <v/>
      </c>
      <c r="L289" s="5">
        <f>IF($E289="","",TRIM(IFERROR(INDEX(Divisions!$C$3:$C$50,MATCH($E289,Divisions!$A$3:$A$50,0)),"")&amp;IF(IFERROR(INDEX(Divisions!$E$3:$E$50,MATCH($E289,Divisions!$A$3:$A$50,0)),"")&lt;&gt;"",", "&amp;IFERROR(INDEX(Divisions!$E$3:$E$50,MATCH($E289,Divisions!$A$3:$A$50,0)),""),"")&amp;IF(IFERROR(INDEX(Divisions!$G$3:$G$50,MATCH($E289,Divisions!$A$3:$A$50,0)),"")&lt;&gt;"",", "&amp;IFERROR(INDEX(Divisions!$G$3:$G$50,MATCH($E289,Divisions!$A$3:$A$50,0)),""),"")&amp;IF(IFERROR(INDEX(Divisions!$I$3:$I$50,MATCH($E289,Divisions!$A$3:$A$50,0)),"")&lt;&gt;"",", "&amp;IFERROR(INDEX(Divisions!$I$3:$I$50,MATCH($E289,Divisions!$A$3:$A$50,0)),""),"")))</f>
        <v/>
      </c>
    </row>
    <row r="290">
      <c r="F290" s="5">
        <f>IFERROR(INDEX('Company MOA setup'!$B$3:$B$500,MATCH($A290,'Company MOA setup'!$A$3:$A$500,0)),"Division default")</f>
        <v/>
      </c>
      <c r="L290" s="5">
        <f>IF($E290="","",TRIM(IFERROR(INDEX(Divisions!$C$3:$C$50,MATCH($E290,Divisions!$A$3:$A$50,0)),"")&amp;IF(IFERROR(INDEX(Divisions!$E$3:$E$50,MATCH($E290,Divisions!$A$3:$A$50,0)),"")&lt;&gt;"",", "&amp;IFERROR(INDEX(Divisions!$E$3:$E$50,MATCH($E290,Divisions!$A$3:$A$50,0)),""),"")&amp;IF(IFERROR(INDEX(Divisions!$G$3:$G$50,MATCH($E290,Divisions!$A$3:$A$50,0)),"")&lt;&gt;"",", "&amp;IFERROR(INDEX(Divisions!$G$3:$G$50,MATCH($E290,Divisions!$A$3:$A$50,0)),""),"")&amp;IF(IFERROR(INDEX(Divisions!$I$3:$I$50,MATCH($E290,Divisions!$A$3:$A$50,0)),"")&lt;&gt;"",", "&amp;IFERROR(INDEX(Divisions!$I$3:$I$50,MATCH($E290,Divisions!$A$3:$A$50,0)),""),"")))</f>
        <v/>
      </c>
    </row>
    <row r="291">
      <c r="F291" s="5">
        <f>IFERROR(INDEX('Company MOA setup'!$B$3:$B$500,MATCH($A291,'Company MOA setup'!$A$3:$A$500,0)),"Division default")</f>
        <v/>
      </c>
      <c r="L291" s="5">
        <f>IF($E291="","",TRIM(IFERROR(INDEX(Divisions!$C$3:$C$50,MATCH($E291,Divisions!$A$3:$A$50,0)),"")&amp;IF(IFERROR(INDEX(Divisions!$E$3:$E$50,MATCH($E291,Divisions!$A$3:$A$50,0)),"")&lt;&gt;"",", "&amp;IFERROR(INDEX(Divisions!$E$3:$E$50,MATCH($E291,Divisions!$A$3:$A$50,0)),""),"")&amp;IF(IFERROR(INDEX(Divisions!$G$3:$G$50,MATCH($E291,Divisions!$A$3:$A$50,0)),"")&lt;&gt;"",", "&amp;IFERROR(INDEX(Divisions!$G$3:$G$50,MATCH($E291,Divisions!$A$3:$A$50,0)),""),"")&amp;IF(IFERROR(INDEX(Divisions!$I$3:$I$50,MATCH($E291,Divisions!$A$3:$A$50,0)),"")&lt;&gt;"",", "&amp;IFERROR(INDEX(Divisions!$I$3:$I$50,MATCH($E291,Divisions!$A$3:$A$50,0)),""),"")))</f>
        <v/>
      </c>
    </row>
    <row r="292">
      <c r="F292" s="5">
        <f>IFERROR(INDEX('Company MOA setup'!$B$3:$B$500,MATCH($A292,'Company MOA setup'!$A$3:$A$500,0)),"Division default")</f>
        <v/>
      </c>
      <c r="L292" s="5">
        <f>IF($E292="","",TRIM(IFERROR(INDEX(Divisions!$C$3:$C$50,MATCH($E292,Divisions!$A$3:$A$50,0)),"")&amp;IF(IFERROR(INDEX(Divisions!$E$3:$E$50,MATCH($E292,Divisions!$A$3:$A$50,0)),"")&lt;&gt;"",", "&amp;IFERROR(INDEX(Divisions!$E$3:$E$50,MATCH($E292,Divisions!$A$3:$A$50,0)),""),"")&amp;IF(IFERROR(INDEX(Divisions!$G$3:$G$50,MATCH($E292,Divisions!$A$3:$A$50,0)),"")&lt;&gt;"",", "&amp;IFERROR(INDEX(Divisions!$G$3:$G$50,MATCH($E292,Divisions!$A$3:$A$50,0)),""),"")&amp;IF(IFERROR(INDEX(Divisions!$I$3:$I$50,MATCH($E292,Divisions!$A$3:$A$50,0)),"")&lt;&gt;"",", "&amp;IFERROR(INDEX(Divisions!$I$3:$I$50,MATCH($E292,Divisions!$A$3:$A$50,0)),""),"")))</f>
        <v/>
      </c>
    </row>
    <row r="293">
      <c r="F293" s="5">
        <f>IFERROR(INDEX('Company MOA setup'!$B$3:$B$500,MATCH($A293,'Company MOA setup'!$A$3:$A$500,0)),"Division default")</f>
        <v/>
      </c>
      <c r="L293" s="5">
        <f>IF($E293="","",TRIM(IFERROR(INDEX(Divisions!$C$3:$C$50,MATCH($E293,Divisions!$A$3:$A$50,0)),"")&amp;IF(IFERROR(INDEX(Divisions!$E$3:$E$50,MATCH($E293,Divisions!$A$3:$A$50,0)),"")&lt;&gt;"",", "&amp;IFERROR(INDEX(Divisions!$E$3:$E$50,MATCH($E293,Divisions!$A$3:$A$50,0)),""),"")&amp;IF(IFERROR(INDEX(Divisions!$G$3:$G$50,MATCH($E293,Divisions!$A$3:$A$50,0)),"")&lt;&gt;"",", "&amp;IFERROR(INDEX(Divisions!$G$3:$G$50,MATCH($E293,Divisions!$A$3:$A$50,0)),""),"")&amp;IF(IFERROR(INDEX(Divisions!$I$3:$I$50,MATCH($E293,Divisions!$A$3:$A$50,0)),"")&lt;&gt;"",", "&amp;IFERROR(INDEX(Divisions!$I$3:$I$50,MATCH($E293,Divisions!$A$3:$A$50,0)),""),"")))</f>
        <v/>
      </c>
    </row>
    <row r="294">
      <c r="F294" s="5">
        <f>IFERROR(INDEX('Company MOA setup'!$B$3:$B$500,MATCH($A294,'Company MOA setup'!$A$3:$A$500,0)),"Division default")</f>
        <v/>
      </c>
      <c r="L294" s="5">
        <f>IF($E294="","",TRIM(IFERROR(INDEX(Divisions!$C$3:$C$50,MATCH($E294,Divisions!$A$3:$A$50,0)),"")&amp;IF(IFERROR(INDEX(Divisions!$E$3:$E$50,MATCH($E294,Divisions!$A$3:$A$50,0)),"")&lt;&gt;"",", "&amp;IFERROR(INDEX(Divisions!$E$3:$E$50,MATCH($E294,Divisions!$A$3:$A$50,0)),""),"")&amp;IF(IFERROR(INDEX(Divisions!$G$3:$G$50,MATCH($E294,Divisions!$A$3:$A$50,0)),"")&lt;&gt;"",", "&amp;IFERROR(INDEX(Divisions!$G$3:$G$50,MATCH($E294,Divisions!$A$3:$A$50,0)),""),"")&amp;IF(IFERROR(INDEX(Divisions!$I$3:$I$50,MATCH($E294,Divisions!$A$3:$A$50,0)),"")&lt;&gt;"",", "&amp;IFERROR(INDEX(Divisions!$I$3:$I$50,MATCH($E294,Divisions!$A$3:$A$50,0)),""),"")))</f>
        <v/>
      </c>
    </row>
    <row r="295">
      <c r="F295" s="5">
        <f>IFERROR(INDEX('Company MOA setup'!$B$3:$B$500,MATCH($A295,'Company MOA setup'!$A$3:$A$500,0)),"Division default")</f>
        <v/>
      </c>
      <c r="L295" s="5">
        <f>IF($E295="","",TRIM(IFERROR(INDEX(Divisions!$C$3:$C$50,MATCH($E295,Divisions!$A$3:$A$50,0)),"")&amp;IF(IFERROR(INDEX(Divisions!$E$3:$E$50,MATCH($E295,Divisions!$A$3:$A$50,0)),"")&lt;&gt;"",", "&amp;IFERROR(INDEX(Divisions!$E$3:$E$50,MATCH($E295,Divisions!$A$3:$A$50,0)),""),"")&amp;IF(IFERROR(INDEX(Divisions!$G$3:$G$50,MATCH($E295,Divisions!$A$3:$A$50,0)),"")&lt;&gt;"",", "&amp;IFERROR(INDEX(Divisions!$G$3:$G$50,MATCH($E295,Divisions!$A$3:$A$50,0)),""),"")&amp;IF(IFERROR(INDEX(Divisions!$I$3:$I$50,MATCH($E295,Divisions!$A$3:$A$50,0)),"")&lt;&gt;"",", "&amp;IFERROR(INDEX(Divisions!$I$3:$I$50,MATCH($E295,Divisions!$A$3:$A$50,0)),""),"")))</f>
        <v/>
      </c>
    </row>
    <row r="296">
      <c r="F296" s="5">
        <f>IFERROR(INDEX('Company MOA setup'!$B$3:$B$500,MATCH($A296,'Company MOA setup'!$A$3:$A$500,0)),"Division default")</f>
        <v/>
      </c>
      <c r="L296" s="5">
        <f>IF($E296="","",TRIM(IFERROR(INDEX(Divisions!$C$3:$C$50,MATCH($E296,Divisions!$A$3:$A$50,0)),"")&amp;IF(IFERROR(INDEX(Divisions!$E$3:$E$50,MATCH($E296,Divisions!$A$3:$A$50,0)),"")&lt;&gt;"",", "&amp;IFERROR(INDEX(Divisions!$E$3:$E$50,MATCH($E296,Divisions!$A$3:$A$50,0)),""),"")&amp;IF(IFERROR(INDEX(Divisions!$G$3:$G$50,MATCH($E296,Divisions!$A$3:$A$50,0)),"")&lt;&gt;"",", "&amp;IFERROR(INDEX(Divisions!$G$3:$G$50,MATCH($E296,Divisions!$A$3:$A$50,0)),""),"")&amp;IF(IFERROR(INDEX(Divisions!$I$3:$I$50,MATCH($E296,Divisions!$A$3:$A$50,0)),"")&lt;&gt;"",", "&amp;IFERROR(INDEX(Divisions!$I$3:$I$50,MATCH($E296,Divisions!$A$3:$A$50,0)),""),"")))</f>
        <v/>
      </c>
    </row>
    <row r="297">
      <c r="F297" s="5">
        <f>IFERROR(INDEX('Company MOA setup'!$B$3:$B$500,MATCH($A297,'Company MOA setup'!$A$3:$A$500,0)),"Division default")</f>
        <v/>
      </c>
      <c r="L297" s="5">
        <f>IF($E297="","",TRIM(IFERROR(INDEX(Divisions!$C$3:$C$50,MATCH($E297,Divisions!$A$3:$A$50,0)),"")&amp;IF(IFERROR(INDEX(Divisions!$E$3:$E$50,MATCH($E297,Divisions!$A$3:$A$50,0)),"")&lt;&gt;"",", "&amp;IFERROR(INDEX(Divisions!$E$3:$E$50,MATCH($E297,Divisions!$A$3:$A$50,0)),""),"")&amp;IF(IFERROR(INDEX(Divisions!$G$3:$G$50,MATCH($E297,Divisions!$A$3:$A$50,0)),"")&lt;&gt;"",", "&amp;IFERROR(INDEX(Divisions!$G$3:$G$50,MATCH($E297,Divisions!$A$3:$A$50,0)),""),"")&amp;IF(IFERROR(INDEX(Divisions!$I$3:$I$50,MATCH($E297,Divisions!$A$3:$A$50,0)),"")&lt;&gt;"",", "&amp;IFERROR(INDEX(Divisions!$I$3:$I$50,MATCH($E297,Divisions!$A$3:$A$50,0)),""),"")))</f>
        <v/>
      </c>
    </row>
    <row r="298">
      <c r="F298" s="5">
        <f>IFERROR(INDEX('Company MOA setup'!$B$3:$B$500,MATCH($A298,'Company MOA setup'!$A$3:$A$500,0)),"Division default")</f>
        <v/>
      </c>
      <c r="L298" s="5">
        <f>IF($E298="","",TRIM(IFERROR(INDEX(Divisions!$C$3:$C$50,MATCH($E298,Divisions!$A$3:$A$50,0)),"")&amp;IF(IFERROR(INDEX(Divisions!$E$3:$E$50,MATCH($E298,Divisions!$A$3:$A$50,0)),"")&lt;&gt;"",", "&amp;IFERROR(INDEX(Divisions!$E$3:$E$50,MATCH($E298,Divisions!$A$3:$A$50,0)),""),"")&amp;IF(IFERROR(INDEX(Divisions!$G$3:$G$50,MATCH($E298,Divisions!$A$3:$A$50,0)),"")&lt;&gt;"",", "&amp;IFERROR(INDEX(Divisions!$G$3:$G$50,MATCH($E298,Divisions!$A$3:$A$50,0)),""),"")&amp;IF(IFERROR(INDEX(Divisions!$I$3:$I$50,MATCH($E298,Divisions!$A$3:$A$50,0)),"")&lt;&gt;"",", "&amp;IFERROR(INDEX(Divisions!$I$3:$I$50,MATCH($E298,Divisions!$A$3:$A$50,0)),""),"")))</f>
        <v/>
      </c>
    </row>
    <row r="299">
      <c r="F299" s="5">
        <f>IFERROR(INDEX('Company MOA setup'!$B$3:$B$500,MATCH($A299,'Company MOA setup'!$A$3:$A$500,0)),"Division default")</f>
        <v/>
      </c>
      <c r="L299" s="5">
        <f>IF($E299="","",TRIM(IFERROR(INDEX(Divisions!$C$3:$C$50,MATCH($E299,Divisions!$A$3:$A$50,0)),"")&amp;IF(IFERROR(INDEX(Divisions!$E$3:$E$50,MATCH($E299,Divisions!$A$3:$A$50,0)),"")&lt;&gt;"",", "&amp;IFERROR(INDEX(Divisions!$E$3:$E$50,MATCH($E299,Divisions!$A$3:$A$50,0)),""),"")&amp;IF(IFERROR(INDEX(Divisions!$G$3:$G$50,MATCH($E299,Divisions!$A$3:$A$50,0)),"")&lt;&gt;"",", "&amp;IFERROR(INDEX(Divisions!$G$3:$G$50,MATCH($E299,Divisions!$A$3:$A$50,0)),""),"")&amp;IF(IFERROR(INDEX(Divisions!$I$3:$I$50,MATCH($E299,Divisions!$A$3:$A$50,0)),"")&lt;&gt;"",", "&amp;IFERROR(INDEX(Divisions!$I$3:$I$50,MATCH($E299,Divisions!$A$3:$A$50,0)),""),"")))</f>
        <v/>
      </c>
    </row>
    <row r="300">
      <c r="F300" s="5">
        <f>IFERROR(INDEX('Company MOA setup'!$B$3:$B$500,MATCH($A300,'Company MOA setup'!$A$3:$A$500,0)),"Division default")</f>
        <v/>
      </c>
      <c r="L300" s="5">
        <f>IF($E300="","",TRIM(IFERROR(INDEX(Divisions!$C$3:$C$50,MATCH($E300,Divisions!$A$3:$A$50,0)),"")&amp;IF(IFERROR(INDEX(Divisions!$E$3:$E$50,MATCH($E300,Divisions!$A$3:$A$50,0)),"")&lt;&gt;"",", "&amp;IFERROR(INDEX(Divisions!$E$3:$E$50,MATCH($E300,Divisions!$A$3:$A$50,0)),""),"")&amp;IF(IFERROR(INDEX(Divisions!$G$3:$G$50,MATCH($E300,Divisions!$A$3:$A$50,0)),"")&lt;&gt;"",", "&amp;IFERROR(INDEX(Divisions!$G$3:$G$50,MATCH($E300,Divisions!$A$3:$A$50,0)),""),"")&amp;IF(IFERROR(INDEX(Divisions!$I$3:$I$50,MATCH($E300,Divisions!$A$3:$A$50,0)),"")&lt;&gt;"",", "&amp;IFERROR(INDEX(Divisions!$I$3:$I$50,MATCH($E300,Divisions!$A$3:$A$50,0)),""),"")))</f>
        <v/>
      </c>
    </row>
    <row r="301">
      <c r="F301" s="5">
        <f>IFERROR(INDEX('Company MOA setup'!$B$3:$B$500,MATCH($A301,'Company MOA setup'!$A$3:$A$500,0)),"Division default")</f>
        <v/>
      </c>
      <c r="L301" s="5">
        <f>IF($E301="","",TRIM(IFERROR(INDEX(Divisions!$C$3:$C$50,MATCH($E301,Divisions!$A$3:$A$50,0)),"")&amp;IF(IFERROR(INDEX(Divisions!$E$3:$E$50,MATCH($E301,Divisions!$A$3:$A$50,0)),"")&lt;&gt;"",", "&amp;IFERROR(INDEX(Divisions!$E$3:$E$50,MATCH($E301,Divisions!$A$3:$A$50,0)),""),"")&amp;IF(IFERROR(INDEX(Divisions!$G$3:$G$50,MATCH($E301,Divisions!$A$3:$A$50,0)),"")&lt;&gt;"",", "&amp;IFERROR(INDEX(Divisions!$G$3:$G$50,MATCH($E301,Divisions!$A$3:$A$50,0)),""),"")&amp;IF(IFERROR(INDEX(Divisions!$I$3:$I$50,MATCH($E301,Divisions!$A$3:$A$50,0)),"")&lt;&gt;"",", "&amp;IFERROR(INDEX(Divisions!$I$3:$I$50,MATCH($E301,Divisions!$A$3:$A$50,0)),""),"")))</f>
        <v/>
      </c>
    </row>
    <row r="302">
      <c r="F302" s="5">
        <f>IFERROR(INDEX('Company MOA setup'!$B$3:$B$500,MATCH($A302,'Company MOA setup'!$A$3:$A$500,0)),"Division default")</f>
        <v/>
      </c>
      <c r="L302" s="5">
        <f>IF($E302="","",TRIM(IFERROR(INDEX(Divisions!$C$3:$C$50,MATCH($E302,Divisions!$A$3:$A$50,0)),"")&amp;IF(IFERROR(INDEX(Divisions!$E$3:$E$50,MATCH($E302,Divisions!$A$3:$A$50,0)),"")&lt;&gt;"",", "&amp;IFERROR(INDEX(Divisions!$E$3:$E$50,MATCH($E302,Divisions!$A$3:$A$50,0)),""),"")&amp;IF(IFERROR(INDEX(Divisions!$G$3:$G$50,MATCH($E302,Divisions!$A$3:$A$50,0)),"")&lt;&gt;"",", "&amp;IFERROR(INDEX(Divisions!$G$3:$G$50,MATCH($E302,Divisions!$A$3:$A$50,0)),""),"")&amp;IF(IFERROR(INDEX(Divisions!$I$3:$I$50,MATCH($E302,Divisions!$A$3:$A$50,0)),"")&lt;&gt;"",", "&amp;IFERROR(INDEX(Divisions!$I$3:$I$50,MATCH($E302,Divisions!$A$3:$A$50,0)),""),"")))</f>
        <v/>
      </c>
    </row>
    <row r="303">
      <c r="F303" s="5">
        <f>IFERROR(INDEX('Company MOA setup'!$B$3:$B$500,MATCH($A303,'Company MOA setup'!$A$3:$A$500,0)),"Division default")</f>
        <v/>
      </c>
      <c r="L303" s="5">
        <f>IF($E303="","",TRIM(IFERROR(INDEX(Divisions!$C$3:$C$50,MATCH($E303,Divisions!$A$3:$A$50,0)),"")&amp;IF(IFERROR(INDEX(Divisions!$E$3:$E$50,MATCH($E303,Divisions!$A$3:$A$50,0)),"")&lt;&gt;"",", "&amp;IFERROR(INDEX(Divisions!$E$3:$E$50,MATCH($E303,Divisions!$A$3:$A$50,0)),""),"")&amp;IF(IFERROR(INDEX(Divisions!$G$3:$G$50,MATCH($E303,Divisions!$A$3:$A$50,0)),"")&lt;&gt;"",", "&amp;IFERROR(INDEX(Divisions!$G$3:$G$50,MATCH($E303,Divisions!$A$3:$A$50,0)),""),"")&amp;IF(IFERROR(INDEX(Divisions!$I$3:$I$50,MATCH($E303,Divisions!$A$3:$A$50,0)),"")&lt;&gt;"",", "&amp;IFERROR(INDEX(Divisions!$I$3:$I$50,MATCH($E303,Divisions!$A$3:$A$50,0)),""),"")))</f>
        <v/>
      </c>
    </row>
    <row r="304">
      <c r="F304" s="5">
        <f>IFERROR(INDEX('Company MOA setup'!$B$3:$B$500,MATCH($A304,'Company MOA setup'!$A$3:$A$500,0)),"Division default")</f>
        <v/>
      </c>
      <c r="L304" s="5">
        <f>IF($E304="","",TRIM(IFERROR(INDEX(Divisions!$C$3:$C$50,MATCH($E304,Divisions!$A$3:$A$50,0)),"")&amp;IF(IFERROR(INDEX(Divisions!$E$3:$E$50,MATCH($E304,Divisions!$A$3:$A$50,0)),"")&lt;&gt;"",", "&amp;IFERROR(INDEX(Divisions!$E$3:$E$50,MATCH($E304,Divisions!$A$3:$A$50,0)),""),"")&amp;IF(IFERROR(INDEX(Divisions!$G$3:$G$50,MATCH($E304,Divisions!$A$3:$A$50,0)),"")&lt;&gt;"",", "&amp;IFERROR(INDEX(Divisions!$G$3:$G$50,MATCH($E304,Divisions!$A$3:$A$50,0)),""),"")&amp;IF(IFERROR(INDEX(Divisions!$I$3:$I$50,MATCH($E304,Divisions!$A$3:$A$50,0)),"")&lt;&gt;"",", "&amp;IFERROR(INDEX(Divisions!$I$3:$I$50,MATCH($E304,Divisions!$A$3:$A$50,0)),""),"")))</f>
        <v/>
      </c>
    </row>
    <row r="305">
      <c r="F305" s="5">
        <f>IFERROR(INDEX('Company MOA setup'!$B$3:$B$500,MATCH($A305,'Company MOA setup'!$A$3:$A$500,0)),"Division default")</f>
        <v/>
      </c>
      <c r="L305" s="5">
        <f>IF($E305="","",TRIM(IFERROR(INDEX(Divisions!$C$3:$C$50,MATCH($E305,Divisions!$A$3:$A$50,0)),"")&amp;IF(IFERROR(INDEX(Divisions!$E$3:$E$50,MATCH($E305,Divisions!$A$3:$A$50,0)),"")&lt;&gt;"",", "&amp;IFERROR(INDEX(Divisions!$E$3:$E$50,MATCH($E305,Divisions!$A$3:$A$50,0)),""),"")&amp;IF(IFERROR(INDEX(Divisions!$G$3:$G$50,MATCH($E305,Divisions!$A$3:$A$50,0)),"")&lt;&gt;"",", "&amp;IFERROR(INDEX(Divisions!$G$3:$G$50,MATCH($E305,Divisions!$A$3:$A$50,0)),""),"")&amp;IF(IFERROR(INDEX(Divisions!$I$3:$I$50,MATCH($E305,Divisions!$A$3:$A$50,0)),"")&lt;&gt;"",", "&amp;IFERROR(INDEX(Divisions!$I$3:$I$50,MATCH($E305,Divisions!$A$3:$A$50,0)),""),"")))</f>
        <v/>
      </c>
    </row>
    <row r="306">
      <c r="F306" s="5">
        <f>IFERROR(INDEX('Company MOA setup'!$B$3:$B$500,MATCH($A306,'Company MOA setup'!$A$3:$A$500,0)),"Division default")</f>
        <v/>
      </c>
      <c r="L306" s="5">
        <f>IF($E306="","",TRIM(IFERROR(INDEX(Divisions!$C$3:$C$50,MATCH($E306,Divisions!$A$3:$A$50,0)),"")&amp;IF(IFERROR(INDEX(Divisions!$E$3:$E$50,MATCH($E306,Divisions!$A$3:$A$50,0)),"")&lt;&gt;"",", "&amp;IFERROR(INDEX(Divisions!$E$3:$E$50,MATCH($E306,Divisions!$A$3:$A$50,0)),""),"")&amp;IF(IFERROR(INDEX(Divisions!$G$3:$G$50,MATCH($E306,Divisions!$A$3:$A$50,0)),"")&lt;&gt;"",", "&amp;IFERROR(INDEX(Divisions!$G$3:$G$50,MATCH($E306,Divisions!$A$3:$A$50,0)),""),"")&amp;IF(IFERROR(INDEX(Divisions!$I$3:$I$50,MATCH($E306,Divisions!$A$3:$A$50,0)),"")&lt;&gt;"",", "&amp;IFERROR(INDEX(Divisions!$I$3:$I$50,MATCH($E306,Divisions!$A$3:$A$50,0)),""),"")))</f>
        <v/>
      </c>
    </row>
    <row r="307">
      <c r="F307" s="5">
        <f>IFERROR(INDEX('Company MOA setup'!$B$3:$B$500,MATCH($A307,'Company MOA setup'!$A$3:$A$500,0)),"Division default")</f>
        <v/>
      </c>
      <c r="L307" s="5">
        <f>IF($E307="","",TRIM(IFERROR(INDEX(Divisions!$C$3:$C$50,MATCH($E307,Divisions!$A$3:$A$50,0)),"")&amp;IF(IFERROR(INDEX(Divisions!$E$3:$E$50,MATCH($E307,Divisions!$A$3:$A$50,0)),"")&lt;&gt;"",", "&amp;IFERROR(INDEX(Divisions!$E$3:$E$50,MATCH($E307,Divisions!$A$3:$A$50,0)),""),"")&amp;IF(IFERROR(INDEX(Divisions!$G$3:$G$50,MATCH($E307,Divisions!$A$3:$A$50,0)),"")&lt;&gt;"",", "&amp;IFERROR(INDEX(Divisions!$G$3:$G$50,MATCH($E307,Divisions!$A$3:$A$50,0)),""),"")&amp;IF(IFERROR(INDEX(Divisions!$I$3:$I$50,MATCH($E307,Divisions!$A$3:$A$50,0)),"")&lt;&gt;"",", "&amp;IFERROR(INDEX(Divisions!$I$3:$I$50,MATCH($E307,Divisions!$A$3:$A$50,0)),""),"")))</f>
        <v/>
      </c>
    </row>
    <row r="308">
      <c r="F308" s="5">
        <f>IFERROR(INDEX('Company MOA setup'!$B$3:$B$500,MATCH($A308,'Company MOA setup'!$A$3:$A$500,0)),"Division default")</f>
        <v/>
      </c>
      <c r="L308" s="5">
        <f>IF($E308="","",TRIM(IFERROR(INDEX(Divisions!$C$3:$C$50,MATCH($E308,Divisions!$A$3:$A$50,0)),"")&amp;IF(IFERROR(INDEX(Divisions!$E$3:$E$50,MATCH($E308,Divisions!$A$3:$A$50,0)),"")&lt;&gt;"",", "&amp;IFERROR(INDEX(Divisions!$E$3:$E$50,MATCH($E308,Divisions!$A$3:$A$50,0)),""),"")&amp;IF(IFERROR(INDEX(Divisions!$G$3:$G$50,MATCH($E308,Divisions!$A$3:$A$50,0)),"")&lt;&gt;"",", "&amp;IFERROR(INDEX(Divisions!$G$3:$G$50,MATCH($E308,Divisions!$A$3:$A$50,0)),""),"")&amp;IF(IFERROR(INDEX(Divisions!$I$3:$I$50,MATCH($E308,Divisions!$A$3:$A$50,0)),"")&lt;&gt;"",", "&amp;IFERROR(INDEX(Divisions!$I$3:$I$50,MATCH($E308,Divisions!$A$3:$A$50,0)),""),"")))</f>
        <v/>
      </c>
    </row>
    <row r="309">
      <c r="F309" s="5">
        <f>IFERROR(INDEX('Company MOA setup'!$B$3:$B$500,MATCH($A309,'Company MOA setup'!$A$3:$A$500,0)),"Division default")</f>
        <v/>
      </c>
      <c r="L309" s="5">
        <f>IF($E309="","",TRIM(IFERROR(INDEX(Divisions!$C$3:$C$50,MATCH($E309,Divisions!$A$3:$A$50,0)),"")&amp;IF(IFERROR(INDEX(Divisions!$E$3:$E$50,MATCH($E309,Divisions!$A$3:$A$50,0)),"")&lt;&gt;"",", "&amp;IFERROR(INDEX(Divisions!$E$3:$E$50,MATCH($E309,Divisions!$A$3:$A$50,0)),""),"")&amp;IF(IFERROR(INDEX(Divisions!$G$3:$G$50,MATCH($E309,Divisions!$A$3:$A$50,0)),"")&lt;&gt;"",", "&amp;IFERROR(INDEX(Divisions!$G$3:$G$50,MATCH($E309,Divisions!$A$3:$A$50,0)),""),"")&amp;IF(IFERROR(INDEX(Divisions!$I$3:$I$50,MATCH($E309,Divisions!$A$3:$A$50,0)),"")&lt;&gt;"",", "&amp;IFERROR(INDEX(Divisions!$I$3:$I$50,MATCH($E309,Divisions!$A$3:$A$50,0)),""),"")))</f>
        <v/>
      </c>
    </row>
    <row r="310">
      <c r="F310" s="5">
        <f>IFERROR(INDEX('Company MOA setup'!$B$3:$B$500,MATCH($A310,'Company MOA setup'!$A$3:$A$500,0)),"Division default")</f>
        <v/>
      </c>
      <c r="L310" s="5">
        <f>IF($E310="","",TRIM(IFERROR(INDEX(Divisions!$C$3:$C$50,MATCH($E310,Divisions!$A$3:$A$50,0)),"")&amp;IF(IFERROR(INDEX(Divisions!$E$3:$E$50,MATCH($E310,Divisions!$A$3:$A$50,0)),"")&lt;&gt;"",", "&amp;IFERROR(INDEX(Divisions!$E$3:$E$50,MATCH($E310,Divisions!$A$3:$A$50,0)),""),"")&amp;IF(IFERROR(INDEX(Divisions!$G$3:$G$50,MATCH($E310,Divisions!$A$3:$A$50,0)),"")&lt;&gt;"",", "&amp;IFERROR(INDEX(Divisions!$G$3:$G$50,MATCH($E310,Divisions!$A$3:$A$50,0)),""),"")&amp;IF(IFERROR(INDEX(Divisions!$I$3:$I$50,MATCH($E310,Divisions!$A$3:$A$50,0)),"")&lt;&gt;"",", "&amp;IFERROR(INDEX(Divisions!$I$3:$I$50,MATCH($E310,Divisions!$A$3:$A$50,0)),""),"")))</f>
        <v/>
      </c>
    </row>
    <row r="311">
      <c r="F311" s="5">
        <f>IFERROR(INDEX('Company MOA setup'!$B$3:$B$500,MATCH($A311,'Company MOA setup'!$A$3:$A$500,0)),"Division default")</f>
        <v/>
      </c>
      <c r="L311" s="5">
        <f>IF($E311="","",TRIM(IFERROR(INDEX(Divisions!$C$3:$C$50,MATCH($E311,Divisions!$A$3:$A$50,0)),"")&amp;IF(IFERROR(INDEX(Divisions!$E$3:$E$50,MATCH($E311,Divisions!$A$3:$A$50,0)),"")&lt;&gt;"",", "&amp;IFERROR(INDEX(Divisions!$E$3:$E$50,MATCH($E311,Divisions!$A$3:$A$50,0)),""),"")&amp;IF(IFERROR(INDEX(Divisions!$G$3:$G$50,MATCH($E311,Divisions!$A$3:$A$50,0)),"")&lt;&gt;"",", "&amp;IFERROR(INDEX(Divisions!$G$3:$G$50,MATCH($E311,Divisions!$A$3:$A$50,0)),""),"")&amp;IF(IFERROR(INDEX(Divisions!$I$3:$I$50,MATCH($E311,Divisions!$A$3:$A$50,0)),"")&lt;&gt;"",", "&amp;IFERROR(INDEX(Divisions!$I$3:$I$50,MATCH($E311,Divisions!$A$3:$A$50,0)),""),"")))</f>
        <v/>
      </c>
    </row>
    <row r="312">
      <c r="F312" s="5">
        <f>IFERROR(INDEX('Company MOA setup'!$B$3:$B$500,MATCH($A312,'Company MOA setup'!$A$3:$A$500,0)),"Division default")</f>
        <v/>
      </c>
      <c r="L312" s="5">
        <f>IF($E312="","",TRIM(IFERROR(INDEX(Divisions!$C$3:$C$50,MATCH($E312,Divisions!$A$3:$A$50,0)),"")&amp;IF(IFERROR(INDEX(Divisions!$E$3:$E$50,MATCH($E312,Divisions!$A$3:$A$50,0)),"")&lt;&gt;"",", "&amp;IFERROR(INDEX(Divisions!$E$3:$E$50,MATCH($E312,Divisions!$A$3:$A$50,0)),""),"")&amp;IF(IFERROR(INDEX(Divisions!$G$3:$G$50,MATCH($E312,Divisions!$A$3:$A$50,0)),"")&lt;&gt;"",", "&amp;IFERROR(INDEX(Divisions!$G$3:$G$50,MATCH($E312,Divisions!$A$3:$A$50,0)),""),"")&amp;IF(IFERROR(INDEX(Divisions!$I$3:$I$50,MATCH($E312,Divisions!$A$3:$A$50,0)),"")&lt;&gt;"",", "&amp;IFERROR(INDEX(Divisions!$I$3:$I$50,MATCH($E312,Divisions!$A$3:$A$50,0)),""),"")))</f>
        <v/>
      </c>
    </row>
    <row r="313">
      <c r="F313" s="5">
        <f>IFERROR(INDEX('Company MOA setup'!$B$3:$B$500,MATCH($A313,'Company MOA setup'!$A$3:$A$500,0)),"Division default")</f>
        <v/>
      </c>
      <c r="L313" s="5">
        <f>IF($E313="","",TRIM(IFERROR(INDEX(Divisions!$C$3:$C$50,MATCH($E313,Divisions!$A$3:$A$50,0)),"")&amp;IF(IFERROR(INDEX(Divisions!$E$3:$E$50,MATCH($E313,Divisions!$A$3:$A$50,0)),"")&lt;&gt;"",", "&amp;IFERROR(INDEX(Divisions!$E$3:$E$50,MATCH($E313,Divisions!$A$3:$A$50,0)),""),"")&amp;IF(IFERROR(INDEX(Divisions!$G$3:$G$50,MATCH($E313,Divisions!$A$3:$A$50,0)),"")&lt;&gt;"",", "&amp;IFERROR(INDEX(Divisions!$G$3:$G$50,MATCH($E313,Divisions!$A$3:$A$50,0)),""),"")&amp;IF(IFERROR(INDEX(Divisions!$I$3:$I$50,MATCH($E313,Divisions!$A$3:$A$50,0)),"")&lt;&gt;"",", "&amp;IFERROR(INDEX(Divisions!$I$3:$I$50,MATCH($E313,Divisions!$A$3:$A$50,0)),""),"")))</f>
        <v/>
      </c>
    </row>
    <row r="314">
      <c r="F314" s="5">
        <f>IFERROR(INDEX('Company MOA setup'!$B$3:$B$500,MATCH($A314,'Company MOA setup'!$A$3:$A$500,0)),"Division default")</f>
        <v/>
      </c>
      <c r="L314" s="5">
        <f>IF($E314="","",TRIM(IFERROR(INDEX(Divisions!$C$3:$C$50,MATCH($E314,Divisions!$A$3:$A$50,0)),"")&amp;IF(IFERROR(INDEX(Divisions!$E$3:$E$50,MATCH($E314,Divisions!$A$3:$A$50,0)),"")&lt;&gt;"",", "&amp;IFERROR(INDEX(Divisions!$E$3:$E$50,MATCH($E314,Divisions!$A$3:$A$50,0)),""),"")&amp;IF(IFERROR(INDEX(Divisions!$G$3:$G$50,MATCH($E314,Divisions!$A$3:$A$50,0)),"")&lt;&gt;"",", "&amp;IFERROR(INDEX(Divisions!$G$3:$G$50,MATCH($E314,Divisions!$A$3:$A$50,0)),""),"")&amp;IF(IFERROR(INDEX(Divisions!$I$3:$I$50,MATCH($E314,Divisions!$A$3:$A$50,0)),"")&lt;&gt;"",", "&amp;IFERROR(INDEX(Divisions!$I$3:$I$50,MATCH($E314,Divisions!$A$3:$A$50,0)),""),"")))</f>
        <v/>
      </c>
    </row>
    <row r="315">
      <c r="F315" s="5">
        <f>IFERROR(INDEX('Company MOA setup'!$B$3:$B$500,MATCH($A315,'Company MOA setup'!$A$3:$A$500,0)),"Division default")</f>
        <v/>
      </c>
      <c r="L315" s="5">
        <f>IF($E315="","",TRIM(IFERROR(INDEX(Divisions!$C$3:$C$50,MATCH($E315,Divisions!$A$3:$A$50,0)),"")&amp;IF(IFERROR(INDEX(Divisions!$E$3:$E$50,MATCH($E315,Divisions!$A$3:$A$50,0)),"")&lt;&gt;"",", "&amp;IFERROR(INDEX(Divisions!$E$3:$E$50,MATCH($E315,Divisions!$A$3:$A$50,0)),""),"")&amp;IF(IFERROR(INDEX(Divisions!$G$3:$G$50,MATCH($E315,Divisions!$A$3:$A$50,0)),"")&lt;&gt;"",", "&amp;IFERROR(INDEX(Divisions!$G$3:$G$50,MATCH($E315,Divisions!$A$3:$A$50,0)),""),"")&amp;IF(IFERROR(INDEX(Divisions!$I$3:$I$50,MATCH($E315,Divisions!$A$3:$A$50,0)),"")&lt;&gt;"",", "&amp;IFERROR(INDEX(Divisions!$I$3:$I$50,MATCH($E315,Divisions!$A$3:$A$50,0)),""),"")))</f>
        <v/>
      </c>
    </row>
    <row r="316">
      <c r="F316" s="5">
        <f>IFERROR(INDEX('Company MOA setup'!$B$3:$B$500,MATCH($A316,'Company MOA setup'!$A$3:$A$500,0)),"Division default")</f>
        <v/>
      </c>
      <c r="L316" s="5">
        <f>IF($E316="","",TRIM(IFERROR(INDEX(Divisions!$C$3:$C$50,MATCH($E316,Divisions!$A$3:$A$50,0)),"")&amp;IF(IFERROR(INDEX(Divisions!$E$3:$E$50,MATCH($E316,Divisions!$A$3:$A$50,0)),"")&lt;&gt;"",", "&amp;IFERROR(INDEX(Divisions!$E$3:$E$50,MATCH($E316,Divisions!$A$3:$A$50,0)),""),"")&amp;IF(IFERROR(INDEX(Divisions!$G$3:$G$50,MATCH($E316,Divisions!$A$3:$A$50,0)),"")&lt;&gt;"",", "&amp;IFERROR(INDEX(Divisions!$G$3:$G$50,MATCH($E316,Divisions!$A$3:$A$50,0)),""),"")&amp;IF(IFERROR(INDEX(Divisions!$I$3:$I$50,MATCH($E316,Divisions!$A$3:$A$50,0)),"")&lt;&gt;"",", "&amp;IFERROR(INDEX(Divisions!$I$3:$I$50,MATCH($E316,Divisions!$A$3:$A$50,0)),""),"")))</f>
        <v/>
      </c>
    </row>
    <row r="317">
      <c r="F317" s="5">
        <f>IFERROR(INDEX('Company MOA setup'!$B$3:$B$500,MATCH($A317,'Company MOA setup'!$A$3:$A$500,0)),"Division default")</f>
        <v/>
      </c>
      <c r="L317" s="5">
        <f>IF($E317="","",TRIM(IFERROR(INDEX(Divisions!$C$3:$C$50,MATCH($E317,Divisions!$A$3:$A$50,0)),"")&amp;IF(IFERROR(INDEX(Divisions!$E$3:$E$50,MATCH($E317,Divisions!$A$3:$A$50,0)),"")&lt;&gt;"",", "&amp;IFERROR(INDEX(Divisions!$E$3:$E$50,MATCH($E317,Divisions!$A$3:$A$50,0)),""),"")&amp;IF(IFERROR(INDEX(Divisions!$G$3:$G$50,MATCH($E317,Divisions!$A$3:$A$50,0)),"")&lt;&gt;"",", "&amp;IFERROR(INDEX(Divisions!$G$3:$G$50,MATCH($E317,Divisions!$A$3:$A$50,0)),""),"")&amp;IF(IFERROR(INDEX(Divisions!$I$3:$I$50,MATCH($E317,Divisions!$A$3:$A$50,0)),"")&lt;&gt;"",", "&amp;IFERROR(INDEX(Divisions!$I$3:$I$50,MATCH($E317,Divisions!$A$3:$A$50,0)),""),"")))</f>
        <v/>
      </c>
    </row>
    <row r="318">
      <c r="F318" s="5">
        <f>IFERROR(INDEX('Company MOA setup'!$B$3:$B$500,MATCH($A318,'Company MOA setup'!$A$3:$A$500,0)),"Division default")</f>
        <v/>
      </c>
      <c r="L318" s="5">
        <f>IF($E318="","",TRIM(IFERROR(INDEX(Divisions!$C$3:$C$50,MATCH($E318,Divisions!$A$3:$A$50,0)),"")&amp;IF(IFERROR(INDEX(Divisions!$E$3:$E$50,MATCH($E318,Divisions!$A$3:$A$50,0)),"")&lt;&gt;"",", "&amp;IFERROR(INDEX(Divisions!$E$3:$E$50,MATCH($E318,Divisions!$A$3:$A$50,0)),""),"")&amp;IF(IFERROR(INDEX(Divisions!$G$3:$G$50,MATCH($E318,Divisions!$A$3:$A$50,0)),"")&lt;&gt;"",", "&amp;IFERROR(INDEX(Divisions!$G$3:$G$50,MATCH($E318,Divisions!$A$3:$A$50,0)),""),"")&amp;IF(IFERROR(INDEX(Divisions!$I$3:$I$50,MATCH($E318,Divisions!$A$3:$A$50,0)),"")&lt;&gt;"",", "&amp;IFERROR(INDEX(Divisions!$I$3:$I$50,MATCH($E318,Divisions!$A$3:$A$50,0)),""),"")))</f>
        <v/>
      </c>
    </row>
    <row r="319">
      <c r="F319" s="5">
        <f>IFERROR(INDEX('Company MOA setup'!$B$3:$B$500,MATCH($A319,'Company MOA setup'!$A$3:$A$500,0)),"Division default")</f>
        <v/>
      </c>
      <c r="L319" s="5">
        <f>IF($E319="","",TRIM(IFERROR(INDEX(Divisions!$C$3:$C$50,MATCH($E319,Divisions!$A$3:$A$50,0)),"")&amp;IF(IFERROR(INDEX(Divisions!$E$3:$E$50,MATCH($E319,Divisions!$A$3:$A$50,0)),"")&lt;&gt;"",", "&amp;IFERROR(INDEX(Divisions!$E$3:$E$50,MATCH($E319,Divisions!$A$3:$A$50,0)),""),"")&amp;IF(IFERROR(INDEX(Divisions!$G$3:$G$50,MATCH($E319,Divisions!$A$3:$A$50,0)),"")&lt;&gt;"",", "&amp;IFERROR(INDEX(Divisions!$G$3:$G$50,MATCH($E319,Divisions!$A$3:$A$50,0)),""),"")&amp;IF(IFERROR(INDEX(Divisions!$I$3:$I$50,MATCH($E319,Divisions!$A$3:$A$50,0)),"")&lt;&gt;"",", "&amp;IFERROR(INDEX(Divisions!$I$3:$I$50,MATCH($E319,Divisions!$A$3:$A$50,0)),""),"")))</f>
        <v/>
      </c>
    </row>
    <row r="320">
      <c r="F320" s="5">
        <f>IFERROR(INDEX('Company MOA setup'!$B$3:$B$500,MATCH($A320,'Company MOA setup'!$A$3:$A$500,0)),"Division default")</f>
        <v/>
      </c>
      <c r="L320" s="5">
        <f>IF($E320="","",TRIM(IFERROR(INDEX(Divisions!$C$3:$C$50,MATCH($E320,Divisions!$A$3:$A$50,0)),"")&amp;IF(IFERROR(INDEX(Divisions!$E$3:$E$50,MATCH($E320,Divisions!$A$3:$A$50,0)),"")&lt;&gt;"",", "&amp;IFERROR(INDEX(Divisions!$E$3:$E$50,MATCH($E320,Divisions!$A$3:$A$50,0)),""),"")&amp;IF(IFERROR(INDEX(Divisions!$G$3:$G$50,MATCH($E320,Divisions!$A$3:$A$50,0)),"")&lt;&gt;"",", "&amp;IFERROR(INDEX(Divisions!$G$3:$G$50,MATCH($E320,Divisions!$A$3:$A$50,0)),""),"")&amp;IF(IFERROR(INDEX(Divisions!$I$3:$I$50,MATCH($E320,Divisions!$A$3:$A$50,0)),"")&lt;&gt;"",", "&amp;IFERROR(INDEX(Divisions!$I$3:$I$50,MATCH($E320,Divisions!$A$3:$A$50,0)),""),"")))</f>
        <v/>
      </c>
    </row>
    <row r="321">
      <c r="F321" s="5">
        <f>IFERROR(INDEX('Company MOA setup'!$B$3:$B$500,MATCH($A321,'Company MOA setup'!$A$3:$A$500,0)),"Division default")</f>
        <v/>
      </c>
      <c r="L321" s="5">
        <f>IF($E321="","",TRIM(IFERROR(INDEX(Divisions!$C$3:$C$50,MATCH($E321,Divisions!$A$3:$A$50,0)),"")&amp;IF(IFERROR(INDEX(Divisions!$E$3:$E$50,MATCH($E321,Divisions!$A$3:$A$50,0)),"")&lt;&gt;"",", "&amp;IFERROR(INDEX(Divisions!$E$3:$E$50,MATCH($E321,Divisions!$A$3:$A$50,0)),""),"")&amp;IF(IFERROR(INDEX(Divisions!$G$3:$G$50,MATCH($E321,Divisions!$A$3:$A$50,0)),"")&lt;&gt;"",", "&amp;IFERROR(INDEX(Divisions!$G$3:$G$50,MATCH($E321,Divisions!$A$3:$A$50,0)),""),"")&amp;IF(IFERROR(INDEX(Divisions!$I$3:$I$50,MATCH($E321,Divisions!$A$3:$A$50,0)),"")&lt;&gt;"",", "&amp;IFERROR(INDEX(Divisions!$I$3:$I$50,MATCH($E321,Divisions!$A$3:$A$50,0)),""),"")))</f>
        <v/>
      </c>
    </row>
    <row r="322">
      <c r="F322" s="5">
        <f>IFERROR(INDEX('Company MOA setup'!$B$3:$B$500,MATCH($A322,'Company MOA setup'!$A$3:$A$500,0)),"Division default")</f>
        <v/>
      </c>
      <c r="L322" s="5">
        <f>IF($E322="","",TRIM(IFERROR(INDEX(Divisions!$C$3:$C$50,MATCH($E322,Divisions!$A$3:$A$50,0)),"")&amp;IF(IFERROR(INDEX(Divisions!$E$3:$E$50,MATCH($E322,Divisions!$A$3:$A$50,0)),"")&lt;&gt;"",", "&amp;IFERROR(INDEX(Divisions!$E$3:$E$50,MATCH($E322,Divisions!$A$3:$A$50,0)),""),"")&amp;IF(IFERROR(INDEX(Divisions!$G$3:$G$50,MATCH($E322,Divisions!$A$3:$A$50,0)),"")&lt;&gt;"",", "&amp;IFERROR(INDEX(Divisions!$G$3:$G$50,MATCH($E322,Divisions!$A$3:$A$50,0)),""),"")&amp;IF(IFERROR(INDEX(Divisions!$I$3:$I$50,MATCH($E322,Divisions!$A$3:$A$50,0)),"")&lt;&gt;"",", "&amp;IFERROR(INDEX(Divisions!$I$3:$I$50,MATCH($E322,Divisions!$A$3:$A$50,0)),""),"")))</f>
        <v/>
      </c>
    </row>
    <row r="323">
      <c r="F323" s="5">
        <f>IFERROR(INDEX('Company MOA setup'!$B$3:$B$500,MATCH($A323,'Company MOA setup'!$A$3:$A$500,0)),"Division default")</f>
        <v/>
      </c>
      <c r="L323" s="5">
        <f>IF($E323="","",TRIM(IFERROR(INDEX(Divisions!$C$3:$C$50,MATCH($E323,Divisions!$A$3:$A$50,0)),"")&amp;IF(IFERROR(INDEX(Divisions!$E$3:$E$50,MATCH($E323,Divisions!$A$3:$A$50,0)),"")&lt;&gt;"",", "&amp;IFERROR(INDEX(Divisions!$E$3:$E$50,MATCH($E323,Divisions!$A$3:$A$50,0)),""),"")&amp;IF(IFERROR(INDEX(Divisions!$G$3:$G$50,MATCH($E323,Divisions!$A$3:$A$50,0)),"")&lt;&gt;"",", "&amp;IFERROR(INDEX(Divisions!$G$3:$G$50,MATCH($E323,Divisions!$A$3:$A$50,0)),""),"")&amp;IF(IFERROR(INDEX(Divisions!$I$3:$I$50,MATCH($E323,Divisions!$A$3:$A$50,0)),"")&lt;&gt;"",", "&amp;IFERROR(INDEX(Divisions!$I$3:$I$50,MATCH($E323,Divisions!$A$3:$A$50,0)),""),"")))</f>
        <v/>
      </c>
    </row>
    <row r="324">
      <c r="F324" s="5">
        <f>IFERROR(INDEX('Company MOA setup'!$B$3:$B$500,MATCH($A324,'Company MOA setup'!$A$3:$A$500,0)),"Division default")</f>
        <v/>
      </c>
      <c r="L324" s="5">
        <f>IF($E324="","",TRIM(IFERROR(INDEX(Divisions!$C$3:$C$50,MATCH($E324,Divisions!$A$3:$A$50,0)),"")&amp;IF(IFERROR(INDEX(Divisions!$E$3:$E$50,MATCH($E324,Divisions!$A$3:$A$50,0)),"")&lt;&gt;"",", "&amp;IFERROR(INDEX(Divisions!$E$3:$E$50,MATCH($E324,Divisions!$A$3:$A$50,0)),""),"")&amp;IF(IFERROR(INDEX(Divisions!$G$3:$G$50,MATCH($E324,Divisions!$A$3:$A$50,0)),"")&lt;&gt;"",", "&amp;IFERROR(INDEX(Divisions!$G$3:$G$50,MATCH($E324,Divisions!$A$3:$A$50,0)),""),"")&amp;IF(IFERROR(INDEX(Divisions!$I$3:$I$50,MATCH($E324,Divisions!$A$3:$A$50,0)),"")&lt;&gt;"",", "&amp;IFERROR(INDEX(Divisions!$I$3:$I$50,MATCH($E324,Divisions!$A$3:$A$50,0)),""),"")))</f>
        <v/>
      </c>
    </row>
    <row r="325">
      <c r="F325" s="5">
        <f>IFERROR(INDEX('Company MOA setup'!$B$3:$B$500,MATCH($A325,'Company MOA setup'!$A$3:$A$500,0)),"Division default")</f>
        <v/>
      </c>
      <c r="L325" s="5">
        <f>IF($E325="","",TRIM(IFERROR(INDEX(Divisions!$C$3:$C$50,MATCH($E325,Divisions!$A$3:$A$50,0)),"")&amp;IF(IFERROR(INDEX(Divisions!$E$3:$E$50,MATCH($E325,Divisions!$A$3:$A$50,0)),"")&lt;&gt;"",", "&amp;IFERROR(INDEX(Divisions!$E$3:$E$50,MATCH($E325,Divisions!$A$3:$A$50,0)),""),"")&amp;IF(IFERROR(INDEX(Divisions!$G$3:$G$50,MATCH($E325,Divisions!$A$3:$A$50,0)),"")&lt;&gt;"",", "&amp;IFERROR(INDEX(Divisions!$G$3:$G$50,MATCH($E325,Divisions!$A$3:$A$50,0)),""),"")&amp;IF(IFERROR(INDEX(Divisions!$I$3:$I$50,MATCH($E325,Divisions!$A$3:$A$50,0)),"")&lt;&gt;"",", "&amp;IFERROR(INDEX(Divisions!$I$3:$I$50,MATCH($E325,Divisions!$A$3:$A$50,0)),""),"")))</f>
        <v/>
      </c>
    </row>
    <row r="326">
      <c r="F326" s="5">
        <f>IFERROR(INDEX('Company MOA setup'!$B$3:$B$500,MATCH($A326,'Company MOA setup'!$A$3:$A$500,0)),"Division default")</f>
        <v/>
      </c>
      <c r="L326" s="5">
        <f>IF($E326="","",TRIM(IFERROR(INDEX(Divisions!$C$3:$C$50,MATCH($E326,Divisions!$A$3:$A$50,0)),"")&amp;IF(IFERROR(INDEX(Divisions!$E$3:$E$50,MATCH($E326,Divisions!$A$3:$A$50,0)),"")&lt;&gt;"",", "&amp;IFERROR(INDEX(Divisions!$E$3:$E$50,MATCH($E326,Divisions!$A$3:$A$50,0)),""),"")&amp;IF(IFERROR(INDEX(Divisions!$G$3:$G$50,MATCH($E326,Divisions!$A$3:$A$50,0)),"")&lt;&gt;"",", "&amp;IFERROR(INDEX(Divisions!$G$3:$G$50,MATCH($E326,Divisions!$A$3:$A$50,0)),""),"")&amp;IF(IFERROR(INDEX(Divisions!$I$3:$I$50,MATCH($E326,Divisions!$A$3:$A$50,0)),"")&lt;&gt;"",", "&amp;IFERROR(INDEX(Divisions!$I$3:$I$50,MATCH($E326,Divisions!$A$3:$A$50,0)),""),"")))</f>
        <v/>
      </c>
    </row>
    <row r="327">
      <c r="F327" s="5">
        <f>IFERROR(INDEX('Company MOA setup'!$B$3:$B$500,MATCH($A327,'Company MOA setup'!$A$3:$A$500,0)),"Division default")</f>
        <v/>
      </c>
      <c r="L327" s="5">
        <f>IF($E327="","",TRIM(IFERROR(INDEX(Divisions!$C$3:$C$50,MATCH($E327,Divisions!$A$3:$A$50,0)),"")&amp;IF(IFERROR(INDEX(Divisions!$E$3:$E$50,MATCH($E327,Divisions!$A$3:$A$50,0)),"")&lt;&gt;"",", "&amp;IFERROR(INDEX(Divisions!$E$3:$E$50,MATCH($E327,Divisions!$A$3:$A$50,0)),""),"")&amp;IF(IFERROR(INDEX(Divisions!$G$3:$G$50,MATCH($E327,Divisions!$A$3:$A$50,0)),"")&lt;&gt;"",", "&amp;IFERROR(INDEX(Divisions!$G$3:$G$50,MATCH($E327,Divisions!$A$3:$A$50,0)),""),"")&amp;IF(IFERROR(INDEX(Divisions!$I$3:$I$50,MATCH($E327,Divisions!$A$3:$A$50,0)),"")&lt;&gt;"",", "&amp;IFERROR(INDEX(Divisions!$I$3:$I$50,MATCH($E327,Divisions!$A$3:$A$50,0)),""),"")))</f>
        <v/>
      </c>
    </row>
    <row r="328">
      <c r="F328" s="5">
        <f>IFERROR(INDEX('Company MOA setup'!$B$3:$B$500,MATCH($A328,'Company MOA setup'!$A$3:$A$500,0)),"Division default")</f>
        <v/>
      </c>
      <c r="L328" s="5">
        <f>IF($E328="","",TRIM(IFERROR(INDEX(Divisions!$C$3:$C$50,MATCH($E328,Divisions!$A$3:$A$50,0)),"")&amp;IF(IFERROR(INDEX(Divisions!$E$3:$E$50,MATCH($E328,Divisions!$A$3:$A$50,0)),"")&lt;&gt;"",", "&amp;IFERROR(INDEX(Divisions!$E$3:$E$50,MATCH($E328,Divisions!$A$3:$A$50,0)),""),"")&amp;IF(IFERROR(INDEX(Divisions!$G$3:$G$50,MATCH($E328,Divisions!$A$3:$A$50,0)),"")&lt;&gt;"",", "&amp;IFERROR(INDEX(Divisions!$G$3:$G$50,MATCH($E328,Divisions!$A$3:$A$50,0)),""),"")&amp;IF(IFERROR(INDEX(Divisions!$I$3:$I$50,MATCH($E328,Divisions!$A$3:$A$50,0)),"")&lt;&gt;"",", "&amp;IFERROR(INDEX(Divisions!$I$3:$I$50,MATCH($E328,Divisions!$A$3:$A$50,0)),""),"")))</f>
        <v/>
      </c>
    </row>
    <row r="329">
      <c r="F329" s="5">
        <f>IFERROR(INDEX('Company MOA setup'!$B$3:$B$500,MATCH($A329,'Company MOA setup'!$A$3:$A$500,0)),"Division default")</f>
        <v/>
      </c>
      <c r="L329" s="5">
        <f>IF($E329="","",TRIM(IFERROR(INDEX(Divisions!$C$3:$C$50,MATCH($E329,Divisions!$A$3:$A$50,0)),"")&amp;IF(IFERROR(INDEX(Divisions!$E$3:$E$50,MATCH($E329,Divisions!$A$3:$A$50,0)),"")&lt;&gt;"",", "&amp;IFERROR(INDEX(Divisions!$E$3:$E$50,MATCH($E329,Divisions!$A$3:$A$50,0)),""),"")&amp;IF(IFERROR(INDEX(Divisions!$G$3:$G$50,MATCH($E329,Divisions!$A$3:$A$50,0)),"")&lt;&gt;"",", "&amp;IFERROR(INDEX(Divisions!$G$3:$G$50,MATCH($E329,Divisions!$A$3:$A$50,0)),""),"")&amp;IF(IFERROR(INDEX(Divisions!$I$3:$I$50,MATCH($E329,Divisions!$A$3:$A$50,0)),"")&lt;&gt;"",", "&amp;IFERROR(INDEX(Divisions!$I$3:$I$50,MATCH($E329,Divisions!$A$3:$A$50,0)),""),"")))</f>
        <v/>
      </c>
    </row>
    <row r="330">
      <c r="F330" s="5">
        <f>IFERROR(INDEX('Company MOA setup'!$B$3:$B$500,MATCH($A330,'Company MOA setup'!$A$3:$A$500,0)),"Division default")</f>
        <v/>
      </c>
      <c r="L330" s="5">
        <f>IF($E330="","",TRIM(IFERROR(INDEX(Divisions!$C$3:$C$50,MATCH($E330,Divisions!$A$3:$A$50,0)),"")&amp;IF(IFERROR(INDEX(Divisions!$E$3:$E$50,MATCH($E330,Divisions!$A$3:$A$50,0)),"")&lt;&gt;"",", "&amp;IFERROR(INDEX(Divisions!$E$3:$E$50,MATCH($E330,Divisions!$A$3:$A$50,0)),""),"")&amp;IF(IFERROR(INDEX(Divisions!$G$3:$G$50,MATCH($E330,Divisions!$A$3:$A$50,0)),"")&lt;&gt;"",", "&amp;IFERROR(INDEX(Divisions!$G$3:$G$50,MATCH($E330,Divisions!$A$3:$A$50,0)),""),"")&amp;IF(IFERROR(INDEX(Divisions!$I$3:$I$50,MATCH($E330,Divisions!$A$3:$A$50,0)),"")&lt;&gt;"",", "&amp;IFERROR(INDEX(Divisions!$I$3:$I$50,MATCH($E330,Divisions!$A$3:$A$50,0)),""),"")))</f>
        <v/>
      </c>
    </row>
    <row r="331">
      <c r="F331" s="5">
        <f>IFERROR(INDEX('Company MOA setup'!$B$3:$B$500,MATCH($A331,'Company MOA setup'!$A$3:$A$500,0)),"Division default")</f>
        <v/>
      </c>
      <c r="L331" s="5">
        <f>IF($E331="","",TRIM(IFERROR(INDEX(Divisions!$C$3:$C$50,MATCH($E331,Divisions!$A$3:$A$50,0)),"")&amp;IF(IFERROR(INDEX(Divisions!$E$3:$E$50,MATCH($E331,Divisions!$A$3:$A$50,0)),"")&lt;&gt;"",", "&amp;IFERROR(INDEX(Divisions!$E$3:$E$50,MATCH($E331,Divisions!$A$3:$A$50,0)),""),"")&amp;IF(IFERROR(INDEX(Divisions!$G$3:$G$50,MATCH($E331,Divisions!$A$3:$A$50,0)),"")&lt;&gt;"",", "&amp;IFERROR(INDEX(Divisions!$G$3:$G$50,MATCH($E331,Divisions!$A$3:$A$50,0)),""),"")&amp;IF(IFERROR(INDEX(Divisions!$I$3:$I$50,MATCH($E331,Divisions!$A$3:$A$50,0)),"")&lt;&gt;"",", "&amp;IFERROR(INDEX(Divisions!$I$3:$I$50,MATCH($E331,Divisions!$A$3:$A$50,0)),""),"")))</f>
        <v/>
      </c>
    </row>
    <row r="332">
      <c r="F332" s="5">
        <f>IFERROR(INDEX('Company MOA setup'!$B$3:$B$500,MATCH($A332,'Company MOA setup'!$A$3:$A$500,0)),"Division default")</f>
        <v/>
      </c>
      <c r="L332" s="5">
        <f>IF($E332="","",TRIM(IFERROR(INDEX(Divisions!$C$3:$C$50,MATCH($E332,Divisions!$A$3:$A$50,0)),"")&amp;IF(IFERROR(INDEX(Divisions!$E$3:$E$50,MATCH($E332,Divisions!$A$3:$A$50,0)),"")&lt;&gt;"",", "&amp;IFERROR(INDEX(Divisions!$E$3:$E$50,MATCH($E332,Divisions!$A$3:$A$50,0)),""),"")&amp;IF(IFERROR(INDEX(Divisions!$G$3:$G$50,MATCH($E332,Divisions!$A$3:$A$50,0)),"")&lt;&gt;"",", "&amp;IFERROR(INDEX(Divisions!$G$3:$G$50,MATCH($E332,Divisions!$A$3:$A$50,0)),""),"")&amp;IF(IFERROR(INDEX(Divisions!$I$3:$I$50,MATCH($E332,Divisions!$A$3:$A$50,0)),"")&lt;&gt;"",", "&amp;IFERROR(INDEX(Divisions!$I$3:$I$50,MATCH($E332,Divisions!$A$3:$A$50,0)),""),"")))</f>
        <v/>
      </c>
    </row>
    <row r="333">
      <c r="F333" s="5">
        <f>IFERROR(INDEX('Company MOA setup'!$B$3:$B$500,MATCH($A333,'Company MOA setup'!$A$3:$A$500,0)),"Division default")</f>
        <v/>
      </c>
      <c r="L333" s="5">
        <f>IF($E333="","",TRIM(IFERROR(INDEX(Divisions!$C$3:$C$50,MATCH($E333,Divisions!$A$3:$A$50,0)),"")&amp;IF(IFERROR(INDEX(Divisions!$E$3:$E$50,MATCH($E333,Divisions!$A$3:$A$50,0)),"")&lt;&gt;"",", "&amp;IFERROR(INDEX(Divisions!$E$3:$E$50,MATCH($E333,Divisions!$A$3:$A$50,0)),""),"")&amp;IF(IFERROR(INDEX(Divisions!$G$3:$G$50,MATCH($E333,Divisions!$A$3:$A$50,0)),"")&lt;&gt;"",", "&amp;IFERROR(INDEX(Divisions!$G$3:$G$50,MATCH($E333,Divisions!$A$3:$A$50,0)),""),"")&amp;IF(IFERROR(INDEX(Divisions!$I$3:$I$50,MATCH($E333,Divisions!$A$3:$A$50,0)),"")&lt;&gt;"",", "&amp;IFERROR(INDEX(Divisions!$I$3:$I$50,MATCH($E333,Divisions!$A$3:$A$50,0)),""),"")))</f>
        <v/>
      </c>
    </row>
    <row r="334">
      <c r="F334" s="5">
        <f>IFERROR(INDEX('Company MOA setup'!$B$3:$B$500,MATCH($A334,'Company MOA setup'!$A$3:$A$500,0)),"Division default")</f>
        <v/>
      </c>
      <c r="L334" s="5">
        <f>IF($E334="","",TRIM(IFERROR(INDEX(Divisions!$C$3:$C$50,MATCH($E334,Divisions!$A$3:$A$50,0)),"")&amp;IF(IFERROR(INDEX(Divisions!$E$3:$E$50,MATCH($E334,Divisions!$A$3:$A$50,0)),"")&lt;&gt;"",", "&amp;IFERROR(INDEX(Divisions!$E$3:$E$50,MATCH($E334,Divisions!$A$3:$A$50,0)),""),"")&amp;IF(IFERROR(INDEX(Divisions!$G$3:$G$50,MATCH($E334,Divisions!$A$3:$A$50,0)),"")&lt;&gt;"",", "&amp;IFERROR(INDEX(Divisions!$G$3:$G$50,MATCH($E334,Divisions!$A$3:$A$50,0)),""),"")&amp;IF(IFERROR(INDEX(Divisions!$I$3:$I$50,MATCH($E334,Divisions!$A$3:$A$50,0)),"")&lt;&gt;"",", "&amp;IFERROR(INDEX(Divisions!$I$3:$I$50,MATCH($E334,Divisions!$A$3:$A$50,0)),""),"")))</f>
        <v/>
      </c>
    </row>
    <row r="335">
      <c r="F335" s="5">
        <f>IFERROR(INDEX('Company MOA setup'!$B$3:$B$500,MATCH($A335,'Company MOA setup'!$A$3:$A$500,0)),"Division default")</f>
        <v/>
      </c>
      <c r="L335" s="5">
        <f>IF($E335="","",TRIM(IFERROR(INDEX(Divisions!$C$3:$C$50,MATCH($E335,Divisions!$A$3:$A$50,0)),"")&amp;IF(IFERROR(INDEX(Divisions!$E$3:$E$50,MATCH($E335,Divisions!$A$3:$A$50,0)),"")&lt;&gt;"",", "&amp;IFERROR(INDEX(Divisions!$E$3:$E$50,MATCH($E335,Divisions!$A$3:$A$50,0)),""),"")&amp;IF(IFERROR(INDEX(Divisions!$G$3:$G$50,MATCH($E335,Divisions!$A$3:$A$50,0)),"")&lt;&gt;"",", "&amp;IFERROR(INDEX(Divisions!$G$3:$G$50,MATCH($E335,Divisions!$A$3:$A$50,0)),""),"")&amp;IF(IFERROR(INDEX(Divisions!$I$3:$I$50,MATCH($E335,Divisions!$A$3:$A$50,0)),"")&lt;&gt;"",", "&amp;IFERROR(INDEX(Divisions!$I$3:$I$50,MATCH($E335,Divisions!$A$3:$A$50,0)),""),"")))</f>
        <v/>
      </c>
    </row>
    <row r="336">
      <c r="F336" s="5">
        <f>IFERROR(INDEX('Company MOA setup'!$B$3:$B$500,MATCH($A336,'Company MOA setup'!$A$3:$A$500,0)),"Division default")</f>
        <v/>
      </c>
      <c r="L336" s="5">
        <f>IF($E336="","",TRIM(IFERROR(INDEX(Divisions!$C$3:$C$50,MATCH($E336,Divisions!$A$3:$A$50,0)),"")&amp;IF(IFERROR(INDEX(Divisions!$E$3:$E$50,MATCH($E336,Divisions!$A$3:$A$50,0)),"")&lt;&gt;"",", "&amp;IFERROR(INDEX(Divisions!$E$3:$E$50,MATCH($E336,Divisions!$A$3:$A$50,0)),""),"")&amp;IF(IFERROR(INDEX(Divisions!$G$3:$G$50,MATCH($E336,Divisions!$A$3:$A$50,0)),"")&lt;&gt;"",", "&amp;IFERROR(INDEX(Divisions!$G$3:$G$50,MATCH($E336,Divisions!$A$3:$A$50,0)),""),"")&amp;IF(IFERROR(INDEX(Divisions!$I$3:$I$50,MATCH($E336,Divisions!$A$3:$A$50,0)),"")&lt;&gt;"",", "&amp;IFERROR(INDEX(Divisions!$I$3:$I$50,MATCH($E336,Divisions!$A$3:$A$50,0)),""),"")))</f>
        <v/>
      </c>
    </row>
    <row r="337">
      <c r="F337" s="5">
        <f>IFERROR(INDEX('Company MOA setup'!$B$3:$B$500,MATCH($A337,'Company MOA setup'!$A$3:$A$500,0)),"Division default")</f>
        <v/>
      </c>
      <c r="L337" s="5">
        <f>IF($E337="","",TRIM(IFERROR(INDEX(Divisions!$C$3:$C$50,MATCH($E337,Divisions!$A$3:$A$50,0)),"")&amp;IF(IFERROR(INDEX(Divisions!$E$3:$E$50,MATCH($E337,Divisions!$A$3:$A$50,0)),"")&lt;&gt;"",", "&amp;IFERROR(INDEX(Divisions!$E$3:$E$50,MATCH($E337,Divisions!$A$3:$A$50,0)),""),"")&amp;IF(IFERROR(INDEX(Divisions!$G$3:$G$50,MATCH($E337,Divisions!$A$3:$A$50,0)),"")&lt;&gt;"",", "&amp;IFERROR(INDEX(Divisions!$G$3:$G$50,MATCH($E337,Divisions!$A$3:$A$50,0)),""),"")&amp;IF(IFERROR(INDEX(Divisions!$I$3:$I$50,MATCH($E337,Divisions!$A$3:$A$50,0)),"")&lt;&gt;"",", "&amp;IFERROR(INDEX(Divisions!$I$3:$I$50,MATCH($E337,Divisions!$A$3:$A$50,0)),""),"")))</f>
        <v/>
      </c>
    </row>
    <row r="338">
      <c r="F338" s="5">
        <f>IFERROR(INDEX('Company MOA setup'!$B$3:$B$500,MATCH($A338,'Company MOA setup'!$A$3:$A$500,0)),"Division default")</f>
        <v/>
      </c>
      <c r="L338" s="5">
        <f>IF($E338="","",TRIM(IFERROR(INDEX(Divisions!$C$3:$C$50,MATCH($E338,Divisions!$A$3:$A$50,0)),"")&amp;IF(IFERROR(INDEX(Divisions!$E$3:$E$50,MATCH($E338,Divisions!$A$3:$A$50,0)),"")&lt;&gt;"",", "&amp;IFERROR(INDEX(Divisions!$E$3:$E$50,MATCH($E338,Divisions!$A$3:$A$50,0)),""),"")&amp;IF(IFERROR(INDEX(Divisions!$G$3:$G$50,MATCH($E338,Divisions!$A$3:$A$50,0)),"")&lt;&gt;"",", "&amp;IFERROR(INDEX(Divisions!$G$3:$G$50,MATCH($E338,Divisions!$A$3:$A$50,0)),""),"")&amp;IF(IFERROR(INDEX(Divisions!$I$3:$I$50,MATCH($E338,Divisions!$A$3:$A$50,0)),"")&lt;&gt;"",", "&amp;IFERROR(INDEX(Divisions!$I$3:$I$50,MATCH($E338,Divisions!$A$3:$A$50,0)),""),"")))</f>
        <v/>
      </c>
    </row>
    <row r="339">
      <c r="F339" s="5">
        <f>IFERROR(INDEX('Company MOA setup'!$B$3:$B$500,MATCH($A339,'Company MOA setup'!$A$3:$A$500,0)),"Division default")</f>
        <v/>
      </c>
      <c r="L339" s="5">
        <f>IF($E339="","",TRIM(IFERROR(INDEX(Divisions!$C$3:$C$50,MATCH($E339,Divisions!$A$3:$A$50,0)),"")&amp;IF(IFERROR(INDEX(Divisions!$E$3:$E$50,MATCH($E339,Divisions!$A$3:$A$50,0)),"")&lt;&gt;"",", "&amp;IFERROR(INDEX(Divisions!$E$3:$E$50,MATCH($E339,Divisions!$A$3:$A$50,0)),""),"")&amp;IF(IFERROR(INDEX(Divisions!$G$3:$G$50,MATCH($E339,Divisions!$A$3:$A$50,0)),"")&lt;&gt;"",", "&amp;IFERROR(INDEX(Divisions!$G$3:$G$50,MATCH($E339,Divisions!$A$3:$A$50,0)),""),"")&amp;IF(IFERROR(INDEX(Divisions!$I$3:$I$50,MATCH($E339,Divisions!$A$3:$A$50,0)),"")&lt;&gt;"",", "&amp;IFERROR(INDEX(Divisions!$I$3:$I$50,MATCH($E339,Divisions!$A$3:$A$50,0)),""),"")))</f>
        <v/>
      </c>
    </row>
    <row r="340">
      <c r="F340" s="5">
        <f>IFERROR(INDEX('Company MOA setup'!$B$3:$B$500,MATCH($A340,'Company MOA setup'!$A$3:$A$500,0)),"Division default")</f>
        <v/>
      </c>
      <c r="L340" s="5">
        <f>IF($E340="","",TRIM(IFERROR(INDEX(Divisions!$C$3:$C$50,MATCH($E340,Divisions!$A$3:$A$50,0)),"")&amp;IF(IFERROR(INDEX(Divisions!$E$3:$E$50,MATCH($E340,Divisions!$A$3:$A$50,0)),"")&lt;&gt;"",", "&amp;IFERROR(INDEX(Divisions!$E$3:$E$50,MATCH($E340,Divisions!$A$3:$A$50,0)),""),"")&amp;IF(IFERROR(INDEX(Divisions!$G$3:$G$50,MATCH($E340,Divisions!$A$3:$A$50,0)),"")&lt;&gt;"",", "&amp;IFERROR(INDEX(Divisions!$G$3:$G$50,MATCH($E340,Divisions!$A$3:$A$50,0)),""),"")&amp;IF(IFERROR(INDEX(Divisions!$I$3:$I$50,MATCH($E340,Divisions!$A$3:$A$50,0)),"")&lt;&gt;"",", "&amp;IFERROR(INDEX(Divisions!$I$3:$I$50,MATCH($E340,Divisions!$A$3:$A$50,0)),""),"")))</f>
        <v/>
      </c>
    </row>
    <row r="341">
      <c r="F341" s="5">
        <f>IFERROR(INDEX('Company MOA setup'!$B$3:$B$500,MATCH($A341,'Company MOA setup'!$A$3:$A$500,0)),"Division default")</f>
        <v/>
      </c>
      <c r="L341" s="5">
        <f>IF($E341="","",TRIM(IFERROR(INDEX(Divisions!$C$3:$C$50,MATCH($E341,Divisions!$A$3:$A$50,0)),"")&amp;IF(IFERROR(INDEX(Divisions!$E$3:$E$50,MATCH($E341,Divisions!$A$3:$A$50,0)),"")&lt;&gt;"",", "&amp;IFERROR(INDEX(Divisions!$E$3:$E$50,MATCH($E341,Divisions!$A$3:$A$50,0)),""),"")&amp;IF(IFERROR(INDEX(Divisions!$G$3:$G$50,MATCH($E341,Divisions!$A$3:$A$50,0)),"")&lt;&gt;"",", "&amp;IFERROR(INDEX(Divisions!$G$3:$G$50,MATCH($E341,Divisions!$A$3:$A$50,0)),""),"")&amp;IF(IFERROR(INDEX(Divisions!$I$3:$I$50,MATCH($E341,Divisions!$A$3:$A$50,0)),"")&lt;&gt;"",", "&amp;IFERROR(INDEX(Divisions!$I$3:$I$50,MATCH($E341,Divisions!$A$3:$A$50,0)),""),"")))</f>
        <v/>
      </c>
    </row>
    <row r="342">
      <c r="F342" s="5">
        <f>IFERROR(INDEX('Company MOA setup'!$B$3:$B$500,MATCH($A342,'Company MOA setup'!$A$3:$A$500,0)),"Division default")</f>
        <v/>
      </c>
      <c r="L342" s="5">
        <f>IF($E342="","",TRIM(IFERROR(INDEX(Divisions!$C$3:$C$50,MATCH($E342,Divisions!$A$3:$A$50,0)),"")&amp;IF(IFERROR(INDEX(Divisions!$E$3:$E$50,MATCH($E342,Divisions!$A$3:$A$50,0)),"")&lt;&gt;"",", "&amp;IFERROR(INDEX(Divisions!$E$3:$E$50,MATCH($E342,Divisions!$A$3:$A$50,0)),""),"")&amp;IF(IFERROR(INDEX(Divisions!$G$3:$G$50,MATCH($E342,Divisions!$A$3:$A$50,0)),"")&lt;&gt;"",", "&amp;IFERROR(INDEX(Divisions!$G$3:$G$50,MATCH($E342,Divisions!$A$3:$A$50,0)),""),"")&amp;IF(IFERROR(INDEX(Divisions!$I$3:$I$50,MATCH($E342,Divisions!$A$3:$A$50,0)),"")&lt;&gt;"",", "&amp;IFERROR(INDEX(Divisions!$I$3:$I$50,MATCH($E342,Divisions!$A$3:$A$50,0)),""),"")))</f>
        <v/>
      </c>
    </row>
    <row r="343">
      <c r="F343" s="5">
        <f>IFERROR(INDEX('Company MOA setup'!$B$3:$B$500,MATCH($A343,'Company MOA setup'!$A$3:$A$500,0)),"Division default")</f>
        <v/>
      </c>
      <c r="L343" s="5">
        <f>IF($E343="","",TRIM(IFERROR(INDEX(Divisions!$C$3:$C$50,MATCH($E343,Divisions!$A$3:$A$50,0)),"")&amp;IF(IFERROR(INDEX(Divisions!$E$3:$E$50,MATCH($E343,Divisions!$A$3:$A$50,0)),"")&lt;&gt;"",", "&amp;IFERROR(INDEX(Divisions!$E$3:$E$50,MATCH($E343,Divisions!$A$3:$A$50,0)),""),"")&amp;IF(IFERROR(INDEX(Divisions!$G$3:$G$50,MATCH($E343,Divisions!$A$3:$A$50,0)),"")&lt;&gt;"",", "&amp;IFERROR(INDEX(Divisions!$G$3:$G$50,MATCH($E343,Divisions!$A$3:$A$50,0)),""),"")&amp;IF(IFERROR(INDEX(Divisions!$I$3:$I$50,MATCH($E343,Divisions!$A$3:$A$50,0)),"")&lt;&gt;"",", "&amp;IFERROR(INDEX(Divisions!$I$3:$I$50,MATCH($E343,Divisions!$A$3:$A$50,0)),""),"")))</f>
        <v/>
      </c>
    </row>
    <row r="344">
      <c r="F344" s="5">
        <f>IFERROR(INDEX('Company MOA setup'!$B$3:$B$500,MATCH($A344,'Company MOA setup'!$A$3:$A$500,0)),"Division default")</f>
        <v/>
      </c>
      <c r="L344" s="5">
        <f>IF($E344="","",TRIM(IFERROR(INDEX(Divisions!$C$3:$C$50,MATCH($E344,Divisions!$A$3:$A$50,0)),"")&amp;IF(IFERROR(INDEX(Divisions!$E$3:$E$50,MATCH($E344,Divisions!$A$3:$A$50,0)),"")&lt;&gt;"",", "&amp;IFERROR(INDEX(Divisions!$E$3:$E$50,MATCH($E344,Divisions!$A$3:$A$50,0)),""),"")&amp;IF(IFERROR(INDEX(Divisions!$G$3:$G$50,MATCH($E344,Divisions!$A$3:$A$50,0)),"")&lt;&gt;"",", "&amp;IFERROR(INDEX(Divisions!$G$3:$G$50,MATCH($E344,Divisions!$A$3:$A$50,0)),""),"")&amp;IF(IFERROR(INDEX(Divisions!$I$3:$I$50,MATCH($E344,Divisions!$A$3:$A$50,0)),"")&lt;&gt;"",", "&amp;IFERROR(INDEX(Divisions!$I$3:$I$50,MATCH($E344,Divisions!$A$3:$A$50,0)),""),"")))</f>
        <v/>
      </c>
    </row>
    <row r="345">
      <c r="F345" s="5">
        <f>IFERROR(INDEX('Company MOA setup'!$B$3:$B$500,MATCH($A345,'Company MOA setup'!$A$3:$A$500,0)),"Division default")</f>
        <v/>
      </c>
      <c r="L345" s="5">
        <f>IF($E345="","",TRIM(IFERROR(INDEX(Divisions!$C$3:$C$50,MATCH($E345,Divisions!$A$3:$A$50,0)),"")&amp;IF(IFERROR(INDEX(Divisions!$E$3:$E$50,MATCH($E345,Divisions!$A$3:$A$50,0)),"")&lt;&gt;"",", "&amp;IFERROR(INDEX(Divisions!$E$3:$E$50,MATCH($E345,Divisions!$A$3:$A$50,0)),""),"")&amp;IF(IFERROR(INDEX(Divisions!$G$3:$G$50,MATCH($E345,Divisions!$A$3:$A$50,0)),"")&lt;&gt;"",", "&amp;IFERROR(INDEX(Divisions!$G$3:$G$50,MATCH($E345,Divisions!$A$3:$A$50,0)),""),"")&amp;IF(IFERROR(INDEX(Divisions!$I$3:$I$50,MATCH($E345,Divisions!$A$3:$A$50,0)),"")&lt;&gt;"",", "&amp;IFERROR(INDEX(Divisions!$I$3:$I$50,MATCH($E345,Divisions!$A$3:$A$50,0)),""),"")))</f>
        <v/>
      </c>
    </row>
    <row r="346">
      <c r="F346" s="5">
        <f>IFERROR(INDEX('Company MOA setup'!$B$3:$B$500,MATCH($A346,'Company MOA setup'!$A$3:$A$500,0)),"Division default")</f>
        <v/>
      </c>
      <c r="L346" s="5">
        <f>IF($E346="","",TRIM(IFERROR(INDEX(Divisions!$C$3:$C$50,MATCH($E346,Divisions!$A$3:$A$50,0)),"")&amp;IF(IFERROR(INDEX(Divisions!$E$3:$E$50,MATCH($E346,Divisions!$A$3:$A$50,0)),"")&lt;&gt;"",", "&amp;IFERROR(INDEX(Divisions!$E$3:$E$50,MATCH($E346,Divisions!$A$3:$A$50,0)),""),"")&amp;IF(IFERROR(INDEX(Divisions!$G$3:$G$50,MATCH($E346,Divisions!$A$3:$A$50,0)),"")&lt;&gt;"",", "&amp;IFERROR(INDEX(Divisions!$G$3:$G$50,MATCH($E346,Divisions!$A$3:$A$50,0)),""),"")&amp;IF(IFERROR(INDEX(Divisions!$I$3:$I$50,MATCH($E346,Divisions!$A$3:$A$50,0)),"")&lt;&gt;"",", "&amp;IFERROR(INDEX(Divisions!$I$3:$I$50,MATCH($E346,Divisions!$A$3:$A$50,0)),""),"")))</f>
        <v/>
      </c>
    </row>
    <row r="347">
      <c r="F347" s="5">
        <f>IFERROR(INDEX('Company MOA setup'!$B$3:$B$500,MATCH($A347,'Company MOA setup'!$A$3:$A$500,0)),"Division default")</f>
        <v/>
      </c>
      <c r="L347" s="5">
        <f>IF($E347="","",TRIM(IFERROR(INDEX(Divisions!$C$3:$C$50,MATCH($E347,Divisions!$A$3:$A$50,0)),"")&amp;IF(IFERROR(INDEX(Divisions!$E$3:$E$50,MATCH($E347,Divisions!$A$3:$A$50,0)),"")&lt;&gt;"",", "&amp;IFERROR(INDEX(Divisions!$E$3:$E$50,MATCH($E347,Divisions!$A$3:$A$50,0)),""),"")&amp;IF(IFERROR(INDEX(Divisions!$G$3:$G$50,MATCH($E347,Divisions!$A$3:$A$50,0)),"")&lt;&gt;"",", "&amp;IFERROR(INDEX(Divisions!$G$3:$G$50,MATCH($E347,Divisions!$A$3:$A$50,0)),""),"")&amp;IF(IFERROR(INDEX(Divisions!$I$3:$I$50,MATCH($E347,Divisions!$A$3:$A$50,0)),"")&lt;&gt;"",", "&amp;IFERROR(INDEX(Divisions!$I$3:$I$50,MATCH($E347,Divisions!$A$3:$A$50,0)),""),"")))</f>
        <v/>
      </c>
    </row>
    <row r="348">
      <c r="F348" s="5">
        <f>IFERROR(INDEX('Company MOA setup'!$B$3:$B$500,MATCH($A348,'Company MOA setup'!$A$3:$A$500,0)),"Division default")</f>
        <v/>
      </c>
      <c r="L348" s="5">
        <f>IF($E348="","",TRIM(IFERROR(INDEX(Divisions!$C$3:$C$50,MATCH($E348,Divisions!$A$3:$A$50,0)),"")&amp;IF(IFERROR(INDEX(Divisions!$E$3:$E$50,MATCH($E348,Divisions!$A$3:$A$50,0)),"")&lt;&gt;"",", "&amp;IFERROR(INDEX(Divisions!$E$3:$E$50,MATCH($E348,Divisions!$A$3:$A$50,0)),""),"")&amp;IF(IFERROR(INDEX(Divisions!$G$3:$G$50,MATCH($E348,Divisions!$A$3:$A$50,0)),"")&lt;&gt;"",", "&amp;IFERROR(INDEX(Divisions!$G$3:$G$50,MATCH($E348,Divisions!$A$3:$A$50,0)),""),"")&amp;IF(IFERROR(INDEX(Divisions!$I$3:$I$50,MATCH($E348,Divisions!$A$3:$A$50,0)),"")&lt;&gt;"",", "&amp;IFERROR(INDEX(Divisions!$I$3:$I$50,MATCH($E348,Divisions!$A$3:$A$50,0)),""),"")))</f>
        <v/>
      </c>
    </row>
    <row r="349">
      <c r="F349" s="5">
        <f>IFERROR(INDEX('Company MOA setup'!$B$3:$B$500,MATCH($A349,'Company MOA setup'!$A$3:$A$500,0)),"Division default")</f>
        <v/>
      </c>
      <c r="L349" s="5">
        <f>IF($E349="","",TRIM(IFERROR(INDEX(Divisions!$C$3:$C$50,MATCH($E349,Divisions!$A$3:$A$50,0)),"")&amp;IF(IFERROR(INDEX(Divisions!$E$3:$E$50,MATCH($E349,Divisions!$A$3:$A$50,0)),"")&lt;&gt;"",", "&amp;IFERROR(INDEX(Divisions!$E$3:$E$50,MATCH($E349,Divisions!$A$3:$A$50,0)),""),"")&amp;IF(IFERROR(INDEX(Divisions!$G$3:$G$50,MATCH($E349,Divisions!$A$3:$A$50,0)),"")&lt;&gt;"",", "&amp;IFERROR(INDEX(Divisions!$G$3:$G$50,MATCH($E349,Divisions!$A$3:$A$50,0)),""),"")&amp;IF(IFERROR(INDEX(Divisions!$I$3:$I$50,MATCH($E349,Divisions!$A$3:$A$50,0)),"")&lt;&gt;"",", "&amp;IFERROR(INDEX(Divisions!$I$3:$I$50,MATCH($E349,Divisions!$A$3:$A$50,0)),""),"")))</f>
        <v/>
      </c>
    </row>
    <row r="350">
      <c r="F350" s="5">
        <f>IFERROR(INDEX('Company MOA setup'!$B$3:$B$500,MATCH($A350,'Company MOA setup'!$A$3:$A$500,0)),"Division default")</f>
        <v/>
      </c>
      <c r="L350" s="5">
        <f>IF($E350="","",TRIM(IFERROR(INDEX(Divisions!$C$3:$C$50,MATCH($E350,Divisions!$A$3:$A$50,0)),"")&amp;IF(IFERROR(INDEX(Divisions!$E$3:$E$50,MATCH($E350,Divisions!$A$3:$A$50,0)),"")&lt;&gt;"",", "&amp;IFERROR(INDEX(Divisions!$E$3:$E$50,MATCH($E350,Divisions!$A$3:$A$50,0)),""),"")&amp;IF(IFERROR(INDEX(Divisions!$G$3:$G$50,MATCH($E350,Divisions!$A$3:$A$50,0)),"")&lt;&gt;"",", "&amp;IFERROR(INDEX(Divisions!$G$3:$G$50,MATCH($E350,Divisions!$A$3:$A$50,0)),""),"")&amp;IF(IFERROR(INDEX(Divisions!$I$3:$I$50,MATCH($E350,Divisions!$A$3:$A$50,0)),"")&lt;&gt;"",", "&amp;IFERROR(INDEX(Divisions!$I$3:$I$50,MATCH($E350,Divisions!$A$3:$A$50,0)),""),"")))</f>
        <v/>
      </c>
    </row>
    <row r="351">
      <c r="F351" s="5">
        <f>IFERROR(INDEX('Company MOA setup'!$B$3:$B$500,MATCH($A351,'Company MOA setup'!$A$3:$A$500,0)),"Division default")</f>
        <v/>
      </c>
      <c r="L351" s="5">
        <f>IF($E351="","",TRIM(IFERROR(INDEX(Divisions!$C$3:$C$50,MATCH($E351,Divisions!$A$3:$A$50,0)),"")&amp;IF(IFERROR(INDEX(Divisions!$E$3:$E$50,MATCH($E351,Divisions!$A$3:$A$50,0)),"")&lt;&gt;"",", "&amp;IFERROR(INDEX(Divisions!$E$3:$E$50,MATCH($E351,Divisions!$A$3:$A$50,0)),""),"")&amp;IF(IFERROR(INDEX(Divisions!$G$3:$G$50,MATCH($E351,Divisions!$A$3:$A$50,0)),"")&lt;&gt;"",", "&amp;IFERROR(INDEX(Divisions!$G$3:$G$50,MATCH($E351,Divisions!$A$3:$A$50,0)),""),"")&amp;IF(IFERROR(INDEX(Divisions!$I$3:$I$50,MATCH($E351,Divisions!$A$3:$A$50,0)),"")&lt;&gt;"",", "&amp;IFERROR(INDEX(Divisions!$I$3:$I$50,MATCH($E351,Divisions!$A$3:$A$50,0)),""),"")))</f>
        <v/>
      </c>
    </row>
    <row r="352">
      <c r="F352" s="5">
        <f>IFERROR(INDEX('Company MOA setup'!$B$3:$B$500,MATCH($A352,'Company MOA setup'!$A$3:$A$500,0)),"Division default")</f>
        <v/>
      </c>
      <c r="L352" s="5">
        <f>IF($E352="","",TRIM(IFERROR(INDEX(Divisions!$C$3:$C$50,MATCH($E352,Divisions!$A$3:$A$50,0)),"")&amp;IF(IFERROR(INDEX(Divisions!$E$3:$E$50,MATCH($E352,Divisions!$A$3:$A$50,0)),"")&lt;&gt;"",", "&amp;IFERROR(INDEX(Divisions!$E$3:$E$50,MATCH($E352,Divisions!$A$3:$A$50,0)),""),"")&amp;IF(IFERROR(INDEX(Divisions!$G$3:$G$50,MATCH($E352,Divisions!$A$3:$A$50,0)),"")&lt;&gt;"",", "&amp;IFERROR(INDEX(Divisions!$G$3:$G$50,MATCH($E352,Divisions!$A$3:$A$50,0)),""),"")&amp;IF(IFERROR(INDEX(Divisions!$I$3:$I$50,MATCH($E352,Divisions!$A$3:$A$50,0)),"")&lt;&gt;"",", "&amp;IFERROR(INDEX(Divisions!$I$3:$I$50,MATCH($E352,Divisions!$A$3:$A$50,0)),""),"")))</f>
        <v/>
      </c>
    </row>
    <row r="353">
      <c r="F353" s="5">
        <f>IFERROR(INDEX('Company MOA setup'!$B$3:$B$500,MATCH($A353,'Company MOA setup'!$A$3:$A$500,0)),"Division default")</f>
        <v/>
      </c>
      <c r="L353" s="5">
        <f>IF($E353="","",TRIM(IFERROR(INDEX(Divisions!$C$3:$C$50,MATCH($E353,Divisions!$A$3:$A$50,0)),"")&amp;IF(IFERROR(INDEX(Divisions!$E$3:$E$50,MATCH($E353,Divisions!$A$3:$A$50,0)),"")&lt;&gt;"",", "&amp;IFERROR(INDEX(Divisions!$E$3:$E$50,MATCH($E353,Divisions!$A$3:$A$50,0)),""),"")&amp;IF(IFERROR(INDEX(Divisions!$G$3:$G$50,MATCH($E353,Divisions!$A$3:$A$50,0)),"")&lt;&gt;"",", "&amp;IFERROR(INDEX(Divisions!$G$3:$G$50,MATCH($E353,Divisions!$A$3:$A$50,0)),""),"")&amp;IF(IFERROR(INDEX(Divisions!$I$3:$I$50,MATCH($E353,Divisions!$A$3:$A$50,0)),"")&lt;&gt;"",", "&amp;IFERROR(INDEX(Divisions!$I$3:$I$50,MATCH($E353,Divisions!$A$3:$A$50,0)),""),"")))</f>
        <v/>
      </c>
    </row>
    <row r="354">
      <c r="F354" s="5">
        <f>IFERROR(INDEX('Company MOA setup'!$B$3:$B$500,MATCH($A354,'Company MOA setup'!$A$3:$A$500,0)),"Division default")</f>
        <v/>
      </c>
      <c r="L354" s="5">
        <f>IF($E354="","",TRIM(IFERROR(INDEX(Divisions!$C$3:$C$50,MATCH($E354,Divisions!$A$3:$A$50,0)),"")&amp;IF(IFERROR(INDEX(Divisions!$E$3:$E$50,MATCH($E354,Divisions!$A$3:$A$50,0)),"")&lt;&gt;"",", "&amp;IFERROR(INDEX(Divisions!$E$3:$E$50,MATCH($E354,Divisions!$A$3:$A$50,0)),""),"")&amp;IF(IFERROR(INDEX(Divisions!$G$3:$G$50,MATCH($E354,Divisions!$A$3:$A$50,0)),"")&lt;&gt;"",", "&amp;IFERROR(INDEX(Divisions!$G$3:$G$50,MATCH($E354,Divisions!$A$3:$A$50,0)),""),"")&amp;IF(IFERROR(INDEX(Divisions!$I$3:$I$50,MATCH($E354,Divisions!$A$3:$A$50,0)),"")&lt;&gt;"",", "&amp;IFERROR(INDEX(Divisions!$I$3:$I$50,MATCH($E354,Divisions!$A$3:$A$50,0)),""),"")))</f>
        <v/>
      </c>
    </row>
    <row r="355">
      <c r="F355" s="5">
        <f>IFERROR(INDEX('Company MOA setup'!$B$3:$B$500,MATCH($A355,'Company MOA setup'!$A$3:$A$500,0)),"Division default")</f>
        <v/>
      </c>
      <c r="L355" s="5">
        <f>IF($E355="","",TRIM(IFERROR(INDEX(Divisions!$C$3:$C$50,MATCH($E355,Divisions!$A$3:$A$50,0)),"")&amp;IF(IFERROR(INDEX(Divisions!$E$3:$E$50,MATCH($E355,Divisions!$A$3:$A$50,0)),"")&lt;&gt;"",", "&amp;IFERROR(INDEX(Divisions!$E$3:$E$50,MATCH($E355,Divisions!$A$3:$A$50,0)),""),"")&amp;IF(IFERROR(INDEX(Divisions!$G$3:$G$50,MATCH($E355,Divisions!$A$3:$A$50,0)),"")&lt;&gt;"",", "&amp;IFERROR(INDEX(Divisions!$G$3:$G$50,MATCH($E355,Divisions!$A$3:$A$50,0)),""),"")&amp;IF(IFERROR(INDEX(Divisions!$I$3:$I$50,MATCH($E355,Divisions!$A$3:$A$50,0)),"")&lt;&gt;"",", "&amp;IFERROR(INDEX(Divisions!$I$3:$I$50,MATCH($E355,Divisions!$A$3:$A$50,0)),""),"")))</f>
        <v/>
      </c>
    </row>
    <row r="356">
      <c r="F356" s="5">
        <f>IFERROR(INDEX('Company MOA setup'!$B$3:$B$500,MATCH($A356,'Company MOA setup'!$A$3:$A$500,0)),"Division default")</f>
        <v/>
      </c>
      <c r="L356" s="5">
        <f>IF($E356="","",TRIM(IFERROR(INDEX(Divisions!$C$3:$C$50,MATCH($E356,Divisions!$A$3:$A$50,0)),"")&amp;IF(IFERROR(INDEX(Divisions!$E$3:$E$50,MATCH($E356,Divisions!$A$3:$A$50,0)),"")&lt;&gt;"",", "&amp;IFERROR(INDEX(Divisions!$E$3:$E$50,MATCH($E356,Divisions!$A$3:$A$50,0)),""),"")&amp;IF(IFERROR(INDEX(Divisions!$G$3:$G$50,MATCH($E356,Divisions!$A$3:$A$50,0)),"")&lt;&gt;"",", "&amp;IFERROR(INDEX(Divisions!$G$3:$G$50,MATCH($E356,Divisions!$A$3:$A$50,0)),""),"")&amp;IF(IFERROR(INDEX(Divisions!$I$3:$I$50,MATCH($E356,Divisions!$A$3:$A$50,0)),"")&lt;&gt;"",", "&amp;IFERROR(INDEX(Divisions!$I$3:$I$50,MATCH($E356,Divisions!$A$3:$A$50,0)),""),"")))</f>
        <v/>
      </c>
    </row>
    <row r="357">
      <c r="F357" s="5">
        <f>IFERROR(INDEX('Company MOA setup'!$B$3:$B$500,MATCH($A357,'Company MOA setup'!$A$3:$A$500,0)),"Division default")</f>
        <v/>
      </c>
      <c r="L357" s="5">
        <f>IF($E357="","",TRIM(IFERROR(INDEX(Divisions!$C$3:$C$50,MATCH($E357,Divisions!$A$3:$A$50,0)),"")&amp;IF(IFERROR(INDEX(Divisions!$E$3:$E$50,MATCH($E357,Divisions!$A$3:$A$50,0)),"")&lt;&gt;"",", "&amp;IFERROR(INDEX(Divisions!$E$3:$E$50,MATCH($E357,Divisions!$A$3:$A$50,0)),""),"")&amp;IF(IFERROR(INDEX(Divisions!$G$3:$G$50,MATCH($E357,Divisions!$A$3:$A$50,0)),"")&lt;&gt;"",", "&amp;IFERROR(INDEX(Divisions!$G$3:$G$50,MATCH($E357,Divisions!$A$3:$A$50,0)),""),"")&amp;IF(IFERROR(INDEX(Divisions!$I$3:$I$50,MATCH($E357,Divisions!$A$3:$A$50,0)),"")&lt;&gt;"",", "&amp;IFERROR(INDEX(Divisions!$I$3:$I$50,MATCH($E357,Divisions!$A$3:$A$50,0)),""),"")))</f>
        <v/>
      </c>
    </row>
    <row r="358">
      <c r="F358" s="5">
        <f>IFERROR(INDEX('Company MOA setup'!$B$3:$B$500,MATCH($A358,'Company MOA setup'!$A$3:$A$500,0)),"Division default")</f>
        <v/>
      </c>
      <c r="L358" s="5">
        <f>IF($E358="","",TRIM(IFERROR(INDEX(Divisions!$C$3:$C$50,MATCH($E358,Divisions!$A$3:$A$50,0)),"")&amp;IF(IFERROR(INDEX(Divisions!$E$3:$E$50,MATCH($E358,Divisions!$A$3:$A$50,0)),"")&lt;&gt;"",", "&amp;IFERROR(INDEX(Divisions!$E$3:$E$50,MATCH($E358,Divisions!$A$3:$A$50,0)),""),"")&amp;IF(IFERROR(INDEX(Divisions!$G$3:$G$50,MATCH($E358,Divisions!$A$3:$A$50,0)),"")&lt;&gt;"",", "&amp;IFERROR(INDEX(Divisions!$G$3:$G$50,MATCH($E358,Divisions!$A$3:$A$50,0)),""),"")&amp;IF(IFERROR(INDEX(Divisions!$I$3:$I$50,MATCH($E358,Divisions!$A$3:$A$50,0)),"")&lt;&gt;"",", "&amp;IFERROR(INDEX(Divisions!$I$3:$I$50,MATCH($E358,Divisions!$A$3:$A$50,0)),""),"")))</f>
        <v/>
      </c>
    </row>
    <row r="359">
      <c r="F359" s="5">
        <f>IFERROR(INDEX('Company MOA setup'!$B$3:$B$500,MATCH($A359,'Company MOA setup'!$A$3:$A$500,0)),"Division default")</f>
        <v/>
      </c>
      <c r="L359" s="5">
        <f>IF($E359="","",TRIM(IFERROR(INDEX(Divisions!$C$3:$C$50,MATCH($E359,Divisions!$A$3:$A$50,0)),"")&amp;IF(IFERROR(INDEX(Divisions!$E$3:$E$50,MATCH($E359,Divisions!$A$3:$A$50,0)),"")&lt;&gt;"",", "&amp;IFERROR(INDEX(Divisions!$E$3:$E$50,MATCH($E359,Divisions!$A$3:$A$50,0)),""),"")&amp;IF(IFERROR(INDEX(Divisions!$G$3:$G$50,MATCH($E359,Divisions!$A$3:$A$50,0)),"")&lt;&gt;"",", "&amp;IFERROR(INDEX(Divisions!$G$3:$G$50,MATCH($E359,Divisions!$A$3:$A$50,0)),""),"")&amp;IF(IFERROR(INDEX(Divisions!$I$3:$I$50,MATCH($E359,Divisions!$A$3:$A$50,0)),"")&lt;&gt;"",", "&amp;IFERROR(INDEX(Divisions!$I$3:$I$50,MATCH($E359,Divisions!$A$3:$A$50,0)),""),"")))</f>
        <v/>
      </c>
    </row>
    <row r="360">
      <c r="F360" s="5">
        <f>IFERROR(INDEX('Company MOA setup'!$B$3:$B$500,MATCH($A360,'Company MOA setup'!$A$3:$A$500,0)),"Division default")</f>
        <v/>
      </c>
      <c r="L360" s="5">
        <f>IF($E360="","",TRIM(IFERROR(INDEX(Divisions!$C$3:$C$50,MATCH($E360,Divisions!$A$3:$A$50,0)),"")&amp;IF(IFERROR(INDEX(Divisions!$E$3:$E$50,MATCH($E360,Divisions!$A$3:$A$50,0)),"")&lt;&gt;"",", "&amp;IFERROR(INDEX(Divisions!$E$3:$E$50,MATCH($E360,Divisions!$A$3:$A$50,0)),""),"")&amp;IF(IFERROR(INDEX(Divisions!$G$3:$G$50,MATCH($E360,Divisions!$A$3:$A$50,0)),"")&lt;&gt;"",", "&amp;IFERROR(INDEX(Divisions!$G$3:$G$50,MATCH($E360,Divisions!$A$3:$A$50,0)),""),"")&amp;IF(IFERROR(INDEX(Divisions!$I$3:$I$50,MATCH($E360,Divisions!$A$3:$A$50,0)),"")&lt;&gt;"",", "&amp;IFERROR(INDEX(Divisions!$I$3:$I$50,MATCH($E360,Divisions!$A$3:$A$50,0)),""),"")))</f>
        <v/>
      </c>
    </row>
    <row r="361">
      <c r="F361" s="5">
        <f>IFERROR(INDEX('Company MOA setup'!$B$3:$B$500,MATCH($A361,'Company MOA setup'!$A$3:$A$500,0)),"Division default")</f>
        <v/>
      </c>
      <c r="L361" s="5">
        <f>IF($E361="","",TRIM(IFERROR(INDEX(Divisions!$C$3:$C$50,MATCH($E361,Divisions!$A$3:$A$50,0)),"")&amp;IF(IFERROR(INDEX(Divisions!$E$3:$E$50,MATCH($E361,Divisions!$A$3:$A$50,0)),"")&lt;&gt;"",", "&amp;IFERROR(INDEX(Divisions!$E$3:$E$50,MATCH($E361,Divisions!$A$3:$A$50,0)),""),"")&amp;IF(IFERROR(INDEX(Divisions!$G$3:$G$50,MATCH($E361,Divisions!$A$3:$A$50,0)),"")&lt;&gt;"",", "&amp;IFERROR(INDEX(Divisions!$G$3:$G$50,MATCH($E361,Divisions!$A$3:$A$50,0)),""),"")&amp;IF(IFERROR(INDEX(Divisions!$I$3:$I$50,MATCH($E361,Divisions!$A$3:$A$50,0)),"")&lt;&gt;"",", "&amp;IFERROR(INDEX(Divisions!$I$3:$I$50,MATCH($E361,Divisions!$A$3:$A$50,0)),""),"")))</f>
        <v/>
      </c>
    </row>
    <row r="362">
      <c r="F362" s="5">
        <f>IFERROR(INDEX('Company MOA setup'!$B$3:$B$500,MATCH($A362,'Company MOA setup'!$A$3:$A$500,0)),"Division default")</f>
        <v/>
      </c>
      <c r="L362" s="5">
        <f>IF($E362="","",TRIM(IFERROR(INDEX(Divisions!$C$3:$C$50,MATCH($E362,Divisions!$A$3:$A$50,0)),"")&amp;IF(IFERROR(INDEX(Divisions!$E$3:$E$50,MATCH($E362,Divisions!$A$3:$A$50,0)),"")&lt;&gt;"",", "&amp;IFERROR(INDEX(Divisions!$E$3:$E$50,MATCH($E362,Divisions!$A$3:$A$50,0)),""),"")&amp;IF(IFERROR(INDEX(Divisions!$G$3:$G$50,MATCH($E362,Divisions!$A$3:$A$50,0)),"")&lt;&gt;"",", "&amp;IFERROR(INDEX(Divisions!$G$3:$G$50,MATCH($E362,Divisions!$A$3:$A$50,0)),""),"")&amp;IF(IFERROR(INDEX(Divisions!$I$3:$I$50,MATCH($E362,Divisions!$A$3:$A$50,0)),"")&lt;&gt;"",", "&amp;IFERROR(INDEX(Divisions!$I$3:$I$50,MATCH($E362,Divisions!$A$3:$A$50,0)),""),"")))</f>
        <v/>
      </c>
    </row>
    <row r="363">
      <c r="F363" s="5">
        <f>IFERROR(INDEX('Company MOA setup'!$B$3:$B$500,MATCH($A363,'Company MOA setup'!$A$3:$A$500,0)),"Division default")</f>
        <v/>
      </c>
      <c r="L363" s="5">
        <f>IF($E363="","",TRIM(IFERROR(INDEX(Divisions!$C$3:$C$50,MATCH($E363,Divisions!$A$3:$A$50,0)),"")&amp;IF(IFERROR(INDEX(Divisions!$E$3:$E$50,MATCH($E363,Divisions!$A$3:$A$50,0)),"")&lt;&gt;"",", "&amp;IFERROR(INDEX(Divisions!$E$3:$E$50,MATCH($E363,Divisions!$A$3:$A$50,0)),""),"")&amp;IF(IFERROR(INDEX(Divisions!$G$3:$G$50,MATCH($E363,Divisions!$A$3:$A$50,0)),"")&lt;&gt;"",", "&amp;IFERROR(INDEX(Divisions!$G$3:$G$50,MATCH($E363,Divisions!$A$3:$A$50,0)),""),"")&amp;IF(IFERROR(INDEX(Divisions!$I$3:$I$50,MATCH($E363,Divisions!$A$3:$A$50,0)),"")&lt;&gt;"",", "&amp;IFERROR(INDEX(Divisions!$I$3:$I$50,MATCH($E363,Divisions!$A$3:$A$50,0)),""),"")))</f>
        <v/>
      </c>
    </row>
    <row r="364">
      <c r="F364" s="5">
        <f>IFERROR(INDEX('Company MOA setup'!$B$3:$B$500,MATCH($A364,'Company MOA setup'!$A$3:$A$500,0)),"Division default")</f>
        <v/>
      </c>
      <c r="L364" s="5">
        <f>IF($E364="","",TRIM(IFERROR(INDEX(Divisions!$C$3:$C$50,MATCH($E364,Divisions!$A$3:$A$50,0)),"")&amp;IF(IFERROR(INDEX(Divisions!$E$3:$E$50,MATCH($E364,Divisions!$A$3:$A$50,0)),"")&lt;&gt;"",", "&amp;IFERROR(INDEX(Divisions!$E$3:$E$50,MATCH($E364,Divisions!$A$3:$A$50,0)),""),"")&amp;IF(IFERROR(INDEX(Divisions!$G$3:$G$50,MATCH($E364,Divisions!$A$3:$A$50,0)),"")&lt;&gt;"",", "&amp;IFERROR(INDEX(Divisions!$G$3:$G$50,MATCH($E364,Divisions!$A$3:$A$50,0)),""),"")&amp;IF(IFERROR(INDEX(Divisions!$I$3:$I$50,MATCH($E364,Divisions!$A$3:$A$50,0)),"")&lt;&gt;"",", "&amp;IFERROR(INDEX(Divisions!$I$3:$I$50,MATCH($E364,Divisions!$A$3:$A$50,0)),""),"")))</f>
        <v/>
      </c>
    </row>
    <row r="365">
      <c r="F365" s="5">
        <f>IFERROR(INDEX('Company MOA setup'!$B$3:$B$500,MATCH($A365,'Company MOA setup'!$A$3:$A$500,0)),"Division default")</f>
        <v/>
      </c>
      <c r="L365" s="5">
        <f>IF($E365="","",TRIM(IFERROR(INDEX(Divisions!$C$3:$C$50,MATCH($E365,Divisions!$A$3:$A$50,0)),"")&amp;IF(IFERROR(INDEX(Divisions!$E$3:$E$50,MATCH($E365,Divisions!$A$3:$A$50,0)),"")&lt;&gt;"",", "&amp;IFERROR(INDEX(Divisions!$E$3:$E$50,MATCH($E365,Divisions!$A$3:$A$50,0)),""),"")&amp;IF(IFERROR(INDEX(Divisions!$G$3:$G$50,MATCH($E365,Divisions!$A$3:$A$50,0)),"")&lt;&gt;"",", "&amp;IFERROR(INDEX(Divisions!$G$3:$G$50,MATCH($E365,Divisions!$A$3:$A$50,0)),""),"")&amp;IF(IFERROR(INDEX(Divisions!$I$3:$I$50,MATCH($E365,Divisions!$A$3:$A$50,0)),"")&lt;&gt;"",", "&amp;IFERROR(INDEX(Divisions!$I$3:$I$50,MATCH($E365,Divisions!$A$3:$A$50,0)),""),"")))</f>
        <v/>
      </c>
    </row>
    <row r="366">
      <c r="F366" s="5">
        <f>IFERROR(INDEX('Company MOA setup'!$B$3:$B$500,MATCH($A366,'Company MOA setup'!$A$3:$A$500,0)),"Division default")</f>
        <v/>
      </c>
      <c r="L366" s="5">
        <f>IF($E366="","",TRIM(IFERROR(INDEX(Divisions!$C$3:$C$50,MATCH($E366,Divisions!$A$3:$A$50,0)),"")&amp;IF(IFERROR(INDEX(Divisions!$E$3:$E$50,MATCH($E366,Divisions!$A$3:$A$50,0)),"")&lt;&gt;"",", "&amp;IFERROR(INDEX(Divisions!$E$3:$E$50,MATCH($E366,Divisions!$A$3:$A$50,0)),""),"")&amp;IF(IFERROR(INDEX(Divisions!$G$3:$G$50,MATCH($E366,Divisions!$A$3:$A$50,0)),"")&lt;&gt;"",", "&amp;IFERROR(INDEX(Divisions!$G$3:$G$50,MATCH($E366,Divisions!$A$3:$A$50,0)),""),"")&amp;IF(IFERROR(INDEX(Divisions!$I$3:$I$50,MATCH($E366,Divisions!$A$3:$A$50,0)),"")&lt;&gt;"",", "&amp;IFERROR(INDEX(Divisions!$I$3:$I$50,MATCH($E366,Divisions!$A$3:$A$50,0)),""),"")))</f>
        <v/>
      </c>
    </row>
    <row r="367">
      <c r="F367" s="5">
        <f>IFERROR(INDEX('Company MOA setup'!$B$3:$B$500,MATCH($A367,'Company MOA setup'!$A$3:$A$500,0)),"Division default")</f>
        <v/>
      </c>
      <c r="L367" s="5">
        <f>IF($E367="","",TRIM(IFERROR(INDEX(Divisions!$C$3:$C$50,MATCH($E367,Divisions!$A$3:$A$50,0)),"")&amp;IF(IFERROR(INDEX(Divisions!$E$3:$E$50,MATCH($E367,Divisions!$A$3:$A$50,0)),"")&lt;&gt;"",", "&amp;IFERROR(INDEX(Divisions!$E$3:$E$50,MATCH($E367,Divisions!$A$3:$A$50,0)),""),"")&amp;IF(IFERROR(INDEX(Divisions!$G$3:$G$50,MATCH($E367,Divisions!$A$3:$A$50,0)),"")&lt;&gt;"",", "&amp;IFERROR(INDEX(Divisions!$G$3:$G$50,MATCH($E367,Divisions!$A$3:$A$50,0)),""),"")&amp;IF(IFERROR(INDEX(Divisions!$I$3:$I$50,MATCH($E367,Divisions!$A$3:$A$50,0)),"")&lt;&gt;"",", "&amp;IFERROR(INDEX(Divisions!$I$3:$I$50,MATCH($E367,Divisions!$A$3:$A$50,0)),""),"")))</f>
        <v/>
      </c>
    </row>
    <row r="368">
      <c r="F368" s="5">
        <f>IFERROR(INDEX('Company MOA setup'!$B$3:$B$500,MATCH($A368,'Company MOA setup'!$A$3:$A$500,0)),"Division default")</f>
        <v/>
      </c>
      <c r="L368" s="5">
        <f>IF($E368="","",TRIM(IFERROR(INDEX(Divisions!$C$3:$C$50,MATCH($E368,Divisions!$A$3:$A$50,0)),"")&amp;IF(IFERROR(INDEX(Divisions!$E$3:$E$50,MATCH($E368,Divisions!$A$3:$A$50,0)),"")&lt;&gt;"",", "&amp;IFERROR(INDEX(Divisions!$E$3:$E$50,MATCH($E368,Divisions!$A$3:$A$50,0)),""),"")&amp;IF(IFERROR(INDEX(Divisions!$G$3:$G$50,MATCH($E368,Divisions!$A$3:$A$50,0)),"")&lt;&gt;"",", "&amp;IFERROR(INDEX(Divisions!$G$3:$G$50,MATCH($E368,Divisions!$A$3:$A$50,0)),""),"")&amp;IF(IFERROR(INDEX(Divisions!$I$3:$I$50,MATCH($E368,Divisions!$A$3:$A$50,0)),"")&lt;&gt;"",", "&amp;IFERROR(INDEX(Divisions!$I$3:$I$50,MATCH($E368,Divisions!$A$3:$A$50,0)),""),"")))</f>
        <v/>
      </c>
    </row>
    <row r="369">
      <c r="F369" s="5">
        <f>IFERROR(INDEX('Company MOA setup'!$B$3:$B$500,MATCH($A369,'Company MOA setup'!$A$3:$A$500,0)),"Division default")</f>
        <v/>
      </c>
      <c r="L369" s="5">
        <f>IF($E369="","",TRIM(IFERROR(INDEX(Divisions!$C$3:$C$50,MATCH($E369,Divisions!$A$3:$A$50,0)),"")&amp;IF(IFERROR(INDEX(Divisions!$E$3:$E$50,MATCH($E369,Divisions!$A$3:$A$50,0)),"")&lt;&gt;"",", "&amp;IFERROR(INDEX(Divisions!$E$3:$E$50,MATCH($E369,Divisions!$A$3:$A$50,0)),""),"")&amp;IF(IFERROR(INDEX(Divisions!$G$3:$G$50,MATCH($E369,Divisions!$A$3:$A$50,0)),"")&lt;&gt;"",", "&amp;IFERROR(INDEX(Divisions!$G$3:$G$50,MATCH($E369,Divisions!$A$3:$A$50,0)),""),"")&amp;IF(IFERROR(INDEX(Divisions!$I$3:$I$50,MATCH($E369,Divisions!$A$3:$A$50,0)),"")&lt;&gt;"",", "&amp;IFERROR(INDEX(Divisions!$I$3:$I$50,MATCH($E369,Divisions!$A$3:$A$50,0)),""),"")))</f>
        <v/>
      </c>
    </row>
    <row r="370">
      <c r="F370" s="5">
        <f>IFERROR(INDEX('Company MOA setup'!$B$3:$B$500,MATCH($A370,'Company MOA setup'!$A$3:$A$500,0)),"Division default")</f>
        <v/>
      </c>
      <c r="L370" s="5">
        <f>IF($E370="","",TRIM(IFERROR(INDEX(Divisions!$C$3:$C$50,MATCH($E370,Divisions!$A$3:$A$50,0)),"")&amp;IF(IFERROR(INDEX(Divisions!$E$3:$E$50,MATCH($E370,Divisions!$A$3:$A$50,0)),"")&lt;&gt;"",", "&amp;IFERROR(INDEX(Divisions!$E$3:$E$50,MATCH($E370,Divisions!$A$3:$A$50,0)),""),"")&amp;IF(IFERROR(INDEX(Divisions!$G$3:$G$50,MATCH($E370,Divisions!$A$3:$A$50,0)),"")&lt;&gt;"",", "&amp;IFERROR(INDEX(Divisions!$G$3:$G$50,MATCH($E370,Divisions!$A$3:$A$50,0)),""),"")&amp;IF(IFERROR(INDEX(Divisions!$I$3:$I$50,MATCH($E370,Divisions!$A$3:$A$50,0)),"")&lt;&gt;"",", "&amp;IFERROR(INDEX(Divisions!$I$3:$I$50,MATCH($E370,Divisions!$A$3:$A$50,0)),""),"")))</f>
        <v/>
      </c>
    </row>
    <row r="371">
      <c r="F371" s="5">
        <f>IFERROR(INDEX('Company MOA setup'!$B$3:$B$500,MATCH($A371,'Company MOA setup'!$A$3:$A$500,0)),"Division default")</f>
        <v/>
      </c>
      <c r="L371" s="5">
        <f>IF($E371="","",TRIM(IFERROR(INDEX(Divisions!$C$3:$C$50,MATCH($E371,Divisions!$A$3:$A$50,0)),"")&amp;IF(IFERROR(INDEX(Divisions!$E$3:$E$50,MATCH($E371,Divisions!$A$3:$A$50,0)),"")&lt;&gt;"",", "&amp;IFERROR(INDEX(Divisions!$E$3:$E$50,MATCH($E371,Divisions!$A$3:$A$50,0)),""),"")&amp;IF(IFERROR(INDEX(Divisions!$G$3:$G$50,MATCH($E371,Divisions!$A$3:$A$50,0)),"")&lt;&gt;"",", "&amp;IFERROR(INDEX(Divisions!$G$3:$G$50,MATCH($E371,Divisions!$A$3:$A$50,0)),""),"")&amp;IF(IFERROR(INDEX(Divisions!$I$3:$I$50,MATCH($E371,Divisions!$A$3:$A$50,0)),"")&lt;&gt;"",", "&amp;IFERROR(INDEX(Divisions!$I$3:$I$50,MATCH($E371,Divisions!$A$3:$A$50,0)),""),"")))</f>
        <v/>
      </c>
    </row>
    <row r="372">
      <c r="F372" s="5">
        <f>IFERROR(INDEX('Company MOA setup'!$B$3:$B$500,MATCH($A372,'Company MOA setup'!$A$3:$A$500,0)),"Division default")</f>
        <v/>
      </c>
      <c r="L372" s="5">
        <f>IF($E372="","",TRIM(IFERROR(INDEX(Divisions!$C$3:$C$50,MATCH($E372,Divisions!$A$3:$A$50,0)),"")&amp;IF(IFERROR(INDEX(Divisions!$E$3:$E$50,MATCH($E372,Divisions!$A$3:$A$50,0)),"")&lt;&gt;"",", "&amp;IFERROR(INDEX(Divisions!$E$3:$E$50,MATCH($E372,Divisions!$A$3:$A$50,0)),""),"")&amp;IF(IFERROR(INDEX(Divisions!$G$3:$G$50,MATCH($E372,Divisions!$A$3:$A$50,0)),"")&lt;&gt;"",", "&amp;IFERROR(INDEX(Divisions!$G$3:$G$50,MATCH($E372,Divisions!$A$3:$A$50,0)),""),"")&amp;IF(IFERROR(INDEX(Divisions!$I$3:$I$50,MATCH($E372,Divisions!$A$3:$A$50,0)),"")&lt;&gt;"",", "&amp;IFERROR(INDEX(Divisions!$I$3:$I$50,MATCH($E372,Divisions!$A$3:$A$50,0)),""),"")))</f>
        <v/>
      </c>
    </row>
    <row r="373">
      <c r="F373" s="5">
        <f>IFERROR(INDEX('Company MOA setup'!$B$3:$B$500,MATCH($A373,'Company MOA setup'!$A$3:$A$500,0)),"Division default")</f>
        <v/>
      </c>
      <c r="L373" s="5">
        <f>IF($E373="","",TRIM(IFERROR(INDEX(Divisions!$C$3:$C$50,MATCH($E373,Divisions!$A$3:$A$50,0)),"")&amp;IF(IFERROR(INDEX(Divisions!$E$3:$E$50,MATCH($E373,Divisions!$A$3:$A$50,0)),"")&lt;&gt;"",", "&amp;IFERROR(INDEX(Divisions!$E$3:$E$50,MATCH($E373,Divisions!$A$3:$A$50,0)),""),"")&amp;IF(IFERROR(INDEX(Divisions!$G$3:$G$50,MATCH($E373,Divisions!$A$3:$A$50,0)),"")&lt;&gt;"",", "&amp;IFERROR(INDEX(Divisions!$G$3:$G$50,MATCH($E373,Divisions!$A$3:$A$50,0)),""),"")&amp;IF(IFERROR(INDEX(Divisions!$I$3:$I$50,MATCH($E373,Divisions!$A$3:$A$50,0)),"")&lt;&gt;"",", "&amp;IFERROR(INDEX(Divisions!$I$3:$I$50,MATCH($E373,Divisions!$A$3:$A$50,0)),""),"")))</f>
        <v/>
      </c>
    </row>
    <row r="374">
      <c r="F374" s="5">
        <f>IFERROR(INDEX('Company MOA setup'!$B$3:$B$500,MATCH($A374,'Company MOA setup'!$A$3:$A$500,0)),"Division default")</f>
        <v/>
      </c>
      <c r="L374" s="5">
        <f>IF($E374="","",TRIM(IFERROR(INDEX(Divisions!$C$3:$C$50,MATCH($E374,Divisions!$A$3:$A$50,0)),"")&amp;IF(IFERROR(INDEX(Divisions!$E$3:$E$50,MATCH($E374,Divisions!$A$3:$A$50,0)),"")&lt;&gt;"",", "&amp;IFERROR(INDEX(Divisions!$E$3:$E$50,MATCH($E374,Divisions!$A$3:$A$50,0)),""),"")&amp;IF(IFERROR(INDEX(Divisions!$G$3:$G$50,MATCH($E374,Divisions!$A$3:$A$50,0)),"")&lt;&gt;"",", "&amp;IFERROR(INDEX(Divisions!$G$3:$G$50,MATCH($E374,Divisions!$A$3:$A$50,0)),""),"")&amp;IF(IFERROR(INDEX(Divisions!$I$3:$I$50,MATCH($E374,Divisions!$A$3:$A$50,0)),"")&lt;&gt;"",", "&amp;IFERROR(INDEX(Divisions!$I$3:$I$50,MATCH($E374,Divisions!$A$3:$A$50,0)),""),"")))</f>
        <v/>
      </c>
    </row>
    <row r="375">
      <c r="F375" s="5">
        <f>IFERROR(INDEX('Company MOA setup'!$B$3:$B$500,MATCH($A375,'Company MOA setup'!$A$3:$A$500,0)),"Division default")</f>
        <v/>
      </c>
      <c r="L375" s="5">
        <f>IF($E375="","",TRIM(IFERROR(INDEX(Divisions!$C$3:$C$50,MATCH($E375,Divisions!$A$3:$A$50,0)),"")&amp;IF(IFERROR(INDEX(Divisions!$E$3:$E$50,MATCH($E375,Divisions!$A$3:$A$50,0)),"")&lt;&gt;"",", "&amp;IFERROR(INDEX(Divisions!$E$3:$E$50,MATCH($E375,Divisions!$A$3:$A$50,0)),""),"")&amp;IF(IFERROR(INDEX(Divisions!$G$3:$G$50,MATCH($E375,Divisions!$A$3:$A$50,0)),"")&lt;&gt;"",", "&amp;IFERROR(INDEX(Divisions!$G$3:$G$50,MATCH($E375,Divisions!$A$3:$A$50,0)),""),"")&amp;IF(IFERROR(INDEX(Divisions!$I$3:$I$50,MATCH($E375,Divisions!$A$3:$A$50,0)),"")&lt;&gt;"",", "&amp;IFERROR(INDEX(Divisions!$I$3:$I$50,MATCH($E375,Divisions!$A$3:$A$50,0)),""),"")))</f>
        <v/>
      </c>
    </row>
    <row r="376">
      <c r="F376" s="5">
        <f>IFERROR(INDEX('Company MOA setup'!$B$3:$B$500,MATCH($A376,'Company MOA setup'!$A$3:$A$500,0)),"Division default")</f>
        <v/>
      </c>
      <c r="L376" s="5">
        <f>IF($E376="","",TRIM(IFERROR(INDEX(Divisions!$C$3:$C$50,MATCH($E376,Divisions!$A$3:$A$50,0)),"")&amp;IF(IFERROR(INDEX(Divisions!$E$3:$E$50,MATCH($E376,Divisions!$A$3:$A$50,0)),"")&lt;&gt;"",", "&amp;IFERROR(INDEX(Divisions!$E$3:$E$50,MATCH($E376,Divisions!$A$3:$A$50,0)),""),"")&amp;IF(IFERROR(INDEX(Divisions!$G$3:$G$50,MATCH($E376,Divisions!$A$3:$A$50,0)),"")&lt;&gt;"",", "&amp;IFERROR(INDEX(Divisions!$G$3:$G$50,MATCH($E376,Divisions!$A$3:$A$50,0)),""),"")&amp;IF(IFERROR(INDEX(Divisions!$I$3:$I$50,MATCH($E376,Divisions!$A$3:$A$50,0)),"")&lt;&gt;"",", "&amp;IFERROR(INDEX(Divisions!$I$3:$I$50,MATCH($E376,Divisions!$A$3:$A$50,0)),""),"")))</f>
        <v/>
      </c>
    </row>
    <row r="377">
      <c r="F377" s="5">
        <f>IFERROR(INDEX('Company MOA setup'!$B$3:$B$500,MATCH($A377,'Company MOA setup'!$A$3:$A$500,0)),"Division default")</f>
        <v/>
      </c>
      <c r="L377" s="5">
        <f>IF($E377="","",TRIM(IFERROR(INDEX(Divisions!$C$3:$C$50,MATCH($E377,Divisions!$A$3:$A$50,0)),"")&amp;IF(IFERROR(INDEX(Divisions!$E$3:$E$50,MATCH($E377,Divisions!$A$3:$A$50,0)),"")&lt;&gt;"",", "&amp;IFERROR(INDEX(Divisions!$E$3:$E$50,MATCH($E377,Divisions!$A$3:$A$50,0)),""),"")&amp;IF(IFERROR(INDEX(Divisions!$G$3:$G$50,MATCH($E377,Divisions!$A$3:$A$50,0)),"")&lt;&gt;"",", "&amp;IFERROR(INDEX(Divisions!$G$3:$G$50,MATCH($E377,Divisions!$A$3:$A$50,0)),""),"")&amp;IF(IFERROR(INDEX(Divisions!$I$3:$I$50,MATCH($E377,Divisions!$A$3:$A$50,0)),"")&lt;&gt;"",", "&amp;IFERROR(INDEX(Divisions!$I$3:$I$50,MATCH($E377,Divisions!$A$3:$A$50,0)),""),"")))</f>
        <v/>
      </c>
    </row>
    <row r="378">
      <c r="F378" s="5">
        <f>IFERROR(INDEX('Company MOA setup'!$B$3:$B$500,MATCH($A378,'Company MOA setup'!$A$3:$A$500,0)),"Division default")</f>
        <v/>
      </c>
      <c r="L378" s="5">
        <f>IF($E378="","",TRIM(IFERROR(INDEX(Divisions!$C$3:$C$50,MATCH($E378,Divisions!$A$3:$A$50,0)),"")&amp;IF(IFERROR(INDEX(Divisions!$E$3:$E$50,MATCH($E378,Divisions!$A$3:$A$50,0)),"")&lt;&gt;"",", "&amp;IFERROR(INDEX(Divisions!$E$3:$E$50,MATCH($E378,Divisions!$A$3:$A$50,0)),""),"")&amp;IF(IFERROR(INDEX(Divisions!$G$3:$G$50,MATCH($E378,Divisions!$A$3:$A$50,0)),"")&lt;&gt;"",", "&amp;IFERROR(INDEX(Divisions!$G$3:$G$50,MATCH($E378,Divisions!$A$3:$A$50,0)),""),"")&amp;IF(IFERROR(INDEX(Divisions!$I$3:$I$50,MATCH($E378,Divisions!$A$3:$A$50,0)),"")&lt;&gt;"",", "&amp;IFERROR(INDEX(Divisions!$I$3:$I$50,MATCH($E378,Divisions!$A$3:$A$50,0)),""),"")))</f>
        <v/>
      </c>
    </row>
    <row r="379">
      <c r="F379" s="5">
        <f>IFERROR(INDEX('Company MOA setup'!$B$3:$B$500,MATCH($A379,'Company MOA setup'!$A$3:$A$500,0)),"Division default")</f>
        <v/>
      </c>
      <c r="L379" s="5">
        <f>IF($E379="","",TRIM(IFERROR(INDEX(Divisions!$C$3:$C$50,MATCH($E379,Divisions!$A$3:$A$50,0)),"")&amp;IF(IFERROR(INDEX(Divisions!$E$3:$E$50,MATCH($E379,Divisions!$A$3:$A$50,0)),"")&lt;&gt;"",", "&amp;IFERROR(INDEX(Divisions!$E$3:$E$50,MATCH($E379,Divisions!$A$3:$A$50,0)),""),"")&amp;IF(IFERROR(INDEX(Divisions!$G$3:$G$50,MATCH($E379,Divisions!$A$3:$A$50,0)),"")&lt;&gt;"",", "&amp;IFERROR(INDEX(Divisions!$G$3:$G$50,MATCH($E379,Divisions!$A$3:$A$50,0)),""),"")&amp;IF(IFERROR(INDEX(Divisions!$I$3:$I$50,MATCH($E379,Divisions!$A$3:$A$50,0)),"")&lt;&gt;"",", "&amp;IFERROR(INDEX(Divisions!$I$3:$I$50,MATCH($E379,Divisions!$A$3:$A$50,0)),""),"")))</f>
        <v/>
      </c>
    </row>
    <row r="380">
      <c r="F380" s="5">
        <f>IFERROR(INDEX('Company MOA setup'!$B$3:$B$500,MATCH($A380,'Company MOA setup'!$A$3:$A$500,0)),"Division default")</f>
        <v/>
      </c>
      <c r="L380" s="5">
        <f>IF($E380="","",TRIM(IFERROR(INDEX(Divisions!$C$3:$C$50,MATCH($E380,Divisions!$A$3:$A$50,0)),"")&amp;IF(IFERROR(INDEX(Divisions!$E$3:$E$50,MATCH($E380,Divisions!$A$3:$A$50,0)),"")&lt;&gt;"",", "&amp;IFERROR(INDEX(Divisions!$E$3:$E$50,MATCH($E380,Divisions!$A$3:$A$50,0)),""),"")&amp;IF(IFERROR(INDEX(Divisions!$G$3:$G$50,MATCH($E380,Divisions!$A$3:$A$50,0)),"")&lt;&gt;"",", "&amp;IFERROR(INDEX(Divisions!$G$3:$G$50,MATCH($E380,Divisions!$A$3:$A$50,0)),""),"")&amp;IF(IFERROR(INDEX(Divisions!$I$3:$I$50,MATCH($E380,Divisions!$A$3:$A$50,0)),"")&lt;&gt;"",", "&amp;IFERROR(INDEX(Divisions!$I$3:$I$50,MATCH($E380,Divisions!$A$3:$A$50,0)),""),"")))</f>
        <v/>
      </c>
    </row>
    <row r="381">
      <c r="F381" s="5">
        <f>IFERROR(INDEX('Company MOA setup'!$B$3:$B$500,MATCH($A381,'Company MOA setup'!$A$3:$A$500,0)),"Division default")</f>
        <v/>
      </c>
      <c r="L381" s="5">
        <f>IF($E381="","",TRIM(IFERROR(INDEX(Divisions!$C$3:$C$50,MATCH($E381,Divisions!$A$3:$A$50,0)),"")&amp;IF(IFERROR(INDEX(Divisions!$E$3:$E$50,MATCH($E381,Divisions!$A$3:$A$50,0)),"")&lt;&gt;"",", "&amp;IFERROR(INDEX(Divisions!$E$3:$E$50,MATCH($E381,Divisions!$A$3:$A$50,0)),""),"")&amp;IF(IFERROR(INDEX(Divisions!$G$3:$G$50,MATCH($E381,Divisions!$A$3:$A$50,0)),"")&lt;&gt;"",", "&amp;IFERROR(INDEX(Divisions!$G$3:$G$50,MATCH($E381,Divisions!$A$3:$A$50,0)),""),"")&amp;IF(IFERROR(INDEX(Divisions!$I$3:$I$50,MATCH($E381,Divisions!$A$3:$A$50,0)),"")&lt;&gt;"",", "&amp;IFERROR(INDEX(Divisions!$I$3:$I$50,MATCH($E381,Divisions!$A$3:$A$50,0)),""),"")))</f>
        <v/>
      </c>
    </row>
    <row r="382">
      <c r="F382" s="5">
        <f>IFERROR(INDEX('Company MOA setup'!$B$3:$B$500,MATCH($A382,'Company MOA setup'!$A$3:$A$500,0)),"Division default")</f>
        <v/>
      </c>
      <c r="L382" s="5">
        <f>IF($E382="","",TRIM(IFERROR(INDEX(Divisions!$C$3:$C$50,MATCH($E382,Divisions!$A$3:$A$50,0)),"")&amp;IF(IFERROR(INDEX(Divisions!$E$3:$E$50,MATCH($E382,Divisions!$A$3:$A$50,0)),"")&lt;&gt;"",", "&amp;IFERROR(INDEX(Divisions!$E$3:$E$50,MATCH($E382,Divisions!$A$3:$A$50,0)),""),"")&amp;IF(IFERROR(INDEX(Divisions!$G$3:$G$50,MATCH($E382,Divisions!$A$3:$A$50,0)),"")&lt;&gt;"",", "&amp;IFERROR(INDEX(Divisions!$G$3:$G$50,MATCH($E382,Divisions!$A$3:$A$50,0)),""),"")&amp;IF(IFERROR(INDEX(Divisions!$I$3:$I$50,MATCH($E382,Divisions!$A$3:$A$50,0)),"")&lt;&gt;"",", "&amp;IFERROR(INDEX(Divisions!$I$3:$I$50,MATCH($E382,Divisions!$A$3:$A$50,0)),""),"")))</f>
        <v/>
      </c>
    </row>
    <row r="383">
      <c r="F383" s="5">
        <f>IFERROR(INDEX('Company MOA setup'!$B$3:$B$500,MATCH($A383,'Company MOA setup'!$A$3:$A$500,0)),"Division default")</f>
        <v/>
      </c>
      <c r="L383" s="5">
        <f>IF($E383="","",TRIM(IFERROR(INDEX(Divisions!$C$3:$C$50,MATCH($E383,Divisions!$A$3:$A$50,0)),"")&amp;IF(IFERROR(INDEX(Divisions!$E$3:$E$50,MATCH($E383,Divisions!$A$3:$A$50,0)),"")&lt;&gt;"",", "&amp;IFERROR(INDEX(Divisions!$E$3:$E$50,MATCH($E383,Divisions!$A$3:$A$50,0)),""),"")&amp;IF(IFERROR(INDEX(Divisions!$G$3:$G$50,MATCH($E383,Divisions!$A$3:$A$50,0)),"")&lt;&gt;"",", "&amp;IFERROR(INDEX(Divisions!$G$3:$G$50,MATCH($E383,Divisions!$A$3:$A$50,0)),""),"")&amp;IF(IFERROR(INDEX(Divisions!$I$3:$I$50,MATCH($E383,Divisions!$A$3:$A$50,0)),"")&lt;&gt;"",", "&amp;IFERROR(INDEX(Divisions!$I$3:$I$50,MATCH($E383,Divisions!$A$3:$A$50,0)),""),"")))</f>
        <v/>
      </c>
    </row>
    <row r="384">
      <c r="F384" s="5">
        <f>IFERROR(INDEX('Company MOA setup'!$B$3:$B$500,MATCH($A384,'Company MOA setup'!$A$3:$A$500,0)),"Division default")</f>
        <v/>
      </c>
      <c r="L384" s="5">
        <f>IF($E384="","",TRIM(IFERROR(INDEX(Divisions!$C$3:$C$50,MATCH($E384,Divisions!$A$3:$A$50,0)),"")&amp;IF(IFERROR(INDEX(Divisions!$E$3:$E$50,MATCH($E384,Divisions!$A$3:$A$50,0)),"")&lt;&gt;"",", "&amp;IFERROR(INDEX(Divisions!$E$3:$E$50,MATCH($E384,Divisions!$A$3:$A$50,0)),""),"")&amp;IF(IFERROR(INDEX(Divisions!$G$3:$G$50,MATCH($E384,Divisions!$A$3:$A$50,0)),"")&lt;&gt;"",", "&amp;IFERROR(INDEX(Divisions!$G$3:$G$50,MATCH($E384,Divisions!$A$3:$A$50,0)),""),"")&amp;IF(IFERROR(INDEX(Divisions!$I$3:$I$50,MATCH($E384,Divisions!$A$3:$A$50,0)),"")&lt;&gt;"",", "&amp;IFERROR(INDEX(Divisions!$I$3:$I$50,MATCH($E384,Divisions!$A$3:$A$50,0)),""),"")))</f>
        <v/>
      </c>
    </row>
    <row r="385">
      <c r="F385" s="5">
        <f>IFERROR(INDEX('Company MOA setup'!$B$3:$B$500,MATCH($A385,'Company MOA setup'!$A$3:$A$500,0)),"Division default")</f>
        <v/>
      </c>
      <c r="L385" s="5">
        <f>IF($E385="","",TRIM(IFERROR(INDEX(Divisions!$C$3:$C$50,MATCH($E385,Divisions!$A$3:$A$50,0)),"")&amp;IF(IFERROR(INDEX(Divisions!$E$3:$E$50,MATCH($E385,Divisions!$A$3:$A$50,0)),"")&lt;&gt;"",", "&amp;IFERROR(INDEX(Divisions!$E$3:$E$50,MATCH($E385,Divisions!$A$3:$A$50,0)),""),"")&amp;IF(IFERROR(INDEX(Divisions!$G$3:$G$50,MATCH($E385,Divisions!$A$3:$A$50,0)),"")&lt;&gt;"",", "&amp;IFERROR(INDEX(Divisions!$G$3:$G$50,MATCH($E385,Divisions!$A$3:$A$50,0)),""),"")&amp;IF(IFERROR(INDEX(Divisions!$I$3:$I$50,MATCH($E385,Divisions!$A$3:$A$50,0)),"")&lt;&gt;"",", "&amp;IFERROR(INDEX(Divisions!$I$3:$I$50,MATCH($E385,Divisions!$A$3:$A$50,0)),""),"")))</f>
        <v/>
      </c>
    </row>
    <row r="386">
      <c r="F386" s="5">
        <f>IFERROR(INDEX('Company MOA setup'!$B$3:$B$500,MATCH($A386,'Company MOA setup'!$A$3:$A$500,0)),"Division default")</f>
        <v/>
      </c>
      <c r="L386" s="5">
        <f>IF($E386="","",TRIM(IFERROR(INDEX(Divisions!$C$3:$C$50,MATCH($E386,Divisions!$A$3:$A$50,0)),"")&amp;IF(IFERROR(INDEX(Divisions!$E$3:$E$50,MATCH($E386,Divisions!$A$3:$A$50,0)),"")&lt;&gt;"",", "&amp;IFERROR(INDEX(Divisions!$E$3:$E$50,MATCH($E386,Divisions!$A$3:$A$50,0)),""),"")&amp;IF(IFERROR(INDEX(Divisions!$G$3:$G$50,MATCH($E386,Divisions!$A$3:$A$50,0)),"")&lt;&gt;"",", "&amp;IFERROR(INDEX(Divisions!$G$3:$G$50,MATCH($E386,Divisions!$A$3:$A$50,0)),""),"")&amp;IF(IFERROR(INDEX(Divisions!$I$3:$I$50,MATCH($E386,Divisions!$A$3:$A$50,0)),"")&lt;&gt;"",", "&amp;IFERROR(INDEX(Divisions!$I$3:$I$50,MATCH($E386,Divisions!$A$3:$A$50,0)),""),"")))</f>
        <v/>
      </c>
    </row>
    <row r="387">
      <c r="F387" s="5">
        <f>IFERROR(INDEX('Company MOA setup'!$B$3:$B$500,MATCH($A387,'Company MOA setup'!$A$3:$A$500,0)),"Division default")</f>
        <v/>
      </c>
      <c r="L387" s="5">
        <f>IF($E387="","",TRIM(IFERROR(INDEX(Divisions!$C$3:$C$50,MATCH($E387,Divisions!$A$3:$A$50,0)),"")&amp;IF(IFERROR(INDEX(Divisions!$E$3:$E$50,MATCH($E387,Divisions!$A$3:$A$50,0)),"")&lt;&gt;"",", "&amp;IFERROR(INDEX(Divisions!$E$3:$E$50,MATCH($E387,Divisions!$A$3:$A$50,0)),""),"")&amp;IF(IFERROR(INDEX(Divisions!$G$3:$G$50,MATCH($E387,Divisions!$A$3:$A$50,0)),"")&lt;&gt;"",", "&amp;IFERROR(INDEX(Divisions!$G$3:$G$50,MATCH($E387,Divisions!$A$3:$A$50,0)),""),"")&amp;IF(IFERROR(INDEX(Divisions!$I$3:$I$50,MATCH($E387,Divisions!$A$3:$A$50,0)),"")&lt;&gt;"",", "&amp;IFERROR(INDEX(Divisions!$I$3:$I$50,MATCH($E387,Divisions!$A$3:$A$50,0)),""),"")))</f>
        <v/>
      </c>
    </row>
    <row r="388">
      <c r="F388" s="5">
        <f>IFERROR(INDEX('Company MOA setup'!$B$3:$B$500,MATCH($A388,'Company MOA setup'!$A$3:$A$500,0)),"Division default")</f>
        <v/>
      </c>
      <c r="L388" s="5">
        <f>IF($E388="","",TRIM(IFERROR(INDEX(Divisions!$C$3:$C$50,MATCH($E388,Divisions!$A$3:$A$50,0)),"")&amp;IF(IFERROR(INDEX(Divisions!$E$3:$E$50,MATCH($E388,Divisions!$A$3:$A$50,0)),"")&lt;&gt;"",", "&amp;IFERROR(INDEX(Divisions!$E$3:$E$50,MATCH($E388,Divisions!$A$3:$A$50,0)),""),"")&amp;IF(IFERROR(INDEX(Divisions!$G$3:$G$50,MATCH($E388,Divisions!$A$3:$A$50,0)),"")&lt;&gt;"",", "&amp;IFERROR(INDEX(Divisions!$G$3:$G$50,MATCH($E388,Divisions!$A$3:$A$50,0)),""),"")&amp;IF(IFERROR(INDEX(Divisions!$I$3:$I$50,MATCH($E388,Divisions!$A$3:$A$50,0)),"")&lt;&gt;"",", "&amp;IFERROR(INDEX(Divisions!$I$3:$I$50,MATCH($E388,Divisions!$A$3:$A$50,0)),""),"")))</f>
        <v/>
      </c>
    </row>
    <row r="389">
      <c r="F389" s="5">
        <f>IFERROR(INDEX('Company MOA setup'!$B$3:$B$500,MATCH($A389,'Company MOA setup'!$A$3:$A$500,0)),"Division default")</f>
        <v/>
      </c>
      <c r="L389" s="5">
        <f>IF($E389="","",TRIM(IFERROR(INDEX(Divisions!$C$3:$C$50,MATCH($E389,Divisions!$A$3:$A$50,0)),"")&amp;IF(IFERROR(INDEX(Divisions!$E$3:$E$50,MATCH($E389,Divisions!$A$3:$A$50,0)),"")&lt;&gt;"",", "&amp;IFERROR(INDEX(Divisions!$E$3:$E$50,MATCH($E389,Divisions!$A$3:$A$50,0)),""),"")&amp;IF(IFERROR(INDEX(Divisions!$G$3:$G$50,MATCH($E389,Divisions!$A$3:$A$50,0)),"")&lt;&gt;"",", "&amp;IFERROR(INDEX(Divisions!$G$3:$G$50,MATCH($E389,Divisions!$A$3:$A$50,0)),""),"")&amp;IF(IFERROR(INDEX(Divisions!$I$3:$I$50,MATCH($E389,Divisions!$A$3:$A$50,0)),"")&lt;&gt;"",", "&amp;IFERROR(INDEX(Divisions!$I$3:$I$50,MATCH($E389,Divisions!$A$3:$A$50,0)),""),"")))</f>
        <v/>
      </c>
    </row>
    <row r="390">
      <c r="F390" s="5">
        <f>IFERROR(INDEX('Company MOA setup'!$B$3:$B$500,MATCH($A390,'Company MOA setup'!$A$3:$A$500,0)),"Division default")</f>
        <v/>
      </c>
      <c r="L390" s="5">
        <f>IF($E390="","",TRIM(IFERROR(INDEX(Divisions!$C$3:$C$50,MATCH($E390,Divisions!$A$3:$A$50,0)),"")&amp;IF(IFERROR(INDEX(Divisions!$E$3:$E$50,MATCH($E390,Divisions!$A$3:$A$50,0)),"")&lt;&gt;"",", "&amp;IFERROR(INDEX(Divisions!$E$3:$E$50,MATCH($E390,Divisions!$A$3:$A$50,0)),""),"")&amp;IF(IFERROR(INDEX(Divisions!$G$3:$G$50,MATCH($E390,Divisions!$A$3:$A$50,0)),"")&lt;&gt;"",", "&amp;IFERROR(INDEX(Divisions!$G$3:$G$50,MATCH($E390,Divisions!$A$3:$A$50,0)),""),"")&amp;IF(IFERROR(INDEX(Divisions!$I$3:$I$50,MATCH($E390,Divisions!$A$3:$A$50,0)),"")&lt;&gt;"",", "&amp;IFERROR(INDEX(Divisions!$I$3:$I$50,MATCH($E390,Divisions!$A$3:$A$50,0)),""),"")))</f>
        <v/>
      </c>
    </row>
    <row r="391">
      <c r="F391" s="5">
        <f>IFERROR(INDEX('Company MOA setup'!$B$3:$B$500,MATCH($A391,'Company MOA setup'!$A$3:$A$500,0)),"Division default")</f>
        <v/>
      </c>
      <c r="L391" s="5">
        <f>IF($E391="","",TRIM(IFERROR(INDEX(Divisions!$C$3:$C$50,MATCH($E391,Divisions!$A$3:$A$50,0)),"")&amp;IF(IFERROR(INDEX(Divisions!$E$3:$E$50,MATCH($E391,Divisions!$A$3:$A$50,0)),"")&lt;&gt;"",", "&amp;IFERROR(INDEX(Divisions!$E$3:$E$50,MATCH($E391,Divisions!$A$3:$A$50,0)),""),"")&amp;IF(IFERROR(INDEX(Divisions!$G$3:$G$50,MATCH($E391,Divisions!$A$3:$A$50,0)),"")&lt;&gt;"",", "&amp;IFERROR(INDEX(Divisions!$G$3:$G$50,MATCH($E391,Divisions!$A$3:$A$50,0)),""),"")&amp;IF(IFERROR(INDEX(Divisions!$I$3:$I$50,MATCH($E391,Divisions!$A$3:$A$50,0)),"")&lt;&gt;"",", "&amp;IFERROR(INDEX(Divisions!$I$3:$I$50,MATCH($E391,Divisions!$A$3:$A$50,0)),""),"")))</f>
        <v/>
      </c>
    </row>
    <row r="392">
      <c r="F392" s="5">
        <f>IFERROR(INDEX('Company MOA setup'!$B$3:$B$500,MATCH($A392,'Company MOA setup'!$A$3:$A$500,0)),"Division default")</f>
        <v/>
      </c>
      <c r="L392" s="5">
        <f>IF($E392="","",TRIM(IFERROR(INDEX(Divisions!$C$3:$C$50,MATCH($E392,Divisions!$A$3:$A$50,0)),"")&amp;IF(IFERROR(INDEX(Divisions!$E$3:$E$50,MATCH($E392,Divisions!$A$3:$A$50,0)),"")&lt;&gt;"",", "&amp;IFERROR(INDEX(Divisions!$E$3:$E$50,MATCH($E392,Divisions!$A$3:$A$50,0)),""),"")&amp;IF(IFERROR(INDEX(Divisions!$G$3:$G$50,MATCH($E392,Divisions!$A$3:$A$50,0)),"")&lt;&gt;"",", "&amp;IFERROR(INDEX(Divisions!$G$3:$G$50,MATCH($E392,Divisions!$A$3:$A$50,0)),""),"")&amp;IF(IFERROR(INDEX(Divisions!$I$3:$I$50,MATCH($E392,Divisions!$A$3:$A$50,0)),"")&lt;&gt;"",", "&amp;IFERROR(INDEX(Divisions!$I$3:$I$50,MATCH($E392,Divisions!$A$3:$A$50,0)),""),"")))</f>
        <v/>
      </c>
    </row>
    <row r="393">
      <c r="F393" s="5">
        <f>IFERROR(INDEX('Company MOA setup'!$B$3:$B$500,MATCH($A393,'Company MOA setup'!$A$3:$A$500,0)),"Division default")</f>
        <v/>
      </c>
      <c r="L393" s="5">
        <f>IF($E393="","",TRIM(IFERROR(INDEX(Divisions!$C$3:$C$50,MATCH($E393,Divisions!$A$3:$A$50,0)),"")&amp;IF(IFERROR(INDEX(Divisions!$E$3:$E$50,MATCH($E393,Divisions!$A$3:$A$50,0)),"")&lt;&gt;"",", "&amp;IFERROR(INDEX(Divisions!$E$3:$E$50,MATCH($E393,Divisions!$A$3:$A$50,0)),""),"")&amp;IF(IFERROR(INDEX(Divisions!$G$3:$G$50,MATCH($E393,Divisions!$A$3:$A$50,0)),"")&lt;&gt;"",", "&amp;IFERROR(INDEX(Divisions!$G$3:$G$50,MATCH($E393,Divisions!$A$3:$A$50,0)),""),"")&amp;IF(IFERROR(INDEX(Divisions!$I$3:$I$50,MATCH($E393,Divisions!$A$3:$A$50,0)),"")&lt;&gt;"",", "&amp;IFERROR(INDEX(Divisions!$I$3:$I$50,MATCH($E393,Divisions!$A$3:$A$50,0)),""),"")))</f>
        <v/>
      </c>
    </row>
    <row r="394">
      <c r="F394" s="5">
        <f>IFERROR(INDEX('Company MOA setup'!$B$3:$B$500,MATCH($A394,'Company MOA setup'!$A$3:$A$500,0)),"Division default")</f>
        <v/>
      </c>
      <c r="L394" s="5">
        <f>IF($E394="","",TRIM(IFERROR(INDEX(Divisions!$C$3:$C$50,MATCH($E394,Divisions!$A$3:$A$50,0)),"")&amp;IF(IFERROR(INDEX(Divisions!$E$3:$E$50,MATCH($E394,Divisions!$A$3:$A$50,0)),"")&lt;&gt;"",", "&amp;IFERROR(INDEX(Divisions!$E$3:$E$50,MATCH($E394,Divisions!$A$3:$A$50,0)),""),"")&amp;IF(IFERROR(INDEX(Divisions!$G$3:$G$50,MATCH($E394,Divisions!$A$3:$A$50,0)),"")&lt;&gt;"",", "&amp;IFERROR(INDEX(Divisions!$G$3:$G$50,MATCH($E394,Divisions!$A$3:$A$50,0)),""),"")&amp;IF(IFERROR(INDEX(Divisions!$I$3:$I$50,MATCH($E394,Divisions!$A$3:$A$50,0)),"")&lt;&gt;"",", "&amp;IFERROR(INDEX(Divisions!$I$3:$I$50,MATCH($E394,Divisions!$A$3:$A$50,0)),""),"")))</f>
        <v/>
      </c>
    </row>
    <row r="395">
      <c r="F395" s="5">
        <f>IFERROR(INDEX('Company MOA setup'!$B$3:$B$500,MATCH($A395,'Company MOA setup'!$A$3:$A$500,0)),"Division default")</f>
        <v/>
      </c>
      <c r="L395" s="5">
        <f>IF($E395="","",TRIM(IFERROR(INDEX(Divisions!$C$3:$C$50,MATCH($E395,Divisions!$A$3:$A$50,0)),"")&amp;IF(IFERROR(INDEX(Divisions!$E$3:$E$50,MATCH($E395,Divisions!$A$3:$A$50,0)),"")&lt;&gt;"",", "&amp;IFERROR(INDEX(Divisions!$E$3:$E$50,MATCH($E395,Divisions!$A$3:$A$50,0)),""),"")&amp;IF(IFERROR(INDEX(Divisions!$G$3:$G$50,MATCH($E395,Divisions!$A$3:$A$50,0)),"")&lt;&gt;"",", "&amp;IFERROR(INDEX(Divisions!$G$3:$G$50,MATCH($E395,Divisions!$A$3:$A$50,0)),""),"")&amp;IF(IFERROR(INDEX(Divisions!$I$3:$I$50,MATCH($E395,Divisions!$A$3:$A$50,0)),"")&lt;&gt;"",", "&amp;IFERROR(INDEX(Divisions!$I$3:$I$50,MATCH($E395,Divisions!$A$3:$A$50,0)),""),"")))</f>
        <v/>
      </c>
    </row>
    <row r="396">
      <c r="F396" s="5">
        <f>IFERROR(INDEX('Company MOA setup'!$B$3:$B$500,MATCH($A396,'Company MOA setup'!$A$3:$A$500,0)),"Division default")</f>
        <v/>
      </c>
      <c r="L396" s="5">
        <f>IF($E396="","",TRIM(IFERROR(INDEX(Divisions!$C$3:$C$50,MATCH($E396,Divisions!$A$3:$A$50,0)),"")&amp;IF(IFERROR(INDEX(Divisions!$E$3:$E$50,MATCH($E396,Divisions!$A$3:$A$50,0)),"")&lt;&gt;"",", "&amp;IFERROR(INDEX(Divisions!$E$3:$E$50,MATCH($E396,Divisions!$A$3:$A$50,0)),""),"")&amp;IF(IFERROR(INDEX(Divisions!$G$3:$G$50,MATCH($E396,Divisions!$A$3:$A$50,0)),"")&lt;&gt;"",", "&amp;IFERROR(INDEX(Divisions!$G$3:$G$50,MATCH($E396,Divisions!$A$3:$A$50,0)),""),"")&amp;IF(IFERROR(INDEX(Divisions!$I$3:$I$50,MATCH($E396,Divisions!$A$3:$A$50,0)),"")&lt;&gt;"",", "&amp;IFERROR(INDEX(Divisions!$I$3:$I$50,MATCH($E396,Divisions!$A$3:$A$50,0)),""),"")))</f>
        <v/>
      </c>
    </row>
    <row r="397">
      <c r="F397" s="5">
        <f>IFERROR(INDEX('Company MOA setup'!$B$3:$B$500,MATCH($A397,'Company MOA setup'!$A$3:$A$500,0)),"Division default")</f>
        <v/>
      </c>
      <c r="L397" s="5">
        <f>IF($E397="","",TRIM(IFERROR(INDEX(Divisions!$C$3:$C$50,MATCH($E397,Divisions!$A$3:$A$50,0)),"")&amp;IF(IFERROR(INDEX(Divisions!$E$3:$E$50,MATCH($E397,Divisions!$A$3:$A$50,0)),"")&lt;&gt;"",", "&amp;IFERROR(INDEX(Divisions!$E$3:$E$50,MATCH($E397,Divisions!$A$3:$A$50,0)),""),"")&amp;IF(IFERROR(INDEX(Divisions!$G$3:$G$50,MATCH($E397,Divisions!$A$3:$A$50,0)),"")&lt;&gt;"",", "&amp;IFERROR(INDEX(Divisions!$G$3:$G$50,MATCH($E397,Divisions!$A$3:$A$50,0)),""),"")&amp;IF(IFERROR(INDEX(Divisions!$I$3:$I$50,MATCH($E397,Divisions!$A$3:$A$50,0)),"")&lt;&gt;"",", "&amp;IFERROR(INDEX(Divisions!$I$3:$I$50,MATCH($E397,Divisions!$A$3:$A$50,0)),""),"")))</f>
        <v/>
      </c>
    </row>
    <row r="398">
      <c r="F398" s="5">
        <f>IFERROR(INDEX('Company MOA setup'!$B$3:$B$500,MATCH($A398,'Company MOA setup'!$A$3:$A$500,0)),"Division default")</f>
        <v/>
      </c>
      <c r="L398" s="5">
        <f>IF($E398="","",TRIM(IFERROR(INDEX(Divisions!$C$3:$C$50,MATCH($E398,Divisions!$A$3:$A$50,0)),"")&amp;IF(IFERROR(INDEX(Divisions!$E$3:$E$50,MATCH($E398,Divisions!$A$3:$A$50,0)),"")&lt;&gt;"",", "&amp;IFERROR(INDEX(Divisions!$E$3:$E$50,MATCH($E398,Divisions!$A$3:$A$50,0)),""),"")&amp;IF(IFERROR(INDEX(Divisions!$G$3:$G$50,MATCH($E398,Divisions!$A$3:$A$50,0)),"")&lt;&gt;"",", "&amp;IFERROR(INDEX(Divisions!$G$3:$G$50,MATCH($E398,Divisions!$A$3:$A$50,0)),""),"")&amp;IF(IFERROR(INDEX(Divisions!$I$3:$I$50,MATCH($E398,Divisions!$A$3:$A$50,0)),"")&lt;&gt;"",", "&amp;IFERROR(INDEX(Divisions!$I$3:$I$50,MATCH($E398,Divisions!$A$3:$A$50,0)),""),"")))</f>
        <v/>
      </c>
    </row>
    <row r="399">
      <c r="F399" s="5">
        <f>IFERROR(INDEX('Company MOA setup'!$B$3:$B$500,MATCH($A399,'Company MOA setup'!$A$3:$A$500,0)),"Division default")</f>
        <v/>
      </c>
      <c r="L399" s="5">
        <f>IF($E399="","",TRIM(IFERROR(INDEX(Divisions!$C$3:$C$50,MATCH($E399,Divisions!$A$3:$A$50,0)),"")&amp;IF(IFERROR(INDEX(Divisions!$E$3:$E$50,MATCH($E399,Divisions!$A$3:$A$50,0)),"")&lt;&gt;"",", "&amp;IFERROR(INDEX(Divisions!$E$3:$E$50,MATCH($E399,Divisions!$A$3:$A$50,0)),""),"")&amp;IF(IFERROR(INDEX(Divisions!$G$3:$G$50,MATCH($E399,Divisions!$A$3:$A$50,0)),"")&lt;&gt;"",", "&amp;IFERROR(INDEX(Divisions!$G$3:$G$50,MATCH($E399,Divisions!$A$3:$A$50,0)),""),"")&amp;IF(IFERROR(INDEX(Divisions!$I$3:$I$50,MATCH($E399,Divisions!$A$3:$A$50,0)),"")&lt;&gt;"",", "&amp;IFERROR(INDEX(Divisions!$I$3:$I$50,MATCH($E399,Divisions!$A$3:$A$50,0)),""),"")))</f>
        <v/>
      </c>
    </row>
    <row r="400">
      <c r="F400" s="5">
        <f>IFERROR(INDEX('Company MOA setup'!$B$3:$B$500,MATCH($A400,'Company MOA setup'!$A$3:$A$500,0)),"Division default")</f>
        <v/>
      </c>
      <c r="L400" s="5">
        <f>IF($E400="","",TRIM(IFERROR(INDEX(Divisions!$C$3:$C$50,MATCH($E400,Divisions!$A$3:$A$50,0)),"")&amp;IF(IFERROR(INDEX(Divisions!$E$3:$E$50,MATCH($E400,Divisions!$A$3:$A$50,0)),"")&lt;&gt;"",", "&amp;IFERROR(INDEX(Divisions!$E$3:$E$50,MATCH($E400,Divisions!$A$3:$A$50,0)),""),"")&amp;IF(IFERROR(INDEX(Divisions!$G$3:$G$50,MATCH($E400,Divisions!$A$3:$A$50,0)),"")&lt;&gt;"",", "&amp;IFERROR(INDEX(Divisions!$G$3:$G$50,MATCH($E400,Divisions!$A$3:$A$50,0)),""),"")&amp;IF(IFERROR(INDEX(Divisions!$I$3:$I$50,MATCH($E400,Divisions!$A$3:$A$50,0)),"")&lt;&gt;"",", "&amp;IFERROR(INDEX(Divisions!$I$3:$I$50,MATCH($E400,Divisions!$A$3:$A$50,0)),""),"")))</f>
        <v/>
      </c>
    </row>
    <row r="401">
      <c r="F401" s="5">
        <f>IFERROR(INDEX('Company MOA setup'!$B$3:$B$500,MATCH($A401,'Company MOA setup'!$A$3:$A$500,0)),"Division default")</f>
        <v/>
      </c>
      <c r="L401" s="5">
        <f>IF($E401="","",TRIM(IFERROR(INDEX(Divisions!$C$3:$C$50,MATCH($E401,Divisions!$A$3:$A$50,0)),"")&amp;IF(IFERROR(INDEX(Divisions!$E$3:$E$50,MATCH($E401,Divisions!$A$3:$A$50,0)),"")&lt;&gt;"",", "&amp;IFERROR(INDEX(Divisions!$E$3:$E$50,MATCH($E401,Divisions!$A$3:$A$50,0)),""),"")&amp;IF(IFERROR(INDEX(Divisions!$G$3:$G$50,MATCH($E401,Divisions!$A$3:$A$50,0)),"")&lt;&gt;"",", "&amp;IFERROR(INDEX(Divisions!$G$3:$G$50,MATCH($E401,Divisions!$A$3:$A$50,0)),""),"")&amp;IF(IFERROR(INDEX(Divisions!$I$3:$I$50,MATCH($E401,Divisions!$A$3:$A$50,0)),"")&lt;&gt;"",", "&amp;IFERROR(INDEX(Divisions!$I$3:$I$50,MATCH($E401,Divisions!$A$3:$A$50,0)),""),"")))</f>
        <v/>
      </c>
    </row>
    <row r="402">
      <c r="F402" s="5">
        <f>IFERROR(INDEX('Company MOA setup'!$B$3:$B$500,MATCH($A402,'Company MOA setup'!$A$3:$A$500,0)),"Division default")</f>
        <v/>
      </c>
      <c r="L402" s="5">
        <f>IF($E402="","",TRIM(IFERROR(INDEX(Divisions!$C$3:$C$50,MATCH($E402,Divisions!$A$3:$A$50,0)),"")&amp;IF(IFERROR(INDEX(Divisions!$E$3:$E$50,MATCH($E402,Divisions!$A$3:$A$50,0)),"")&lt;&gt;"",", "&amp;IFERROR(INDEX(Divisions!$E$3:$E$50,MATCH($E402,Divisions!$A$3:$A$50,0)),""),"")&amp;IF(IFERROR(INDEX(Divisions!$G$3:$G$50,MATCH($E402,Divisions!$A$3:$A$50,0)),"")&lt;&gt;"",", "&amp;IFERROR(INDEX(Divisions!$G$3:$G$50,MATCH($E402,Divisions!$A$3:$A$50,0)),""),"")&amp;IF(IFERROR(INDEX(Divisions!$I$3:$I$50,MATCH($E402,Divisions!$A$3:$A$50,0)),"")&lt;&gt;"",", "&amp;IFERROR(INDEX(Divisions!$I$3:$I$50,MATCH($E402,Divisions!$A$3:$A$50,0)),""),"")))</f>
        <v/>
      </c>
    </row>
    <row r="403">
      <c r="F403" s="5">
        <f>IFERROR(INDEX('Company MOA setup'!$B$3:$B$500,MATCH($A403,'Company MOA setup'!$A$3:$A$500,0)),"Division default")</f>
        <v/>
      </c>
      <c r="L403" s="5">
        <f>IF($E403="","",TRIM(IFERROR(INDEX(Divisions!$C$3:$C$50,MATCH($E403,Divisions!$A$3:$A$50,0)),"")&amp;IF(IFERROR(INDEX(Divisions!$E$3:$E$50,MATCH($E403,Divisions!$A$3:$A$50,0)),"")&lt;&gt;"",", "&amp;IFERROR(INDEX(Divisions!$E$3:$E$50,MATCH($E403,Divisions!$A$3:$A$50,0)),""),"")&amp;IF(IFERROR(INDEX(Divisions!$G$3:$G$50,MATCH($E403,Divisions!$A$3:$A$50,0)),"")&lt;&gt;"",", "&amp;IFERROR(INDEX(Divisions!$G$3:$G$50,MATCH($E403,Divisions!$A$3:$A$50,0)),""),"")&amp;IF(IFERROR(INDEX(Divisions!$I$3:$I$50,MATCH($E403,Divisions!$A$3:$A$50,0)),"")&lt;&gt;"",", "&amp;IFERROR(INDEX(Divisions!$I$3:$I$50,MATCH($E403,Divisions!$A$3:$A$50,0)),""),"")))</f>
        <v/>
      </c>
    </row>
    <row r="404">
      <c r="F404" s="5">
        <f>IFERROR(INDEX('Company MOA setup'!$B$3:$B$500,MATCH($A404,'Company MOA setup'!$A$3:$A$500,0)),"Division default")</f>
        <v/>
      </c>
      <c r="L404" s="5">
        <f>IF($E404="","",TRIM(IFERROR(INDEX(Divisions!$C$3:$C$50,MATCH($E404,Divisions!$A$3:$A$50,0)),"")&amp;IF(IFERROR(INDEX(Divisions!$E$3:$E$50,MATCH($E404,Divisions!$A$3:$A$50,0)),"")&lt;&gt;"",", "&amp;IFERROR(INDEX(Divisions!$E$3:$E$50,MATCH($E404,Divisions!$A$3:$A$50,0)),""),"")&amp;IF(IFERROR(INDEX(Divisions!$G$3:$G$50,MATCH($E404,Divisions!$A$3:$A$50,0)),"")&lt;&gt;"",", "&amp;IFERROR(INDEX(Divisions!$G$3:$G$50,MATCH($E404,Divisions!$A$3:$A$50,0)),""),"")&amp;IF(IFERROR(INDEX(Divisions!$I$3:$I$50,MATCH($E404,Divisions!$A$3:$A$50,0)),"")&lt;&gt;"",", "&amp;IFERROR(INDEX(Divisions!$I$3:$I$50,MATCH($E404,Divisions!$A$3:$A$50,0)),""),"")))</f>
        <v/>
      </c>
    </row>
    <row r="405">
      <c r="F405" s="5">
        <f>IFERROR(INDEX('Company MOA setup'!$B$3:$B$500,MATCH($A405,'Company MOA setup'!$A$3:$A$500,0)),"Division default")</f>
        <v/>
      </c>
      <c r="L405" s="5">
        <f>IF($E405="","",TRIM(IFERROR(INDEX(Divisions!$C$3:$C$50,MATCH($E405,Divisions!$A$3:$A$50,0)),"")&amp;IF(IFERROR(INDEX(Divisions!$E$3:$E$50,MATCH($E405,Divisions!$A$3:$A$50,0)),"")&lt;&gt;"",", "&amp;IFERROR(INDEX(Divisions!$E$3:$E$50,MATCH($E405,Divisions!$A$3:$A$50,0)),""),"")&amp;IF(IFERROR(INDEX(Divisions!$G$3:$G$50,MATCH($E405,Divisions!$A$3:$A$50,0)),"")&lt;&gt;"",", "&amp;IFERROR(INDEX(Divisions!$G$3:$G$50,MATCH($E405,Divisions!$A$3:$A$50,0)),""),"")&amp;IF(IFERROR(INDEX(Divisions!$I$3:$I$50,MATCH($E405,Divisions!$A$3:$A$50,0)),"")&lt;&gt;"",", "&amp;IFERROR(INDEX(Divisions!$I$3:$I$50,MATCH($E405,Divisions!$A$3:$A$50,0)),""),"")))</f>
        <v/>
      </c>
    </row>
    <row r="406">
      <c r="F406" s="5">
        <f>IFERROR(INDEX('Company MOA setup'!$B$3:$B$500,MATCH($A406,'Company MOA setup'!$A$3:$A$500,0)),"Division default")</f>
        <v/>
      </c>
      <c r="L406" s="5">
        <f>IF($E406="","",TRIM(IFERROR(INDEX(Divisions!$C$3:$C$50,MATCH($E406,Divisions!$A$3:$A$50,0)),"")&amp;IF(IFERROR(INDEX(Divisions!$E$3:$E$50,MATCH($E406,Divisions!$A$3:$A$50,0)),"")&lt;&gt;"",", "&amp;IFERROR(INDEX(Divisions!$E$3:$E$50,MATCH($E406,Divisions!$A$3:$A$50,0)),""),"")&amp;IF(IFERROR(INDEX(Divisions!$G$3:$G$50,MATCH($E406,Divisions!$A$3:$A$50,0)),"")&lt;&gt;"",", "&amp;IFERROR(INDEX(Divisions!$G$3:$G$50,MATCH($E406,Divisions!$A$3:$A$50,0)),""),"")&amp;IF(IFERROR(INDEX(Divisions!$I$3:$I$50,MATCH($E406,Divisions!$A$3:$A$50,0)),"")&lt;&gt;"",", "&amp;IFERROR(INDEX(Divisions!$I$3:$I$50,MATCH($E406,Divisions!$A$3:$A$50,0)),""),"")))</f>
        <v/>
      </c>
    </row>
    <row r="407">
      <c r="F407" s="5">
        <f>IFERROR(INDEX('Company MOA setup'!$B$3:$B$500,MATCH($A407,'Company MOA setup'!$A$3:$A$500,0)),"Division default")</f>
        <v/>
      </c>
      <c r="L407" s="5">
        <f>IF($E407="","",TRIM(IFERROR(INDEX(Divisions!$C$3:$C$50,MATCH($E407,Divisions!$A$3:$A$50,0)),"")&amp;IF(IFERROR(INDEX(Divisions!$E$3:$E$50,MATCH($E407,Divisions!$A$3:$A$50,0)),"")&lt;&gt;"",", "&amp;IFERROR(INDEX(Divisions!$E$3:$E$50,MATCH($E407,Divisions!$A$3:$A$50,0)),""),"")&amp;IF(IFERROR(INDEX(Divisions!$G$3:$G$50,MATCH($E407,Divisions!$A$3:$A$50,0)),"")&lt;&gt;"",", "&amp;IFERROR(INDEX(Divisions!$G$3:$G$50,MATCH($E407,Divisions!$A$3:$A$50,0)),""),"")&amp;IF(IFERROR(INDEX(Divisions!$I$3:$I$50,MATCH($E407,Divisions!$A$3:$A$50,0)),"")&lt;&gt;"",", "&amp;IFERROR(INDEX(Divisions!$I$3:$I$50,MATCH($E407,Divisions!$A$3:$A$50,0)),""),"")))</f>
        <v/>
      </c>
    </row>
    <row r="408">
      <c r="F408" s="5">
        <f>IFERROR(INDEX('Company MOA setup'!$B$3:$B$500,MATCH($A408,'Company MOA setup'!$A$3:$A$500,0)),"Division default")</f>
        <v/>
      </c>
      <c r="L408" s="5">
        <f>IF($E408="","",TRIM(IFERROR(INDEX(Divisions!$C$3:$C$50,MATCH($E408,Divisions!$A$3:$A$50,0)),"")&amp;IF(IFERROR(INDEX(Divisions!$E$3:$E$50,MATCH($E408,Divisions!$A$3:$A$50,0)),"")&lt;&gt;"",", "&amp;IFERROR(INDEX(Divisions!$E$3:$E$50,MATCH($E408,Divisions!$A$3:$A$50,0)),""),"")&amp;IF(IFERROR(INDEX(Divisions!$G$3:$G$50,MATCH($E408,Divisions!$A$3:$A$50,0)),"")&lt;&gt;"",", "&amp;IFERROR(INDEX(Divisions!$G$3:$G$50,MATCH($E408,Divisions!$A$3:$A$50,0)),""),"")&amp;IF(IFERROR(INDEX(Divisions!$I$3:$I$50,MATCH($E408,Divisions!$A$3:$A$50,0)),"")&lt;&gt;"",", "&amp;IFERROR(INDEX(Divisions!$I$3:$I$50,MATCH($E408,Divisions!$A$3:$A$50,0)),""),"")))</f>
        <v/>
      </c>
    </row>
    <row r="409">
      <c r="F409" s="5">
        <f>IFERROR(INDEX('Company MOA setup'!$B$3:$B$500,MATCH($A409,'Company MOA setup'!$A$3:$A$500,0)),"Division default")</f>
        <v/>
      </c>
      <c r="L409" s="5">
        <f>IF($E409="","",TRIM(IFERROR(INDEX(Divisions!$C$3:$C$50,MATCH($E409,Divisions!$A$3:$A$50,0)),"")&amp;IF(IFERROR(INDEX(Divisions!$E$3:$E$50,MATCH($E409,Divisions!$A$3:$A$50,0)),"")&lt;&gt;"",", "&amp;IFERROR(INDEX(Divisions!$E$3:$E$50,MATCH($E409,Divisions!$A$3:$A$50,0)),""),"")&amp;IF(IFERROR(INDEX(Divisions!$G$3:$G$50,MATCH($E409,Divisions!$A$3:$A$50,0)),"")&lt;&gt;"",", "&amp;IFERROR(INDEX(Divisions!$G$3:$G$50,MATCH($E409,Divisions!$A$3:$A$50,0)),""),"")&amp;IF(IFERROR(INDEX(Divisions!$I$3:$I$50,MATCH($E409,Divisions!$A$3:$A$50,0)),"")&lt;&gt;"",", "&amp;IFERROR(INDEX(Divisions!$I$3:$I$50,MATCH($E409,Divisions!$A$3:$A$50,0)),""),"")))</f>
        <v/>
      </c>
    </row>
    <row r="410">
      <c r="F410" s="5">
        <f>IFERROR(INDEX('Company MOA setup'!$B$3:$B$500,MATCH($A410,'Company MOA setup'!$A$3:$A$500,0)),"Division default")</f>
        <v/>
      </c>
      <c r="L410" s="5">
        <f>IF($E410="","",TRIM(IFERROR(INDEX(Divisions!$C$3:$C$50,MATCH($E410,Divisions!$A$3:$A$50,0)),"")&amp;IF(IFERROR(INDEX(Divisions!$E$3:$E$50,MATCH($E410,Divisions!$A$3:$A$50,0)),"")&lt;&gt;"",", "&amp;IFERROR(INDEX(Divisions!$E$3:$E$50,MATCH($E410,Divisions!$A$3:$A$50,0)),""),"")&amp;IF(IFERROR(INDEX(Divisions!$G$3:$G$50,MATCH($E410,Divisions!$A$3:$A$50,0)),"")&lt;&gt;"",", "&amp;IFERROR(INDEX(Divisions!$G$3:$G$50,MATCH($E410,Divisions!$A$3:$A$50,0)),""),"")&amp;IF(IFERROR(INDEX(Divisions!$I$3:$I$50,MATCH($E410,Divisions!$A$3:$A$50,0)),"")&lt;&gt;"",", "&amp;IFERROR(INDEX(Divisions!$I$3:$I$50,MATCH($E410,Divisions!$A$3:$A$50,0)),""),"")))</f>
        <v/>
      </c>
    </row>
    <row r="411">
      <c r="F411" s="5">
        <f>IFERROR(INDEX('Company MOA setup'!$B$3:$B$500,MATCH($A411,'Company MOA setup'!$A$3:$A$500,0)),"Division default")</f>
        <v/>
      </c>
      <c r="L411" s="5">
        <f>IF($E411="","",TRIM(IFERROR(INDEX(Divisions!$C$3:$C$50,MATCH($E411,Divisions!$A$3:$A$50,0)),"")&amp;IF(IFERROR(INDEX(Divisions!$E$3:$E$50,MATCH($E411,Divisions!$A$3:$A$50,0)),"")&lt;&gt;"",", "&amp;IFERROR(INDEX(Divisions!$E$3:$E$50,MATCH($E411,Divisions!$A$3:$A$50,0)),""),"")&amp;IF(IFERROR(INDEX(Divisions!$G$3:$G$50,MATCH($E411,Divisions!$A$3:$A$50,0)),"")&lt;&gt;"",", "&amp;IFERROR(INDEX(Divisions!$G$3:$G$50,MATCH($E411,Divisions!$A$3:$A$50,0)),""),"")&amp;IF(IFERROR(INDEX(Divisions!$I$3:$I$50,MATCH($E411,Divisions!$A$3:$A$50,0)),"")&lt;&gt;"",", "&amp;IFERROR(INDEX(Divisions!$I$3:$I$50,MATCH($E411,Divisions!$A$3:$A$50,0)),""),"")))</f>
        <v/>
      </c>
    </row>
    <row r="412">
      <c r="F412" s="5">
        <f>IFERROR(INDEX('Company MOA setup'!$B$3:$B$500,MATCH($A412,'Company MOA setup'!$A$3:$A$500,0)),"Division default")</f>
        <v/>
      </c>
      <c r="L412" s="5">
        <f>IF($E412="","",TRIM(IFERROR(INDEX(Divisions!$C$3:$C$50,MATCH($E412,Divisions!$A$3:$A$50,0)),"")&amp;IF(IFERROR(INDEX(Divisions!$E$3:$E$50,MATCH($E412,Divisions!$A$3:$A$50,0)),"")&lt;&gt;"",", "&amp;IFERROR(INDEX(Divisions!$E$3:$E$50,MATCH($E412,Divisions!$A$3:$A$50,0)),""),"")&amp;IF(IFERROR(INDEX(Divisions!$G$3:$G$50,MATCH($E412,Divisions!$A$3:$A$50,0)),"")&lt;&gt;"",", "&amp;IFERROR(INDEX(Divisions!$G$3:$G$50,MATCH($E412,Divisions!$A$3:$A$50,0)),""),"")&amp;IF(IFERROR(INDEX(Divisions!$I$3:$I$50,MATCH($E412,Divisions!$A$3:$A$50,0)),"")&lt;&gt;"",", "&amp;IFERROR(INDEX(Divisions!$I$3:$I$50,MATCH($E412,Divisions!$A$3:$A$50,0)),""),"")))</f>
        <v/>
      </c>
    </row>
    <row r="413">
      <c r="F413" s="5">
        <f>IFERROR(INDEX('Company MOA setup'!$B$3:$B$500,MATCH($A413,'Company MOA setup'!$A$3:$A$500,0)),"Division default")</f>
        <v/>
      </c>
      <c r="L413" s="5">
        <f>IF($E413="","",TRIM(IFERROR(INDEX(Divisions!$C$3:$C$50,MATCH($E413,Divisions!$A$3:$A$50,0)),"")&amp;IF(IFERROR(INDEX(Divisions!$E$3:$E$50,MATCH($E413,Divisions!$A$3:$A$50,0)),"")&lt;&gt;"",", "&amp;IFERROR(INDEX(Divisions!$E$3:$E$50,MATCH($E413,Divisions!$A$3:$A$50,0)),""),"")&amp;IF(IFERROR(INDEX(Divisions!$G$3:$G$50,MATCH($E413,Divisions!$A$3:$A$50,0)),"")&lt;&gt;"",", "&amp;IFERROR(INDEX(Divisions!$G$3:$G$50,MATCH($E413,Divisions!$A$3:$A$50,0)),""),"")&amp;IF(IFERROR(INDEX(Divisions!$I$3:$I$50,MATCH($E413,Divisions!$A$3:$A$50,0)),"")&lt;&gt;"",", "&amp;IFERROR(INDEX(Divisions!$I$3:$I$50,MATCH($E413,Divisions!$A$3:$A$50,0)),""),"")))</f>
        <v/>
      </c>
    </row>
    <row r="414">
      <c r="F414" s="5">
        <f>IFERROR(INDEX('Company MOA setup'!$B$3:$B$500,MATCH($A414,'Company MOA setup'!$A$3:$A$500,0)),"Division default")</f>
        <v/>
      </c>
      <c r="L414" s="5">
        <f>IF($E414="","",TRIM(IFERROR(INDEX(Divisions!$C$3:$C$50,MATCH($E414,Divisions!$A$3:$A$50,0)),"")&amp;IF(IFERROR(INDEX(Divisions!$E$3:$E$50,MATCH($E414,Divisions!$A$3:$A$50,0)),"")&lt;&gt;"",", "&amp;IFERROR(INDEX(Divisions!$E$3:$E$50,MATCH($E414,Divisions!$A$3:$A$50,0)),""),"")&amp;IF(IFERROR(INDEX(Divisions!$G$3:$G$50,MATCH($E414,Divisions!$A$3:$A$50,0)),"")&lt;&gt;"",", "&amp;IFERROR(INDEX(Divisions!$G$3:$G$50,MATCH($E414,Divisions!$A$3:$A$50,0)),""),"")&amp;IF(IFERROR(INDEX(Divisions!$I$3:$I$50,MATCH($E414,Divisions!$A$3:$A$50,0)),"")&lt;&gt;"",", "&amp;IFERROR(INDEX(Divisions!$I$3:$I$50,MATCH($E414,Divisions!$A$3:$A$50,0)),""),"")))</f>
        <v/>
      </c>
    </row>
    <row r="415">
      <c r="F415" s="5">
        <f>IFERROR(INDEX('Company MOA setup'!$B$3:$B$500,MATCH($A415,'Company MOA setup'!$A$3:$A$500,0)),"Division default")</f>
        <v/>
      </c>
      <c r="L415" s="5">
        <f>IF($E415="","",TRIM(IFERROR(INDEX(Divisions!$C$3:$C$50,MATCH($E415,Divisions!$A$3:$A$50,0)),"")&amp;IF(IFERROR(INDEX(Divisions!$E$3:$E$50,MATCH($E415,Divisions!$A$3:$A$50,0)),"")&lt;&gt;"",", "&amp;IFERROR(INDEX(Divisions!$E$3:$E$50,MATCH($E415,Divisions!$A$3:$A$50,0)),""),"")&amp;IF(IFERROR(INDEX(Divisions!$G$3:$G$50,MATCH($E415,Divisions!$A$3:$A$50,0)),"")&lt;&gt;"",", "&amp;IFERROR(INDEX(Divisions!$G$3:$G$50,MATCH($E415,Divisions!$A$3:$A$50,0)),""),"")&amp;IF(IFERROR(INDEX(Divisions!$I$3:$I$50,MATCH($E415,Divisions!$A$3:$A$50,0)),"")&lt;&gt;"",", "&amp;IFERROR(INDEX(Divisions!$I$3:$I$50,MATCH($E415,Divisions!$A$3:$A$50,0)),""),"")))</f>
        <v/>
      </c>
    </row>
    <row r="416">
      <c r="F416" s="5">
        <f>IFERROR(INDEX('Company MOA setup'!$B$3:$B$500,MATCH($A416,'Company MOA setup'!$A$3:$A$500,0)),"Division default")</f>
        <v/>
      </c>
      <c r="L416" s="5">
        <f>IF($E416="","",TRIM(IFERROR(INDEX(Divisions!$C$3:$C$50,MATCH($E416,Divisions!$A$3:$A$50,0)),"")&amp;IF(IFERROR(INDEX(Divisions!$E$3:$E$50,MATCH($E416,Divisions!$A$3:$A$50,0)),"")&lt;&gt;"",", "&amp;IFERROR(INDEX(Divisions!$E$3:$E$50,MATCH($E416,Divisions!$A$3:$A$50,0)),""),"")&amp;IF(IFERROR(INDEX(Divisions!$G$3:$G$50,MATCH($E416,Divisions!$A$3:$A$50,0)),"")&lt;&gt;"",", "&amp;IFERROR(INDEX(Divisions!$G$3:$G$50,MATCH($E416,Divisions!$A$3:$A$50,0)),""),"")&amp;IF(IFERROR(INDEX(Divisions!$I$3:$I$50,MATCH($E416,Divisions!$A$3:$A$50,0)),"")&lt;&gt;"",", "&amp;IFERROR(INDEX(Divisions!$I$3:$I$50,MATCH($E416,Divisions!$A$3:$A$50,0)),""),"")))</f>
        <v/>
      </c>
    </row>
    <row r="417">
      <c r="F417" s="5">
        <f>IFERROR(INDEX('Company MOA setup'!$B$3:$B$500,MATCH($A417,'Company MOA setup'!$A$3:$A$500,0)),"Division default")</f>
        <v/>
      </c>
      <c r="L417" s="5">
        <f>IF($E417="","",TRIM(IFERROR(INDEX(Divisions!$C$3:$C$50,MATCH($E417,Divisions!$A$3:$A$50,0)),"")&amp;IF(IFERROR(INDEX(Divisions!$E$3:$E$50,MATCH($E417,Divisions!$A$3:$A$50,0)),"")&lt;&gt;"",", "&amp;IFERROR(INDEX(Divisions!$E$3:$E$50,MATCH($E417,Divisions!$A$3:$A$50,0)),""),"")&amp;IF(IFERROR(INDEX(Divisions!$G$3:$G$50,MATCH($E417,Divisions!$A$3:$A$50,0)),"")&lt;&gt;"",", "&amp;IFERROR(INDEX(Divisions!$G$3:$G$50,MATCH($E417,Divisions!$A$3:$A$50,0)),""),"")&amp;IF(IFERROR(INDEX(Divisions!$I$3:$I$50,MATCH($E417,Divisions!$A$3:$A$50,0)),"")&lt;&gt;"",", "&amp;IFERROR(INDEX(Divisions!$I$3:$I$50,MATCH($E417,Divisions!$A$3:$A$50,0)),""),"")))</f>
        <v/>
      </c>
    </row>
    <row r="418">
      <c r="F418" s="5">
        <f>IFERROR(INDEX('Company MOA setup'!$B$3:$B$500,MATCH($A418,'Company MOA setup'!$A$3:$A$500,0)),"Division default")</f>
        <v/>
      </c>
      <c r="L418" s="5">
        <f>IF($E418="","",TRIM(IFERROR(INDEX(Divisions!$C$3:$C$50,MATCH($E418,Divisions!$A$3:$A$50,0)),"")&amp;IF(IFERROR(INDEX(Divisions!$E$3:$E$50,MATCH($E418,Divisions!$A$3:$A$50,0)),"")&lt;&gt;"",", "&amp;IFERROR(INDEX(Divisions!$E$3:$E$50,MATCH($E418,Divisions!$A$3:$A$50,0)),""),"")&amp;IF(IFERROR(INDEX(Divisions!$G$3:$G$50,MATCH($E418,Divisions!$A$3:$A$50,0)),"")&lt;&gt;"",", "&amp;IFERROR(INDEX(Divisions!$G$3:$G$50,MATCH($E418,Divisions!$A$3:$A$50,0)),""),"")&amp;IF(IFERROR(INDEX(Divisions!$I$3:$I$50,MATCH($E418,Divisions!$A$3:$A$50,0)),"")&lt;&gt;"",", "&amp;IFERROR(INDEX(Divisions!$I$3:$I$50,MATCH($E418,Divisions!$A$3:$A$50,0)),""),"")))</f>
        <v/>
      </c>
    </row>
    <row r="419">
      <c r="F419" s="5">
        <f>IFERROR(INDEX('Company MOA setup'!$B$3:$B$500,MATCH($A419,'Company MOA setup'!$A$3:$A$500,0)),"Division default")</f>
        <v/>
      </c>
      <c r="L419" s="5">
        <f>IF($E419="","",TRIM(IFERROR(INDEX(Divisions!$C$3:$C$50,MATCH($E419,Divisions!$A$3:$A$50,0)),"")&amp;IF(IFERROR(INDEX(Divisions!$E$3:$E$50,MATCH($E419,Divisions!$A$3:$A$50,0)),"")&lt;&gt;"",", "&amp;IFERROR(INDEX(Divisions!$E$3:$E$50,MATCH($E419,Divisions!$A$3:$A$50,0)),""),"")&amp;IF(IFERROR(INDEX(Divisions!$G$3:$G$50,MATCH($E419,Divisions!$A$3:$A$50,0)),"")&lt;&gt;"",", "&amp;IFERROR(INDEX(Divisions!$G$3:$G$50,MATCH($E419,Divisions!$A$3:$A$50,0)),""),"")&amp;IF(IFERROR(INDEX(Divisions!$I$3:$I$50,MATCH($E419,Divisions!$A$3:$A$50,0)),"")&lt;&gt;"",", "&amp;IFERROR(INDEX(Divisions!$I$3:$I$50,MATCH($E419,Divisions!$A$3:$A$50,0)),""),"")))</f>
        <v/>
      </c>
    </row>
    <row r="420">
      <c r="F420" s="5">
        <f>IFERROR(INDEX('Company MOA setup'!$B$3:$B$500,MATCH($A420,'Company MOA setup'!$A$3:$A$500,0)),"Division default")</f>
        <v/>
      </c>
      <c r="L420" s="5">
        <f>IF($E420="","",TRIM(IFERROR(INDEX(Divisions!$C$3:$C$50,MATCH($E420,Divisions!$A$3:$A$50,0)),"")&amp;IF(IFERROR(INDEX(Divisions!$E$3:$E$50,MATCH($E420,Divisions!$A$3:$A$50,0)),"")&lt;&gt;"",", "&amp;IFERROR(INDEX(Divisions!$E$3:$E$50,MATCH($E420,Divisions!$A$3:$A$50,0)),""),"")&amp;IF(IFERROR(INDEX(Divisions!$G$3:$G$50,MATCH($E420,Divisions!$A$3:$A$50,0)),"")&lt;&gt;"",", "&amp;IFERROR(INDEX(Divisions!$G$3:$G$50,MATCH($E420,Divisions!$A$3:$A$50,0)),""),"")&amp;IF(IFERROR(INDEX(Divisions!$I$3:$I$50,MATCH($E420,Divisions!$A$3:$A$50,0)),"")&lt;&gt;"",", "&amp;IFERROR(INDEX(Divisions!$I$3:$I$50,MATCH($E420,Divisions!$A$3:$A$50,0)),""),"")))</f>
        <v/>
      </c>
    </row>
    <row r="421">
      <c r="F421" s="5">
        <f>IFERROR(INDEX('Company MOA setup'!$B$3:$B$500,MATCH($A421,'Company MOA setup'!$A$3:$A$500,0)),"Division default")</f>
        <v/>
      </c>
      <c r="L421" s="5">
        <f>IF($E421="","",TRIM(IFERROR(INDEX(Divisions!$C$3:$C$50,MATCH($E421,Divisions!$A$3:$A$50,0)),"")&amp;IF(IFERROR(INDEX(Divisions!$E$3:$E$50,MATCH($E421,Divisions!$A$3:$A$50,0)),"")&lt;&gt;"",", "&amp;IFERROR(INDEX(Divisions!$E$3:$E$50,MATCH($E421,Divisions!$A$3:$A$50,0)),""),"")&amp;IF(IFERROR(INDEX(Divisions!$G$3:$G$50,MATCH($E421,Divisions!$A$3:$A$50,0)),"")&lt;&gt;"",", "&amp;IFERROR(INDEX(Divisions!$G$3:$G$50,MATCH($E421,Divisions!$A$3:$A$50,0)),""),"")&amp;IF(IFERROR(INDEX(Divisions!$I$3:$I$50,MATCH($E421,Divisions!$A$3:$A$50,0)),"")&lt;&gt;"",", "&amp;IFERROR(INDEX(Divisions!$I$3:$I$50,MATCH($E421,Divisions!$A$3:$A$50,0)),""),"")))</f>
        <v/>
      </c>
    </row>
    <row r="422">
      <c r="F422" s="5">
        <f>IFERROR(INDEX('Company MOA setup'!$B$3:$B$500,MATCH($A422,'Company MOA setup'!$A$3:$A$500,0)),"Division default")</f>
        <v/>
      </c>
      <c r="L422" s="5">
        <f>IF($E422="","",TRIM(IFERROR(INDEX(Divisions!$C$3:$C$50,MATCH($E422,Divisions!$A$3:$A$50,0)),"")&amp;IF(IFERROR(INDEX(Divisions!$E$3:$E$50,MATCH($E422,Divisions!$A$3:$A$50,0)),"")&lt;&gt;"",", "&amp;IFERROR(INDEX(Divisions!$E$3:$E$50,MATCH($E422,Divisions!$A$3:$A$50,0)),""),"")&amp;IF(IFERROR(INDEX(Divisions!$G$3:$G$50,MATCH($E422,Divisions!$A$3:$A$50,0)),"")&lt;&gt;"",", "&amp;IFERROR(INDEX(Divisions!$G$3:$G$50,MATCH($E422,Divisions!$A$3:$A$50,0)),""),"")&amp;IF(IFERROR(INDEX(Divisions!$I$3:$I$50,MATCH($E422,Divisions!$A$3:$A$50,0)),"")&lt;&gt;"",", "&amp;IFERROR(INDEX(Divisions!$I$3:$I$50,MATCH($E422,Divisions!$A$3:$A$50,0)),""),"")))</f>
        <v/>
      </c>
    </row>
    <row r="423">
      <c r="F423" s="5">
        <f>IFERROR(INDEX('Company MOA setup'!$B$3:$B$500,MATCH($A423,'Company MOA setup'!$A$3:$A$500,0)),"Division default")</f>
        <v/>
      </c>
      <c r="L423" s="5">
        <f>IF($E423="","",TRIM(IFERROR(INDEX(Divisions!$C$3:$C$50,MATCH($E423,Divisions!$A$3:$A$50,0)),"")&amp;IF(IFERROR(INDEX(Divisions!$E$3:$E$50,MATCH($E423,Divisions!$A$3:$A$50,0)),"")&lt;&gt;"",", "&amp;IFERROR(INDEX(Divisions!$E$3:$E$50,MATCH($E423,Divisions!$A$3:$A$50,0)),""),"")&amp;IF(IFERROR(INDEX(Divisions!$G$3:$G$50,MATCH($E423,Divisions!$A$3:$A$50,0)),"")&lt;&gt;"",", "&amp;IFERROR(INDEX(Divisions!$G$3:$G$50,MATCH($E423,Divisions!$A$3:$A$50,0)),""),"")&amp;IF(IFERROR(INDEX(Divisions!$I$3:$I$50,MATCH($E423,Divisions!$A$3:$A$50,0)),"")&lt;&gt;"",", "&amp;IFERROR(INDEX(Divisions!$I$3:$I$50,MATCH($E423,Divisions!$A$3:$A$50,0)),""),"")))</f>
        <v/>
      </c>
    </row>
    <row r="424">
      <c r="F424" s="5">
        <f>IFERROR(INDEX('Company MOA setup'!$B$3:$B$500,MATCH($A424,'Company MOA setup'!$A$3:$A$500,0)),"Division default")</f>
        <v/>
      </c>
      <c r="L424" s="5">
        <f>IF($E424="","",TRIM(IFERROR(INDEX(Divisions!$C$3:$C$50,MATCH($E424,Divisions!$A$3:$A$50,0)),"")&amp;IF(IFERROR(INDEX(Divisions!$E$3:$E$50,MATCH($E424,Divisions!$A$3:$A$50,0)),"")&lt;&gt;"",", "&amp;IFERROR(INDEX(Divisions!$E$3:$E$50,MATCH($E424,Divisions!$A$3:$A$50,0)),""),"")&amp;IF(IFERROR(INDEX(Divisions!$G$3:$G$50,MATCH($E424,Divisions!$A$3:$A$50,0)),"")&lt;&gt;"",", "&amp;IFERROR(INDEX(Divisions!$G$3:$G$50,MATCH($E424,Divisions!$A$3:$A$50,0)),""),"")&amp;IF(IFERROR(INDEX(Divisions!$I$3:$I$50,MATCH($E424,Divisions!$A$3:$A$50,0)),"")&lt;&gt;"",", "&amp;IFERROR(INDEX(Divisions!$I$3:$I$50,MATCH($E424,Divisions!$A$3:$A$50,0)),""),"")))</f>
        <v/>
      </c>
    </row>
    <row r="425">
      <c r="F425" s="5">
        <f>IFERROR(INDEX('Company MOA setup'!$B$3:$B$500,MATCH($A425,'Company MOA setup'!$A$3:$A$500,0)),"Division default")</f>
        <v/>
      </c>
      <c r="L425" s="5">
        <f>IF($E425="","",TRIM(IFERROR(INDEX(Divisions!$C$3:$C$50,MATCH($E425,Divisions!$A$3:$A$50,0)),"")&amp;IF(IFERROR(INDEX(Divisions!$E$3:$E$50,MATCH($E425,Divisions!$A$3:$A$50,0)),"")&lt;&gt;"",", "&amp;IFERROR(INDEX(Divisions!$E$3:$E$50,MATCH($E425,Divisions!$A$3:$A$50,0)),""),"")&amp;IF(IFERROR(INDEX(Divisions!$G$3:$G$50,MATCH($E425,Divisions!$A$3:$A$50,0)),"")&lt;&gt;"",", "&amp;IFERROR(INDEX(Divisions!$G$3:$G$50,MATCH($E425,Divisions!$A$3:$A$50,0)),""),"")&amp;IF(IFERROR(INDEX(Divisions!$I$3:$I$50,MATCH($E425,Divisions!$A$3:$A$50,0)),"")&lt;&gt;"",", "&amp;IFERROR(INDEX(Divisions!$I$3:$I$50,MATCH($E425,Divisions!$A$3:$A$50,0)),""),"")))</f>
        <v/>
      </c>
    </row>
    <row r="426">
      <c r="F426" s="5">
        <f>IFERROR(INDEX('Company MOA setup'!$B$3:$B$500,MATCH($A426,'Company MOA setup'!$A$3:$A$500,0)),"Division default")</f>
        <v/>
      </c>
      <c r="L426" s="5">
        <f>IF($E426="","",TRIM(IFERROR(INDEX(Divisions!$C$3:$C$50,MATCH($E426,Divisions!$A$3:$A$50,0)),"")&amp;IF(IFERROR(INDEX(Divisions!$E$3:$E$50,MATCH($E426,Divisions!$A$3:$A$50,0)),"")&lt;&gt;"",", "&amp;IFERROR(INDEX(Divisions!$E$3:$E$50,MATCH($E426,Divisions!$A$3:$A$50,0)),""),"")&amp;IF(IFERROR(INDEX(Divisions!$G$3:$G$50,MATCH($E426,Divisions!$A$3:$A$50,0)),"")&lt;&gt;"",", "&amp;IFERROR(INDEX(Divisions!$G$3:$G$50,MATCH($E426,Divisions!$A$3:$A$50,0)),""),"")&amp;IF(IFERROR(INDEX(Divisions!$I$3:$I$50,MATCH($E426,Divisions!$A$3:$A$50,0)),"")&lt;&gt;"",", "&amp;IFERROR(INDEX(Divisions!$I$3:$I$50,MATCH($E426,Divisions!$A$3:$A$50,0)),""),"")))</f>
        <v/>
      </c>
    </row>
    <row r="427">
      <c r="F427" s="5">
        <f>IFERROR(INDEX('Company MOA setup'!$B$3:$B$500,MATCH($A427,'Company MOA setup'!$A$3:$A$500,0)),"Division default")</f>
        <v/>
      </c>
      <c r="L427" s="5">
        <f>IF($E427="","",TRIM(IFERROR(INDEX(Divisions!$C$3:$C$50,MATCH($E427,Divisions!$A$3:$A$50,0)),"")&amp;IF(IFERROR(INDEX(Divisions!$E$3:$E$50,MATCH($E427,Divisions!$A$3:$A$50,0)),"")&lt;&gt;"",", "&amp;IFERROR(INDEX(Divisions!$E$3:$E$50,MATCH($E427,Divisions!$A$3:$A$50,0)),""),"")&amp;IF(IFERROR(INDEX(Divisions!$G$3:$G$50,MATCH($E427,Divisions!$A$3:$A$50,0)),"")&lt;&gt;"",", "&amp;IFERROR(INDEX(Divisions!$G$3:$G$50,MATCH($E427,Divisions!$A$3:$A$50,0)),""),"")&amp;IF(IFERROR(INDEX(Divisions!$I$3:$I$50,MATCH($E427,Divisions!$A$3:$A$50,0)),"")&lt;&gt;"",", "&amp;IFERROR(INDEX(Divisions!$I$3:$I$50,MATCH($E427,Divisions!$A$3:$A$50,0)),""),"")))</f>
        <v/>
      </c>
    </row>
    <row r="428">
      <c r="F428" s="5">
        <f>IFERROR(INDEX('Company MOA setup'!$B$3:$B$500,MATCH($A428,'Company MOA setup'!$A$3:$A$500,0)),"Division default")</f>
        <v/>
      </c>
      <c r="L428" s="5">
        <f>IF($E428="","",TRIM(IFERROR(INDEX(Divisions!$C$3:$C$50,MATCH($E428,Divisions!$A$3:$A$50,0)),"")&amp;IF(IFERROR(INDEX(Divisions!$E$3:$E$50,MATCH($E428,Divisions!$A$3:$A$50,0)),"")&lt;&gt;"",", "&amp;IFERROR(INDEX(Divisions!$E$3:$E$50,MATCH($E428,Divisions!$A$3:$A$50,0)),""),"")&amp;IF(IFERROR(INDEX(Divisions!$G$3:$G$50,MATCH($E428,Divisions!$A$3:$A$50,0)),"")&lt;&gt;"",", "&amp;IFERROR(INDEX(Divisions!$G$3:$G$50,MATCH($E428,Divisions!$A$3:$A$50,0)),""),"")&amp;IF(IFERROR(INDEX(Divisions!$I$3:$I$50,MATCH($E428,Divisions!$A$3:$A$50,0)),"")&lt;&gt;"",", "&amp;IFERROR(INDEX(Divisions!$I$3:$I$50,MATCH($E428,Divisions!$A$3:$A$50,0)),""),"")))</f>
        <v/>
      </c>
    </row>
    <row r="429">
      <c r="F429" s="5">
        <f>IFERROR(INDEX('Company MOA setup'!$B$3:$B$500,MATCH($A429,'Company MOA setup'!$A$3:$A$500,0)),"Division default")</f>
        <v/>
      </c>
      <c r="L429" s="5">
        <f>IF($E429="","",TRIM(IFERROR(INDEX(Divisions!$C$3:$C$50,MATCH($E429,Divisions!$A$3:$A$50,0)),"")&amp;IF(IFERROR(INDEX(Divisions!$E$3:$E$50,MATCH($E429,Divisions!$A$3:$A$50,0)),"")&lt;&gt;"",", "&amp;IFERROR(INDEX(Divisions!$E$3:$E$50,MATCH($E429,Divisions!$A$3:$A$50,0)),""),"")&amp;IF(IFERROR(INDEX(Divisions!$G$3:$G$50,MATCH($E429,Divisions!$A$3:$A$50,0)),"")&lt;&gt;"",", "&amp;IFERROR(INDEX(Divisions!$G$3:$G$50,MATCH($E429,Divisions!$A$3:$A$50,0)),""),"")&amp;IF(IFERROR(INDEX(Divisions!$I$3:$I$50,MATCH($E429,Divisions!$A$3:$A$50,0)),"")&lt;&gt;"",", "&amp;IFERROR(INDEX(Divisions!$I$3:$I$50,MATCH($E429,Divisions!$A$3:$A$50,0)),""),"")))</f>
        <v/>
      </c>
    </row>
    <row r="430">
      <c r="F430" s="5">
        <f>IFERROR(INDEX('Company MOA setup'!$B$3:$B$500,MATCH($A430,'Company MOA setup'!$A$3:$A$500,0)),"Division default")</f>
        <v/>
      </c>
      <c r="L430" s="5">
        <f>IF($E430="","",TRIM(IFERROR(INDEX(Divisions!$C$3:$C$50,MATCH($E430,Divisions!$A$3:$A$50,0)),"")&amp;IF(IFERROR(INDEX(Divisions!$E$3:$E$50,MATCH($E430,Divisions!$A$3:$A$50,0)),"")&lt;&gt;"",", "&amp;IFERROR(INDEX(Divisions!$E$3:$E$50,MATCH($E430,Divisions!$A$3:$A$50,0)),""),"")&amp;IF(IFERROR(INDEX(Divisions!$G$3:$G$50,MATCH($E430,Divisions!$A$3:$A$50,0)),"")&lt;&gt;"",", "&amp;IFERROR(INDEX(Divisions!$G$3:$G$50,MATCH($E430,Divisions!$A$3:$A$50,0)),""),"")&amp;IF(IFERROR(INDEX(Divisions!$I$3:$I$50,MATCH($E430,Divisions!$A$3:$A$50,0)),"")&lt;&gt;"",", "&amp;IFERROR(INDEX(Divisions!$I$3:$I$50,MATCH($E430,Divisions!$A$3:$A$50,0)),""),"")))</f>
        <v/>
      </c>
    </row>
    <row r="431">
      <c r="F431" s="5">
        <f>IFERROR(INDEX('Company MOA setup'!$B$3:$B$500,MATCH($A431,'Company MOA setup'!$A$3:$A$500,0)),"Division default")</f>
        <v/>
      </c>
      <c r="L431" s="5">
        <f>IF($E431="","",TRIM(IFERROR(INDEX(Divisions!$C$3:$C$50,MATCH($E431,Divisions!$A$3:$A$50,0)),"")&amp;IF(IFERROR(INDEX(Divisions!$E$3:$E$50,MATCH($E431,Divisions!$A$3:$A$50,0)),"")&lt;&gt;"",", "&amp;IFERROR(INDEX(Divisions!$E$3:$E$50,MATCH($E431,Divisions!$A$3:$A$50,0)),""),"")&amp;IF(IFERROR(INDEX(Divisions!$G$3:$G$50,MATCH($E431,Divisions!$A$3:$A$50,0)),"")&lt;&gt;"",", "&amp;IFERROR(INDEX(Divisions!$G$3:$G$50,MATCH($E431,Divisions!$A$3:$A$50,0)),""),"")&amp;IF(IFERROR(INDEX(Divisions!$I$3:$I$50,MATCH($E431,Divisions!$A$3:$A$50,0)),"")&lt;&gt;"",", "&amp;IFERROR(INDEX(Divisions!$I$3:$I$50,MATCH($E431,Divisions!$A$3:$A$50,0)),""),"")))</f>
        <v/>
      </c>
    </row>
    <row r="432">
      <c r="F432" s="5">
        <f>IFERROR(INDEX('Company MOA setup'!$B$3:$B$500,MATCH($A432,'Company MOA setup'!$A$3:$A$500,0)),"Division default")</f>
        <v/>
      </c>
      <c r="L432" s="5">
        <f>IF($E432="","",TRIM(IFERROR(INDEX(Divisions!$C$3:$C$50,MATCH($E432,Divisions!$A$3:$A$50,0)),"")&amp;IF(IFERROR(INDEX(Divisions!$E$3:$E$50,MATCH($E432,Divisions!$A$3:$A$50,0)),"")&lt;&gt;"",", "&amp;IFERROR(INDEX(Divisions!$E$3:$E$50,MATCH($E432,Divisions!$A$3:$A$50,0)),""),"")&amp;IF(IFERROR(INDEX(Divisions!$G$3:$G$50,MATCH($E432,Divisions!$A$3:$A$50,0)),"")&lt;&gt;"",", "&amp;IFERROR(INDEX(Divisions!$G$3:$G$50,MATCH($E432,Divisions!$A$3:$A$50,0)),""),"")&amp;IF(IFERROR(INDEX(Divisions!$I$3:$I$50,MATCH($E432,Divisions!$A$3:$A$50,0)),"")&lt;&gt;"",", "&amp;IFERROR(INDEX(Divisions!$I$3:$I$50,MATCH($E432,Divisions!$A$3:$A$50,0)),""),"")))</f>
        <v/>
      </c>
    </row>
    <row r="433">
      <c r="F433" s="5">
        <f>IFERROR(INDEX('Company MOA setup'!$B$3:$B$500,MATCH($A433,'Company MOA setup'!$A$3:$A$500,0)),"Division default")</f>
        <v/>
      </c>
      <c r="L433" s="5">
        <f>IF($E433="","",TRIM(IFERROR(INDEX(Divisions!$C$3:$C$50,MATCH($E433,Divisions!$A$3:$A$50,0)),"")&amp;IF(IFERROR(INDEX(Divisions!$E$3:$E$50,MATCH($E433,Divisions!$A$3:$A$50,0)),"")&lt;&gt;"",", "&amp;IFERROR(INDEX(Divisions!$E$3:$E$50,MATCH($E433,Divisions!$A$3:$A$50,0)),""),"")&amp;IF(IFERROR(INDEX(Divisions!$G$3:$G$50,MATCH($E433,Divisions!$A$3:$A$50,0)),"")&lt;&gt;"",", "&amp;IFERROR(INDEX(Divisions!$G$3:$G$50,MATCH($E433,Divisions!$A$3:$A$50,0)),""),"")&amp;IF(IFERROR(INDEX(Divisions!$I$3:$I$50,MATCH($E433,Divisions!$A$3:$A$50,0)),"")&lt;&gt;"",", "&amp;IFERROR(INDEX(Divisions!$I$3:$I$50,MATCH($E433,Divisions!$A$3:$A$50,0)),""),"")))</f>
        <v/>
      </c>
    </row>
    <row r="434">
      <c r="F434" s="5">
        <f>IFERROR(INDEX('Company MOA setup'!$B$3:$B$500,MATCH($A434,'Company MOA setup'!$A$3:$A$500,0)),"Division default")</f>
        <v/>
      </c>
      <c r="L434" s="5">
        <f>IF($E434="","",TRIM(IFERROR(INDEX(Divisions!$C$3:$C$50,MATCH($E434,Divisions!$A$3:$A$50,0)),"")&amp;IF(IFERROR(INDEX(Divisions!$E$3:$E$50,MATCH($E434,Divisions!$A$3:$A$50,0)),"")&lt;&gt;"",", "&amp;IFERROR(INDEX(Divisions!$E$3:$E$50,MATCH($E434,Divisions!$A$3:$A$50,0)),""),"")&amp;IF(IFERROR(INDEX(Divisions!$G$3:$G$50,MATCH($E434,Divisions!$A$3:$A$50,0)),"")&lt;&gt;"",", "&amp;IFERROR(INDEX(Divisions!$G$3:$G$50,MATCH($E434,Divisions!$A$3:$A$50,0)),""),"")&amp;IF(IFERROR(INDEX(Divisions!$I$3:$I$50,MATCH($E434,Divisions!$A$3:$A$50,0)),"")&lt;&gt;"",", "&amp;IFERROR(INDEX(Divisions!$I$3:$I$50,MATCH($E434,Divisions!$A$3:$A$50,0)),""),"")))</f>
        <v/>
      </c>
    </row>
    <row r="435">
      <c r="F435" s="5">
        <f>IFERROR(INDEX('Company MOA setup'!$B$3:$B$500,MATCH($A435,'Company MOA setup'!$A$3:$A$500,0)),"Division default")</f>
        <v/>
      </c>
      <c r="L435" s="5">
        <f>IF($E435="","",TRIM(IFERROR(INDEX(Divisions!$C$3:$C$50,MATCH($E435,Divisions!$A$3:$A$50,0)),"")&amp;IF(IFERROR(INDEX(Divisions!$E$3:$E$50,MATCH($E435,Divisions!$A$3:$A$50,0)),"")&lt;&gt;"",", "&amp;IFERROR(INDEX(Divisions!$E$3:$E$50,MATCH($E435,Divisions!$A$3:$A$50,0)),""),"")&amp;IF(IFERROR(INDEX(Divisions!$G$3:$G$50,MATCH($E435,Divisions!$A$3:$A$50,0)),"")&lt;&gt;"",", "&amp;IFERROR(INDEX(Divisions!$G$3:$G$50,MATCH($E435,Divisions!$A$3:$A$50,0)),""),"")&amp;IF(IFERROR(INDEX(Divisions!$I$3:$I$50,MATCH($E435,Divisions!$A$3:$A$50,0)),"")&lt;&gt;"",", "&amp;IFERROR(INDEX(Divisions!$I$3:$I$50,MATCH($E435,Divisions!$A$3:$A$50,0)),""),"")))</f>
        <v/>
      </c>
    </row>
    <row r="436">
      <c r="F436" s="5">
        <f>IFERROR(INDEX('Company MOA setup'!$B$3:$B$500,MATCH($A436,'Company MOA setup'!$A$3:$A$500,0)),"Division default")</f>
        <v/>
      </c>
      <c r="L436" s="5">
        <f>IF($E436="","",TRIM(IFERROR(INDEX(Divisions!$C$3:$C$50,MATCH($E436,Divisions!$A$3:$A$50,0)),"")&amp;IF(IFERROR(INDEX(Divisions!$E$3:$E$50,MATCH($E436,Divisions!$A$3:$A$50,0)),"")&lt;&gt;"",", "&amp;IFERROR(INDEX(Divisions!$E$3:$E$50,MATCH($E436,Divisions!$A$3:$A$50,0)),""),"")&amp;IF(IFERROR(INDEX(Divisions!$G$3:$G$50,MATCH($E436,Divisions!$A$3:$A$50,0)),"")&lt;&gt;"",", "&amp;IFERROR(INDEX(Divisions!$G$3:$G$50,MATCH($E436,Divisions!$A$3:$A$50,0)),""),"")&amp;IF(IFERROR(INDEX(Divisions!$I$3:$I$50,MATCH($E436,Divisions!$A$3:$A$50,0)),"")&lt;&gt;"",", "&amp;IFERROR(INDEX(Divisions!$I$3:$I$50,MATCH($E436,Divisions!$A$3:$A$50,0)),""),"")))</f>
        <v/>
      </c>
    </row>
    <row r="437">
      <c r="F437" s="5">
        <f>IFERROR(INDEX('Company MOA setup'!$B$3:$B$500,MATCH($A437,'Company MOA setup'!$A$3:$A$500,0)),"Division default")</f>
        <v/>
      </c>
      <c r="L437" s="5">
        <f>IF($E437="","",TRIM(IFERROR(INDEX(Divisions!$C$3:$C$50,MATCH($E437,Divisions!$A$3:$A$50,0)),"")&amp;IF(IFERROR(INDEX(Divisions!$E$3:$E$50,MATCH($E437,Divisions!$A$3:$A$50,0)),"")&lt;&gt;"",", "&amp;IFERROR(INDEX(Divisions!$E$3:$E$50,MATCH($E437,Divisions!$A$3:$A$50,0)),""),"")&amp;IF(IFERROR(INDEX(Divisions!$G$3:$G$50,MATCH($E437,Divisions!$A$3:$A$50,0)),"")&lt;&gt;"",", "&amp;IFERROR(INDEX(Divisions!$G$3:$G$50,MATCH($E437,Divisions!$A$3:$A$50,0)),""),"")&amp;IF(IFERROR(INDEX(Divisions!$I$3:$I$50,MATCH($E437,Divisions!$A$3:$A$50,0)),"")&lt;&gt;"",", "&amp;IFERROR(INDEX(Divisions!$I$3:$I$50,MATCH($E437,Divisions!$A$3:$A$50,0)),""),"")))</f>
        <v/>
      </c>
    </row>
    <row r="438">
      <c r="F438" s="5">
        <f>IFERROR(INDEX('Company MOA setup'!$B$3:$B$500,MATCH($A438,'Company MOA setup'!$A$3:$A$500,0)),"Division default")</f>
        <v/>
      </c>
      <c r="L438" s="5">
        <f>IF($E438="","",TRIM(IFERROR(INDEX(Divisions!$C$3:$C$50,MATCH($E438,Divisions!$A$3:$A$50,0)),"")&amp;IF(IFERROR(INDEX(Divisions!$E$3:$E$50,MATCH($E438,Divisions!$A$3:$A$50,0)),"")&lt;&gt;"",", "&amp;IFERROR(INDEX(Divisions!$E$3:$E$50,MATCH($E438,Divisions!$A$3:$A$50,0)),""),"")&amp;IF(IFERROR(INDEX(Divisions!$G$3:$G$50,MATCH($E438,Divisions!$A$3:$A$50,0)),"")&lt;&gt;"",", "&amp;IFERROR(INDEX(Divisions!$G$3:$G$50,MATCH($E438,Divisions!$A$3:$A$50,0)),""),"")&amp;IF(IFERROR(INDEX(Divisions!$I$3:$I$50,MATCH($E438,Divisions!$A$3:$A$50,0)),"")&lt;&gt;"",", "&amp;IFERROR(INDEX(Divisions!$I$3:$I$50,MATCH($E438,Divisions!$A$3:$A$50,0)),""),"")))</f>
        <v/>
      </c>
    </row>
    <row r="439">
      <c r="F439" s="5">
        <f>IFERROR(INDEX('Company MOA setup'!$B$3:$B$500,MATCH($A439,'Company MOA setup'!$A$3:$A$500,0)),"Division default")</f>
        <v/>
      </c>
      <c r="L439" s="5">
        <f>IF($E439="","",TRIM(IFERROR(INDEX(Divisions!$C$3:$C$50,MATCH($E439,Divisions!$A$3:$A$50,0)),"")&amp;IF(IFERROR(INDEX(Divisions!$E$3:$E$50,MATCH($E439,Divisions!$A$3:$A$50,0)),"")&lt;&gt;"",", "&amp;IFERROR(INDEX(Divisions!$E$3:$E$50,MATCH($E439,Divisions!$A$3:$A$50,0)),""),"")&amp;IF(IFERROR(INDEX(Divisions!$G$3:$G$50,MATCH($E439,Divisions!$A$3:$A$50,0)),"")&lt;&gt;"",", "&amp;IFERROR(INDEX(Divisions!$G$3:$G$50,MATCH($E439,Divisions!$A$3:$A$50,0)),""),"")&amp;IF(IFERROR(INDEX(Divisions!$I$3:$I$50,MATCH($E439,Divisions!$A$3:$A$50,0)),"")&lt;&gt;"",", "&amp;IFERROR(INDEX(Divisions!$I$3:$I$50,MATCH($E439,Divisions!$A$3:$A$50,0)),""),"")))</f>
        <v/>
      </c>
    </row>
    <row r="440">
      <c r="F440" s="5">
        <f>IFERROR(INDEX('Company MOA setup'!$B$3:$B$500,MATCH($A440,'Company MOA setup'!$A$3:$A$500,0)),"Division default")</f>
        <v/>
      </c>
      <c r="L440" s="5">
        <f>IF($E440="","",TRIM(IFERROR(INDEX(Divisions!$C$3:$C$50,MATCH($E440,Divisions!$A$3:$A$50,0)),"")&amp;IF(IFERROR(INDEX(Divisions!$E$3:$E$50,MATCH($E440,Divisions!$A$3:$A$50,0)),"")&lt;&gt;"",", "&amp;IFERROR(INDEX(Divisions!$E$3:$E$50,MATCH($E440,Divisions!$A$3:$A$50,0)),""),"")&amp;IF(IFERROR(INDEX(Divisions!$G$3:$G$50,MATCH($E440,Divisions!$A$3:$A$50,0)),"")&lt;&gt;"",", "&amp;IFERROR(INDEX(Divisions!$G$3:$G$50,MATCH($E440,Divisions!$A$3:$A$50,0)),""),"")&amp;IF(IFERROR(INDEX(Divisions!$I$3:$I$50,MATCH($E440,Divisions!$A$3:$A$50,0)),"")&lt;&gt;"",", "&amp;IFERROR(INDEX(Divisions!$I$3:$I$50,MATCH($E440,Divisions!$A$3:$A$50,0)),""),"")))</f>
        <v/>
      </c>
    </row>
    <row r="441">
      <c r="F441" s="5">
        <f>IFERROR(INDEX('Company MOA setup'!$B$3:$B$500,MATCH($A441,'Company MOA setup'!$A$3:$A$500,0)),"Division default")</f>
        <v/>
      </c>
      <c r="L441" s="5">
        <f>IF($E441="","",TRIM(IFERROR(INDEX(Divisions!$C$3:$C$50,MATCH($E441,Divisions!$A$3:$A$50,0)),"")&amp;IF(IFERROR(INDEX(Divisions!$E$3:$E$50,MATCH($E441,Divisions!$A$3:$A$50,0)),"")&lt;&gt;"",", "&amp;IFERROR(INDEX(Divisions!$E$3:$E$50,MATCH($E441,Divisions!$A$3:$A$50,0)),""),"")&amp;IF(IFERROR(INDEX(Divisions!$G$3:$G$50,MATCH($E441,Divisions!$A$3:$A$50,0)),"")&lt;&gt;"",", "&amp;IFERROR(INDEX(Divisions!$G$3:$G$50,MATCH($E441,Divisions!$A$3:$A$50,0)),""),"")&amp;IF(IFERROR(INDEX(Divisions!$I$3:$I$50,MATCH($E441,Divisions!$A$3:$A$50,0)),"")&lt;&gt;"",", "&amp;IFERROR(INDEX(Divisions!$I$3:$I$50,MATCH($E441,Divisions!$A$3:$A$50,0)),""),"")))</f>
        <v/>
      </c>
    </row>
    <row r="442">
      <c r="F442" s="5">
        <f>IFERROR(INDEX('Company MOA setup'!$B$3:$B$500,MATCH($A442,'Company MOA setup'!$A$3:$A$500,0)),"Division default")</f>
        <v/>
      </c>
      <c r="L442" s="5">
        <f>IF($E442="","",TRIM(IFERROR(INDEX(Divisions!$C$3:$C$50,MATCH($E442,Divisions!$A$3:$A$50,0)),"")&amp;IF(IFERROR(INDEX(Divisions!$E$3:$E$50,MATCH($E442,Divisions!$A$3:$A$50,0)),"")&lt;&gt;"",", "&amp;IFERROR(INDEX(Divisions!$E$3:$E$50,MATCH($E442,Divisions!$A$3:$A$50,0)),""),"")&amp;IF(IFERROR(INDEX(Divisions!$G$3:$G$50,MATCH($E442,Divisions!$A$3:$A$50,0)),"")&lt;&gt;"",", "&amp;IFERROR(INDEX(Divisions!$G$3:$G$50,MATCH($E442,Divisions!$A$3:$A$50,0)),""),"")&amp;IF(IFERROR(INDEX(Divisions!$I$3:$I$50,MATCH($E442,Divisions!$A$3:$A$50,0)),"")&lt;&gt;"",", "&amp;IFERROR(INDEX(Divisions!$I$3:$I$50,MATCH($E442,Divisions!$A$3:$A$50,0)),""),"")))</f>
        <v/>
      </c>
    </row>
    <row r="443">
      <c r="F443" s="5">
        <f>IFERROR(INDEX('Company MOA setup'!$B$3:$B$500,MATCH($A443,'Company MOA setup'!$A$3:$A$500,0)),"Division default")</f>
        <v/>
      </c>
      <c r="L443" s="5">
        <f>IF($E443="","",TRIM(IFERROR(INDEX(Divisions!$C$3:$C$50,MATCH($E443,Divisions!$A$3:$A$50,0)),"")&amp;IF(IFERROR(INDEX(Divisions!$E$3:$E$50,MATCH($E443,Divisions!$A$3:$A$50,0)),"")&lt;&gt;"",", "&amp;IFERROR(INDEX(Divisions!$E$3:$E$50,MATCH($E443,Divisions!$A$3:$A$50,0)),""),"")&amp;IF(IFERROR(INDEX(Divisions!$G$3:$G$50,MATCH($E443,Divisions!$A$3:$A$50,0)),"")&lt;&gt;"",", "&amp;IFERROR(INDEX(Divisions!$G$3:$G$50,MATCH($E443,Divisions!$A$3:$A$50,0)),""),"")&amp;IF(IFERROR(INDEX(Divisions!$I$3:$I$50,MATCH($E443,Divisions!$A$3:$A$50,0)),"")&lt;&gt;"",", "&amp;IFERROR(INDEX(Divisions!$I$3:$I$50,MATCH($E443,Divisions!$A$3:$A$50,0)),""),"")))</f>
        <v/>
      </c>
    </row>
    <row r="444">
      <c r="F444" s="5">
        <f>IFERROR(INDEX('Company MOA setup'!$B$3:$B$500,MATCH($A444,'Company MOA setup'!$A$3:$A$500,0)),"Division default")</f>
        <v/>
      </c>
      <c r="L444" s="5">
        <f>IF($E444="","",TRIM(IFERROR(INDEX(Divisions!$C$3:$C$50,MATCH($E444,Divisions!$A$3:$A$50,0)),"")&amp;IF(IFERROR(INDEX(Divisions!$E$3:$E$50,MATCH($E444,Divisions!$A$3:$A$50,0)),"")&lt;&gt;"",", "&amp;IFERROR(INDEX(Divisions!$E$3:$E$50,MATCH($E444,Divisions!$A$3:$A$50,0)),""),"")&amp;IF(IFERROR(INDEX(Divisions!$G$3:$G$50,MATCH($E444,Divisions!$A$3:$A$50,0)),"")&lt;&gt;"",", "&amp;IFERROR(INDEX(Divisions!$G$3:$G$50,MATCH($E444,Divisions!$A$3:$A$50,0)),""),"")&amp;IF(IFERROR(INDEX(Divisions!$I$3:$I$50,MATCH($E444,Divisions!$A$3:$A$50,0)),"")&lt;&gt;"",", "&amp;IFERROR(INDEX(Divisions!$I$3:$I$50,MATCH($E444,Divisions!$A$3:$A$50,0)),""),"")))</f>
        <v/>
      </c>
    </row>
    <row r="445">
      <c r="F445" s="5">
        <f>IFERROR(INDEX('Company MOA setup'!$B$3:$B$500,MATCH($A445,'Company MOA setup'!$A$3:$A$500,0)),"Division default")</f>
        <v/>
      </c>
      <c r="L445" s="5">
        <f>IF($E445="","",TRIM(IFERROR(INDEX(Divisions!$C$3:$C$50,MATCH($E445,Divisions!$A$3:$A$50,0)),"")&amp;IF(IFERROR(INDEX(Divisions!$E$3:$E$50,MATCH($E445,Divisions!$A$3:$A$50,0)),"")&lt;&gt;"",", "&amp;IFERROR(INDEX(Divisions!$E$3:$E$50,MATCH($E445,Divisions!$A$3:$A$50,0)),""),"")&amp;IF(IFERROR(INDEX(Divisions!$G$3:$G$50,MATCH($E445,Divisions!$A$3:$A$50,0)),"")&lt;&gt;"",", "&amp;IFERROR(INDEX(Divisions!$G$3:$G$50,MATCH($E445,Divisions!$A$3:$A$50,0)),""),"")&amp;IF(IFERROR(INDEX(Divisions!$I$3:$I$50,MATCH($E445,Divisions!$A$3:$A$50,0)),"")&lt;&gt;"",", "&amp;IFERROR(INDEX(Divisions!$I$3:$I$50,MATCH($E445,Divisions!$A$3:$A$50,0)),""),"")))</f>
        <v/>
      </c>
    </row>
    <row r="446">
      <c r="F446" s="5">
        <f>IFERROR(INDEX('Company MOA setup'!$B$3:$B$500,MATCH($A446,'Company MOA setup'!$A$3:$A$500,0)),"Division default")</f>
        <v/>
      </c>
      <c r="L446" s="5">
        <f>IF($E446="","",TRIM(IFERROR(INDEX(Divisions!$C$3:$C$50,MATCH($E446,Divisions!$A$3:$A$50,0)),"")&amp;IF(IFERROR(INDEX(Divisions!$E$3:$E$50,MATCH($E446,Divisions!$A$3:$A$50,0)),"")&lt;&gt;"",", "&amp;IFERROR(INDEX(Divisions!$E$3:$E$50,MATCH($E446,Divisions!$A$3:$A$50,0)),""),"")&amp;IF(IFERROR(INDEX(Divisions!$G$3:$G$50,MATCH($E446,Divisions!$A$3:$A$50,0)),"")&lt;&gt;"",", "&amp;IFERROR(INDEX(Divisions!$G$3:$G$50,MATCH($E446,Divisions!$A$3:$A$50,0)),""),"")&amp;IF(IFERROR(INDEX(Divisions!$I$3:$I$50,MATCH($E446,Divisions!$A$3:$A$50,0)),"")&lt;&gt;"",", "&amp;IFERROR(INDEX(Divisions!$I$3:$I$50,MATCH($E446,Divisions!$A$3:$A$50,0)),""),"")))</f>
        <v/>
      </c>
    </row>
    <row r="447">
      <c r="F447" s="5">
        <f>IFERROR(INDEX('Company MOA setup'!$B$3:$B$500,MATCH($A447,'Company MOA setup'!$A$3:$A$500,0)),"Division default")</f>
        <v/>
      </c>
      <c r="L447" s="5">
        <f>IF($E447="","",TRIM(IFERROR(INDEX(Divisions!$C$3:$C$50,MATCH($E447,Divisions!$A$3:$A$50,0)),"")&amp;IF(IFERROR(INDEX(Divisions!$E$3:$E$50,MATCH($E447,Divisions!$A$3:$A$50,0)),"")&lt;&gt;"",", "&amp;IFERROR(INDEX(Divisions!$E$3:$E$50,MATCH($E447,Divisions!$A$3:$A$50,0)),""),"")&amp;IF(IFERROR(INDEX(Divisions!$G$3:$G$50,MATCH($E447,Divisions!$A$3:$A$50,0)),"")&lt;&gt;"",", "&amp;IFERROR(INDEX(Divisions!$G$3:$G$50,MATCH($E447,Divisions!$A$3:$A$50,0)),""),"")&amp;IF(IFERROR(INDEX(Divisions!$I$3:$I$50,MATCH($E447,Divisions!$A$3:$A$50,0)),"")&lt;&gt;"",", "&amp;IFERROR(INDEX(Divisions!$I$3:$I$50,MATCH($E447,Divisions!$A$3:$A$50,0)),""),"")))</f>
        <v/>
      </c>
    </row>
    <row r="448">
      <c r="F448" s="5">
        <f>IFERROR(INDEX('Company MOA setup'!$B$3:$B$500,MATCH($A448,'Company MOA setup'!$A$3:$A$500,0)),"Division default")</f>
        <v/>
      </c>
      <c r="L448" s="5">
        <f>IF($E448="","",TRIM(IFERROR(INDEX(Divisions!$C$3:$C$50,MATCH($E448,Divisions!$A$3:$A$50,0)),"")&amp;IF(IFERROR(INDEX(Divisions!$E$3:$E$50,MATCH($E448,Divisions!$A$3:$A$50,0)),"")&lt;&gt;"",", "&amp;IFERROR(INDEX(Divisions!$E$3:$E$50,MATCH($E448,Divisions!$A$3:$A$50,0)),""),"")&amp;IF(IFERROR(INDEX(Divisions!$G$3:$G$50,MATCH($E448,Divisions!$A$3:$A$50,0)),"")&lt;&gt;"",", "&amp;IFERROR(INDEX(Divisions!$G$3:$G$50,MATCH($E448,Divisions!$A$3:$A$50,0)),""),"")&amp;IF(IFERROR(INDEX(Divisions!$I$3:$I$50,MATCH($E448,Divisions!$A$3:$A$50,0)),"")&lt;&gt;"",", "&amp;IFERROR(INDEX(Divisions!$I$3:$I$50,MATCH($E448,Divisions!$A$3:$A$50,0)),""),"")))</f>
        <v/>
      </c>
    </row>
    <row r="449">
      <c r="F449" s="5">
        <f>IFERROR(INDEX('Company MOA setup'!$B$3:$B$500,MATCH($A449,'Company MOA setup'!$A$3:$A$500,0)),"Division default")</f>
        <v/>
      </c>
      <c r="L449" s="5">
        <f>IF($E449="","",TRIM(IFERROR(INDEX(Divisions!$C$3:$C$50,MATCH($E449,Divisions!$A$3:$A$50,0)),"")&amp;IF(IFERROR(INDEX(Divisions!$E$3:$E$50,MATCH($E449,Divisions!$A$3:$A$50,0)),"")&lt;&gt;"",", "&amp;IFERROR(INDEX(Divisions!$E$3:$E$50,MATCH($E449,Divisions!$A$3:$A$50,0)),""),"")&amp;IF(IFERROR(INDEX(Divisions!$G$3:$G$50,MATCH($E449,Divisions!$A$3:$A$50,0)),"")&lt;&gt;"",", "&amp;IFERROR(INDEX(Divisions!$G$3:$G$50,MATCH($E449,Divisions!$A$3:$A$50,0)),""),"")&amp;IF(IFERROR(INDEX(Divisions!$I$3:$I$50,MATCH($E449,Divisions!$A$3:$A$50,0)),"")&lt;&gt;"",", "&amp;IFERROR(INDEX(Divisions!$I$3:$I$50,MATCH($E449,Divisions!$A$3:$A$50,0)),""),"")))</f>
        <v/>
      </c>
    </row>
    <row r="450">
      <c r="F450" s="5">
        <f>IFERROR(INDEX('Company MOA setup'!$B$3:$B$500,MATCH($A450,'Company MOA setup'!$A$3:$A$500,0)),"Division default")</f>
        <v/>
      </c>
      <c r="L450" s="5">
        <f>IF($E450="","",TRIM(IFERROR(INDEX(Divisions!$C$3:$C$50,MATCH($E450,Divisions!$A$3:$A$50,0)),"")&amp;IF(IFERROR(INDEX(Divisions!$E$3:$E$50,MATCH($E450,Divisions!$A$3:$A$50,0)),"")&lt;&gt;"",", "&amp;IFERROR(INDEX(Divisions!$E$3:$E$50,MATCH($E450,Divisions!$A$3:$A$50,0)),""),"")&amp;IF(IFERROR(INDEX(Divisions!$G$3:$G$50,MATCH($E450,Divisions!$A$3:$A$50,0)),"")&lt;&gt;"",", "&amp;IFERROR(INDEX(Divisions!$G$3:$G$50,MATCH($E450,Divisions!$A$3:$A$50,0)),""),"")&amp;IF(IFERROR(INDEX(Divisions!$I$3:$I$50,MATCH($E450,Divisions!$A$3:$A$50,0)),"")&lt;&gt;"",", "&amp;IFERROR(INDEX(Divisions!$I$3:$I$50,MATCH($E450,Divisions!$A$3:$A$50,0)),""),"")))</f>
        <v/>
      </c>
    </row>
    <row r="451">
      <c r="F451" s="5">
        <f>IFERROR(INDEX('Company MOA setup'!$B$3:$B$500,MATCH($A451,'Company MOA setup'!$A$3:$A$500,0)),"Division default")</f>
        <v/>
      </c>
      <c r="L451" s="5">
        <f>IF($E451="","",TRIM(IFERROR(INDEX(Divisions!$C$3:$C$50,MATCH($E451,Divisions!$A$3:$A$50,0)),"")&amp;IF(IFERROR(INDEX(Divisions!$E$3:$E$50,MATCH($E451,Divisions!$A$3:$A$50,0)),"")&lt;&gt;"",", "&amp;IFERROR(INDEX(Divisions!$E$3:$E$50,MATCH($E451,Divisions!$A$3:$A$50,0)),""),"")&amp;IF(IFERROR(INDEX(Divisions!$G$3:$G$50,MATCH($E451,Divisions!$A$3:$A$50,0)),"")&lt;&gt;"",", "&amp;IFERROR(INDEX(Divisions!$G$3:$G$50,MATCH($E451,Divisions!$A$3:$A$50,0)),""),"")&amp;IF(IFERROR(INDEX(Divisions!$I$3:$I$50,MATCH($E451,Divisions!$A$3:$A$50,0)),"")&lt;&gt;"",", "&amp;IFERROR(INDEX(Divisions!$I$3:$I$50,MATCH($E451,Divisions!$A$3:$A$50,0)),""),"")))</f>
        <v/>
      </c>
    </row>
    <row r="452">
      <c r="F452" s="5">
        <f>IFERROR(INDEX('Company MOA setup'!$B$3:$B$500,MATCH($A452,'Company MOA setup'!$A$3:$A$500,0)),"Division default")</f>
        <v/>
      </c>
      <c r="L452" s="5">
        <f>IF($E452="","",TRIM(IFERROR(INDEX(Divisions!$C$3:$C$50,MATCH($E452,Divisions!$A$3:$A$50,0)),"")&amp;IF(IFERROR(INDEX(Divisions!$E$3:$E$50,MATCH($E452,Divisions!$A$3:$A$50,0)),"")&lt;&gt;"",", "&amp;IFERROR(INDEX(Divisions!$E$3:$E$50,MATCH($E452,Divisions!$A$3:$A$50,0)),""),"")&amp;IF(IFERROR(INDEX(Divisions!$G$3:$G$50,MATCH($E452,Divisions!$A$3:$A$50,0)),"")&lt;&gt;"",", "&amp;IFERROR(INDEX(Divisions!$G$3:$G$50,MATCH($E452,Divisions!$A$3:$A$50,0)),""),"")&amp;IF(IFERROR(INDEX(Divisions!$I$3:$I$50,MATCH($E452,Divisions!$A$3:$A$50,0)),"")&lt;&gt;"",", "&amp;IFERROR(INDEX(Divisions!$I$3:$I$50,MATCH($E452,Divisions!$A$3:$A$50,0)),""),"")))</f>
        <v/>
      </c>
    </row>
    <row r="453">
      <c r="F453" s="5">
        <f>IFERROR(INDEX('Company MOA setup'!$B$3:$B$500,MATCH($A453,'Company MOA setup'!$A$3:$A$500,0)),"Division default")</f>
        <v/>
      </c>
      <c r="L453" s="5">
        <f>IF($E453="","",TRIM(IFERROR(INDEX(Divisions!$C$3:$C$50,MATCH($E453,Divisions!$A$3:$A$50,0)),"")&amp;IF(IFERROR(INDEX(Divisions!$E$3:$E$50,MATCH($E453,Divisions!$A$3:$A$50,0)),"")&lt;&gt;"",", "&amp;IFERROR(INDEX(Divisions!$E$3:$E$50,MATCH($E453,Divisions!$A$3:$A$50,0)),""),"")&amp;IF(IFERROR(INDEX(Divisions!$G$3:$G$50,MATCH($E453,Divisions!$A$3:$A$50,0)),"")&lt;&gt;"",", "&amp;IFERROR(INDEX(Divisions!$G$3:$G$50,MATCH($E453,Divisions!$A$3:$A$50,0)),""),"")&amp;IF(IFERROR(INDEX(Divisions!$I$3:$I$50,MATCH($E453,Divisions!$A$3:$A$50,0)),"")&lt;&gt;"",", "&amp;IFERROR(INDEX(Divisions!$I$3:$I$50,MATCH($E453,Divisions!$A$3:$A$50,0)),""),"")))</f>
        <v/>
      </c>
    </row>
    <row r="454">
      <c r="F454" s="5">
        <f>IFERROR(INDEX('Company MOA setup'!$B$3:$B$500,MATCH($A454,'Company MOA setup'!$A$3:$A$500,0)),"Division default")</f>
        <v/>
      </c>
      <c r="L454" s="5">
        <f>IF($E454="","",TRIM(IFERROR(INDEX(Divisions!$C$3:$C$50,MATCH($E454,Divisions!$A$3:$A$50,0)),"")&amp;IF(IFERROR(INDEX(Divisions!$E$3:$E$50,MATCH($E454,Divisions!$A$3:$A$50,0)),"")&lt;&gt;"",", "&amp;IFERROR(INDEX(Divisions!$E$3:$E$50,MATCH($E454,Divisions!$A$3:$A$50,0)),""),"")&amp;IF(IFERROR(INDEX(Divisions!$G$3:$G$50,MATCH($E454,Divisions!$A$3:$A$50,0)),"")&lt;&gt;"",", "&amp;IFERROR(INDEX(Divisions!$G$3:$G$50,MATCH($E454,Divisions!$A$3:$A$50,0)),""),"")&amp;IF(IFERROR(INDEX(Divisions!$I$3:$I$50,MATCH($E454,Divisions!$A$3:$A$50,0)),"")&lt;&gt;"",", "&amp;IFERROR(INDEX(Divisions!$I$3:$I$50,MATCH($E454,Divisions!$A$3:$A$50,0)),""),"")))</f>
        <v/>
      </c>
    </row>
    <row r="455">
      <c r="F455" s="5">
        <f>IFERROR(INDEX('Company MOA setup'!$B$3:$B$500,MATCH($A455,'Company MOA setup'!$A$3:$A$500,0)),"Division default")</f>
        <v/>
      </c>
      <c r="L455" s="5">
        <f>IF($E455="","",TRIM(IFERROR(INDEX(Divisions!$C$3:$C$50,MATCH($E455,Divisions!$A$3:$A$50,0)),"")&amp;IF(IFERROR(INDEX(Divisions!$E$3:$E$50,MATCH($E455,Divisions!$A$3:$A$50,0)),"")&lt;&gt;"",", "&amp;IFERROR(INDEX(Divisions!$E$3:$E$50,MATCH($E455,Divisions!$A$3:$A$50,0)),""),"")&amp;IF(IFERROR(INDEX(Divisions!$G$3:$G$50,MATCH($E455,Divisions!$A$3:$A$50,0)),"")&lt;&gt;"",", "&amp;IFERROR(INDEX(Divisions!$G$3:$G$50,MATCH($E455,Divisions!$A$3:$A$50,0)),""),"")&amp;IF(IFERROR(INDEX(Divisions!$I$3:$I$50,MATCH($E455,Divisions!$A$3:$A$50,0)),"")&lt;&gt;"",", "&amp;IFERROR(INDEX(Divisions!$I$3:$I$50,MATCH($E455,Divisions!$A$3:$A$50,0)),""),"")))</f>
        <v/>
      </c>
    </row>
    <row r="456">
      <c r="F456" s="5">
        <f>IFERROR(INDEX('Company MOA setup'!$B$3:$B$500,MATCH($A456,'Company MOA setup'!$A$3:$A$500,0)),"Division default")</f>
        <v/>
      </c>
      <c r="L456" s="5">
        <f>IF($E456="","",TRIM(IFERROR(INDEX(Divisions!$C$3:$C$50,MATCH($E456,Divisions!$A$3:$A$50,0)),"")&amp;IF(IFERROR(INDEX(Divisions!$E$3:$E$50,MATCH($E456,Divisions!$A$3:$A$50,0)),"")&lt;&gt;"",", "&amp;IFERROR(INDEX(Divisions!$E$3:$E$50,MATCH($E456,Divisions!$A$3:$A$50,0)),""),"")&amp;IF(IFERROR(INDEX(Divisions!$G$3:$G$50,MATCH($E456,Divisions!$A$3:$A$50,0)),"")&lt;&gt;"",", "&amp;IFERROR(INDEX(Divisions!$G$3:$G$50,MATCH($E456,Divisions!$A$3:$A$50,0)),""),"")&amp;IF(IFERROR(INDEX(Divisions!$I$3:$I$50,MATCH($E456,Divisions!$A$3:$A$50,0)),"")&lt;&gt;"",", "&amp;IFERROR(INDEX(Divisions!$I$3:$I$50,MATCH($E456,Divisions!$A$3:$A$50,0)),""),"")))</f>
        <v/>
      </c>
    </row>
    <row r="457">
      <c r="F457" s="5">
        <f>IFERROR(INDEX('Company MOA setup'!$B$3:$B$500,MATCH($A457,'Company MOA setup'!$A$3:$A$500,0)),"Division default")</f>
        <v/>
      </c>
      <c r="L457" s="5">
        <f>IF($E457="","",TRIM(IFERROR(INDEX(Divisions!$C$3:$C$50,MATCH($E457,Divisions!$A$3:$A$50,0)),"")&amp;IF(IFERROR(INDEX(Divisions!$E$3:$E$50,MATCH($E457,Divisions!$A$3:$A$50,0)),"")&lt;&gt;"",", "&amp;IFERROR(INDEX(Divisions!$E$3:$E$50,MATCH($E457,Divisions!$A$3:$A$50,0)),""),"")&amp;IF(IFERROR(INDEX(Divisions!$G$3:$G$50,MATCH($E457,Divisions!$A$3:$A$50,0)),"")&lt;&gt;"",", "&amp;IFERROR(INDEX(Divisions!$G$3:$G$50,MATCH($E457,Divisions!$A$3:$A$50,0)),""),"")&amp;IF(IFERROR(INDEX(Divisions!$I$3:$I$50,MATCH($E457,Divisions!$A$3:$A$50,0)),"")&lt;&gt;"",", "&amp;IFERROR(INDEX(Divisions!$I$3:$I$50,MATCH($E457,Divisions!$A$3:$A$50,0)),""),"")))</f>
        <v/>
      </c>
    </row>
    <row r="458">
      <c r="F458" s="5">
        <f>IFERROR(INDEX('Company MOA setup'!$B$3:$B$500,MATCH($A458,'Company MOA setup'!$A$3:$A$500,0)),"Division default")</f>
        <v/>
      </c>
      <c r="L458" s="5">
        <f>IF($E458="","",TRIM(IFERROR(INDEX(Divisions!$C$3:$C$50,MATCH($E458,Divisions!$A$3:$A$50,0)),"")&amp;IF(IFERROR(INDEX(Divisions!$E$3:$E$50,MATCH($E458,Divisions!$A$3:$A$50,0)),"")&lt;&gt;"",", "&amp;IFERROR(INDEX(Divisions!$E$3:$E$50,MATCH($E458,Divisions!$A$3:$A$50,0)),""),"")&amp;IF(IFERROR(INDEX(Divisions!$G$3:$G$50,MATCH($E458,Divisions!$A$3:$A$50,0)),"")&lt;&gt;"",", "&amp;IFERROR(INDEX(Divisions!$G$3:$G$50,MATCH($E458,Divisions!$A$3:$A$50,0)),""),"")&amp;IF(IFERROR(INDEX(Divisions!$I$3:$I$50,MATCH($E458,Divisions!$A$3:$A$50,0)),"")&lt;&gt;"",", "&amp;IFERROR(INDEX(Divisions!$I$3:$I$50,MATCH($E458,Divisions!$A$3:$A$50,0)),""),"")))</f>
        <v/>
      </c>
    </row>
    <row r="459">
      <c r="F459" s="5">
        <f>IFERROR(INDEX('Company MOA setup'!$B$3:$B$500,MATCH($A459,'Company MOA setup'!$A$3:$A$500,0)),"Division default")</f>
        <v/>
      </c>
      <c r="L459" s="5">
        <f>IF($E459="","",TRIM(IFERROR(INDEX(Divisions!$C$3:$C$50,MATCH($E459,Divisions!$A$3:$A$50,0)),"")&amp;IF(IFERROR(INDEX(Divisions!$E$3:$E$50,MATCH($E459,Divisions!$A$3:$A$50,0)),"")&lt;&gt;"",", "&amp;IFERROR(INDEX(Divisions!$E$3:$E$50,MATCH($E459,Divisions!$A$3:$A$50,0)),""),"")&amp;IF(IFERROR(INDEX(Divisions!$G$3:$G$50,MATCH($E459,Divisions!$A$3:$A$50,0)),"")&lt;&gt;"",", "&amp;IFERROR(INDEX(Divisions!$G$3:$G$50,MATCH($E459,Divisions!$A$3:$A$50,0)),""),"")&amp;IF(IFERROR(INDEX(Divisions!$I$3:$I$50,MATCH($E459,Divisions!$A$3:$A$50,0)),"")&lt;&gt;"",", "&amp;IFERROR(INDEX(Divisions!$I$3:$I$50,MATCH($E459,Divisions!$A$3:$A$50,0)),""),"")))</f>
        <v/>
      </c>
    </row>
    <row r="460">
      <c r="F460" s="5">
        <f>IFERROR(INDEX('Company MOA setup'!$B$3:$B$500,MATCH($A460,'Company MOA setup'!$A$3:$A$500,0)),"Division default")</f>
        <v/>
      </c>
      <c r="L460" s="5">
        <f>IF($E460="","",TRIM(IFERROR(INDEX(Divisions!$C$3:$C$50,MATCH($E460,Divisions!$A$3:$A$50,0)),"")&amp;IF(IFERROR(INDEX(Divisions!$E$3:$E$50,MATCH($E460,Divisions!$A$3:$A$50,0)),"")&lt;&gt;"",", "&amp;IFERROR(INDEX(Divisions!$E$3:$E$50,MATCH($E460,Divisions!$A$3:$A$50,0)),""),"")&amp;IF(IFERROR(INDEX(Divisions!$G$3:$G$50,MATCH($E460,Divisions!$A$3:$A$50,0)),"")&lt;&gt;"",", "&amp;IFERROR(INDEX(Divisions!$G$3:$G$50,MATCH($E460,Divisions!$A$3:$A$50,0)),""),"")&amp;IF(IFERROR(INDEX(Divisions!$I$3:$I$50,MATCH($E460,Divisions!$A$3:$A$50,0)),"")&lt;&gt;"",", "&amp;IFERROR(INDEX(Divisions!$I$3:$I$50,MATCH($E460,Divisions!$A$3:$A$50,0)),""),"")))</f>
        <v/>
      </c>
    </row>
    <row r="461">
      <c r="F461" s="5">
        <f>IFERROR(INDEX('Company MOA setup'!$B$3:$B$500,MATCH($A461,'Company MOA setup'!$A$3:$A$500,0)),"Division default")</f>
        <v/>
      </c>
      <c r="L461" s="5">
        <f>IF($E461="","",TRIM(IFERROR(INDEX(Divisions!$C$3:$C$50,MATCH($E461,Divisions!$A$3:$A$50,0)),"")&amp;IF(IFERROR(INDEX(Divisions!$E$3:$E$50,MATCH($E461,Divisions!$A$3:$A$50,0)),"")&lt;&gt;"",", "&amp;IFERROR(INDEX(Divisions!$E$3:$E$50,MATCH($E461,Divisions!$A$3:$A$50,0)),""),"")&amp;IF(IFERROR(INDEX(Divisions!$G$3:$G$50,MATCH($E461,Divisions!$A$3:$A$50,0)),"")&lt;&gt;"",", "&amp;IFERROR(INDEX(Divisions!$G$3:$G$50,MATCH($E461,Divisions!$A$3:$A$50,0)),""),"")&amp;IF(IFERROR(INDEX(Divisions!$I$3:$I$50,MATCH($E461,Divisions!$A$3:$A$50,0)),"")&lt;&gt;"",", "&amp;IFERROR(INDEX(Divisions!$I$3:$I$50,MATCH($E461,Divisions!$A$3:$A$50,0)),""),"")))</f>
        <v/>
      </c>
    </row>
    <row r="462">
      <c r="F462" s="5">
        <f>IFERROR(INDEX('Company MOA setup'!$B$3:$B$500,MATCH($A462,'Company MOA setup'!$A$3:$A$500,0)),"Division default")</f>
        <v/>
      </c>
      <c r="L462" s="5">
        <f>IF($E462="","",TRIM(IFERROR(INDEX(Divisions!$C$3:$C$50,MATCH($E462,Divisions!$A$3:$A$50,0)),"")&amp;IF(IFERROR(INDEX(Divisions!$E$3:$E$50,MATCH($E462,Divisions!$A$3:$A$50,0)),"")&lt;&gt;"",", "&amp;IFERROR(INDEX(Divisions!$E$3:$E$50,MATCH($E462,Divisions!$A$3:$A$50,0)),""),"")&amp;IF(IFERROR(INDEX(Divisions!$G$3:$G$50,MATCH($E462,Divisions!$A$3:$A$50,0)),"")&lt;&gt;"",", "&amp;IFERROR(INDEX(Divisions!$G$3:$G$50,MATCH($E462,Divisions!$A$3:$A$50,0)),""),"")&amp;IF(IFERROR(INDEX(Divisions!$I$3:$I$50,MATCH($E462,Divisions!$A$3:$A$50,0)),"")&lt;&gt;"",", "&amp;IFERROR(INDEX(Divisions!$I$3:$I$50,MATCH($E462,Divisions!$A$3:$A$50,0)),""),"")))</f>
        <v/>
      </c>
    </row>
    <row r="463">
      <c r="F463" s="5">
        <f>IFERROR(INDEX('Company MOA setup'!$B$3:$B$500,MATCH($A463,'Company MOA setup'!$A$3:$A$500,0)),"Division default")</f>
        <v/>
      </c>
      <c r="L463" s="5">
        <f>IF($E463="","",TRIM(IFERROR(INDEX(Divisions!$C$3:$C$50,MATCH($E463,Divisions!$A$3:$A$50,0)),"")&amp;IF(IFERROR(INDEX(Divisions!$E$3:$E$50,MATCH($E463,Divisions!$A$3:$A$50,0)),"")&lt;&gt;"",", "&amp;IFERROR(INDEX(Divisions!$E$3:$E$50,MATCH($E463,Divisions!$A$3:$A$50,0)),""),"")&amp;IF(IFERROR(INDEX(Divisions!$G$3:$G$50,MATCH($E463,Divisions!$A$3:$A$50,0)),"")&lt;&gt;"",", "&amp;IFERROR(INDEX(Divisions!$G$3:$G$50,MATCH($E463,Divisions!$A$3:$A$50,0)),""),"")&amp;IF(IFERROR(INDEX(Divisions!$I$3:$I$50,MATCH($E463,Divisions!$A$3:$A$50,0)),"")&lt;&gt;"",", "&amp;IFERROR(INDEX(Divisions!$I$3:$I$50,MATCH($E463,Divisions!$A$3:$A$50,0)),""),"")))</f>
        <v/>
      </c>
    </row>
    <row r="464">
      <c r="F464" s="5">
        <f>IFERROR(INDEX('Company MOA setup'!$B$3:$B$500,MATCH($A464,'Company MOA setup'!$A$3:$A$500,0)),"Division default")</f>
        <v/>
      </c>
      <c r="L464" s="5">
        <f>IF($E464="","",TRIM(IFERROR(INDEX(Divisions!$C$3:$C$50,MATCH($E464,Divisions!$A$3:$A$50,0)),"")&amp;IF(IFERROR(INDEX(Divisions!$E$3:$E$50,MATCH($E464,Divisions!$A$3:$A$50,0)),"")&lt;&gt;"",", "&amp;IFERROR(INDEX(Divisions!$E$3:$E$50,MATCH($E464,Divisions!$A$3:$A$50,0)),""),"")&amp;IF(IFERROR(INDEX(Divisions!$G$3:$G$50,MATCH($E464,Divisions!$A$3:$A$50,0)),"")&lt;&gt;"",", "&amp;IFERROR(INDEX(Divisions!$G$3:$G$50,MATCH($E464,Divisions!$A$3:$A$50,0)),""),"")&amp;IF(IFERROR(INDEX(Divisions!$I$3:$I$50,MATCH($E464,Divisions!$A$3:$A$50,0)),"")&lt;&gt;"",", "&amp;IFERROR(INDEX(Divisions!$I$3:$I$50,MATCH($E464,Divisions!$A$3:$A$50,0)),""),"")))</f>
        <v/>
      </c>
    </row>
    <row r="465">
      <c r="F465" s="5">
        <f>IFERROR(INDEX('Company MOA setup'!$B$3:$B$500,MATCH($A465,'Company MOA setup'!$A$3:$A$500,0)),"Division default")</f>
        <v/>
      </c>
      <c r="L465" s="5">
        <f>IF($E465="","",TRIM(IFERROR(INDEX(Divisions!$C$3:$C$50,MATCH($E465,Divisions!$A$3:$A$50,0)),"")&amp;IF(IFERROR(INDEX(Divisions!$E$3:$E$50,MATCH($E465,Divisions!$A$3:$A$50,0)),"")&lt;&gt;"",", "&amp;IFERROR(INDEX(Divisions!$E$3:$E$50,MATCH($E465,Divisions!$A$3:$A$50,0)),""),"")&amp;IF(IFERROR(INDEX(Divisions!$G$3:$G$50,MATCH($E465,Divisions!$A$3:$A$50,0)),"")&lt;&gt;"",", "&amp;IFERROR(INDEX(Divisions!$G$3:$G$50,MATCH($E465,Divisions!$A$3:$A$50,0)),""),"")&amp;IF(IFERROR(INDEX(Divisions!$I$3:$I$50,MATCH($E465,Divisions!$A$3:$A$50,0)),"")&lt;&gt;"",", "&amp;IFERROR(INDEX(Divisions!$I$3:$I$50,MATCH($E465,Divisions!$A$3:$A$50,0)),""),"")))</f>
        <v/>
      </c>
    </row>
    <row r="466">
      <c r="F466" s="5">
        <f>IFERROR(INDEX('Company MOA setup'!$B$3:$B$500,MATCH($A466,'Company MOA setup'!$A$3:$A$500,0)),"Division default")</f>
        <v/>
      </c>
      <c r="L466" s="5">
        <f>IF($E466="","",TRIM(IFERROR(INDEX(Divisions!$C$3:$C$50,MATCH($E466,Divisions!$A$3:$A$50,0)),"")&amp;IF(IFERROR(INDEX(Divisions!$E$3:$E$50,MATCH($E466,Divisions!$A$3:$A$50,0)),"")&lt;&gt;"",", "&amp;IFERROR(INDEX(Divisions!$E$3:$E$50,MATCH($E466,Divisions!$A$3:$A$50,0)),""),"")&amp;IF(IFERROR(INDEX(Divisions!$G$3:$G$50,MATCH($E466,Divisions!$A$3:$A$50,0)),"")&lt;&gt;"",", "&amp;IFERROR(INDEX(Divisions!$G$3:$G$50,MATCH($E466,Divisions!$A$3:$A$50,0)),""),"")&amp;IF(IFERROR(INDEX(Divisions!$I$3:$I$50,MATCH($E466,Divisions!$A$3:$A$50,0)),"")&lt;&gt;"",", "&amp;IFERROR(INDEX(Divisions!$I$3:$I$50,MATCH($E466,Divisions!$A$3:$A$50,0)),""),"")))</f>
        <v/>
      </c>
    </row>
    <row r="467">
      <c r="F467" s="5">
        <f>IFERROR(INDEX('Company MOA setup'!$B$3:$B$500,MATCH($A467,'Company MOA setup'!$A$3:$A$500,0)),"Division default")</f>
        <v/>
      </c>
      <c r="L467" s="5">
        <f>IF($E467="","",TRIM(IFERROR(INDEX(Divisions!$C$3:$C$50,MATCH($E467,Divisions!$A$3:$A$50,0)),"")&amp;IF(IFERROR(INDEX(Divisions!$E$3:$E$50,MATCH($E467,Divisions!$A$3:$A$50,0)),"")&lt;&gt;"",", "&amp;IFERROR(INDEX(Divisions!$E$3:$E$50,MATCH($E467,Divisions!$A$3:$A$50,0)),""),"")&amp;IF(IFERROR(INDEX(Divisions!$G$3:$G$50,MATCH($E467,Divisions!$A$3:$A$50,0)),"")&lt;&gt;"",", "&amp;IFERROR(INDEX(Divisions!$G$3:$G$50,MATCH($E467,Divisions!$A$3:$A$50,0)),""),"")&amp;IF(IFERROR(INDEX(Divisions!$I$3:$I$50,MATCH($E467,Divisions!$A$3:$A$50,0)),"")&lt;&gt;"",", "&amp;IFERROR(INDEX(Divisions!$I$3:$I$50,MATCH($E467,Divisions!$A$3:$A$50,0)),""),"")))</f>
        <v/>
      </c>
    </row>
    <row r="468">
      <c r="F468" s="5">
        <f>IFERROR(INDEX('Company MOA setup'!$B$3:$B$500,MATCH($A468,'Company MOA setup'!$A$3:$A$500,0)),"Division default")</f>
        <v/>
      </c>
      <c r="L468" s="5">
        <f>IF($E468="","",TRIM(IFERROR(INDEX(Divisions!$C$3:$C$50,MATCH($E468,Divisions!$A$3:$A$50,0)),"")&amp;IF(IFERROR(INDEX(Divisions!$E$3:$E$50,MATCH($E468,Divisions!$A$3:$A$50,0)),"")&lt;&gt;"",", "&amp;IFERROR(INDEX(Divisions!$E$3:$E$50,MATCH($E468,Divisions!$A$3:$A$50,0)),""),"")&amp;IF(IFERROR(INDEX(Divisions!$G$3:$G$50,MATCH($E468,Divisions!$A$3:$A$50,0)),"")&lt;&gt;"",", "&amp;IFERROR(INDEX(Divisions!$G$3:$G$50,MATCH($E468,Divisions!$A$3:$A$50,0)),""),"")&amp;IF(IFERROR(INDEX(Divisions!$I$3:$I$50,MATCH($E468,Divisions!$A$3:$A$50,0)),"")&lt;&gt;"",", "&amp;IFERROR(INDEX(Divisions!$I$3:$I$50,MATCH($E468,Divisions!$A$3:$A$50,0)),""),"")))</f>
        <v/>
      </c>
    </row>
    <row r="469">
      <c r="F469" s="5">
        <f>IFERROR(INDEX('Company MOA setup'!$B$3:$B$500,MATCH($A469,'Company MOA setup'!$A$3:$A$500,0)),"Division default")</f>
        <v/>
      </c>
      <c r="L469" s="5">
        <f>IF($E469="","",TRIM(IFERROR(INDEX(Divisions!$C$3:$C$50,MATCH($E469,Divisions!$A$3:$A$50,0)),"")&amp;IF(IFERROR(INDEX(Divisions!$E$3:$E$50,MATCH($E469,Divisions!$A$3:$A$50,0)),"")&lt;&gt;"",", "&amp;IFERROR(INDEX(Divisions!$E$3:$E$50,MATCH($E469,Divisions!$A$3:$A$50,0)),""),"")&amp;IF(IFERROR(INDEX(Divisions!$G$3:$G$50,MATCH($E469,Divisions!$A$3:$A$50,0)),"")&lt;&gt;"",", "&amp;IFERROR(INDEX(Divisions!$G$3:$G$50,MATCH($E469,Divisions!$A$3:$A$50,0)),""),"")&amp;IF(IFERROR(INDEX(Divisions!$I$3:$I$50,MATCH($E469,Divisions!$A$3:$A$50,0)),"")&lt;&gt;"",", "&amp;IFERROR(INDEX(Divisions!$I$3:$I$50,MATCH($E469,Divisions!$A$3:$A$50,0)),""),"")))</f>
        <v/>
      </c>
    </row>
    <row r="470">
      <c r="F470" s="5">
        <f>IFERROR(INDEX('Company MOA setup'!$B$3:$B$500,MATCH($A470,'Company MOA setup'!$A$3:$A$500,0)),"Division default")</f>
        <v/>
      </c>
      <c r="L470" s="5">
        <f>IF($E470="","",TRIM(IFERROR(INDEX(Divisions!$C$3:$C$50,MATCH($E470,Divisions!$A$3:$A$50,0)),"")&amp;IF(IFERROR(INDEX(Divisions!$E$3:$E$50,MATCH($E470,Divisions!$A$3:$A$50,0)),"")&lt;&gt;"",", "&amp;IFERROR(INDEX(Divisions!$E$3:$E$50,MATCH($E470,Divisions!$A$3:$A$50,0)),""),"")&amp;IF(IFERROR(INDEX(Divisions!$G$3:$G$50,MATCH($E470,Divisions!$A$3:$A$50,0)),"")&lt;&gt;"",", "&amp;IFERROR(INDEX(Divisions!$G$3:$G$50,MATCH($E470,Divisions!$A$3:$A$50,0)),""),"")&amp;IF(IFERROR(INDEX(Divisions!$I$3:$I$50,MATCH($E470,Divisions!$A$3:$A$50,0)),"")&lt;&gt;"",", "&amp;IFERROR(INDEX(Divisions!$I$3:$I$50,MATCH($E470,Divisions!$A$3:$A$50,0)),""),"")))</f>
        <v/>
      </c>
    </row>
    <row r="471">
      <c r="F471" s="5">
        <f>IFERROR(INDEX('Company MOA setup'!$B$3:$B$500,MATCH($A471,'Company MOA setup'!$A$3:$A$500,0)),"Division default")</f>
        <v/>
      </c>
      <c r="L471" s="5">
        <f>IF($E471="","",TRIM(IFERROR(INDEX(Divisions!$C$3:$C$50,MATCH($E471,Divisions!$A$3:$A$50,0)),"")&amp;IF(IFERROR(INDEX(Divisions!$E$3:$E$50,MATCH($E471,Divisions!$A$3:$A$50,0)),"")&lt;&gt;"",", "&amp;IFERROR(INDEX(Divisions!$E$3:$E$50,MATCH($E471,Divisions!$A$3:$A$50,0)),""),"")&amp;IF(IFERROR(INDEX(Divisions!$G$3:$G$50,MATCH($E471,Divisions!$A$3:$A$50,0)),"")&lt;&gt;"",", "&amp;IFERROR(INDEX(Divisions!$G$3:$G$50,MATCH($E471,Divisions!$A$3:$A$50,0)),""),"")&amp;IF(IFERROR(INDEX(Divisions!$I$3:$I$50,MATCH($E471,Divisions!$A$3:$A$50,0)),"")&lt;&gt;"",", "&amp;IFERROR(INDEX(Divisions!$I$3:$I$50,MATCH($E471,Divisions!$A$3:$A$50,0)),""),"")))</f>
        <v/>
      </c>
    </row>
    <row r="472">
      <c r="F472" s="5">
        <f>IFERROR(INDEX('Company MOA setup'!$B$3:$B$500,MATCH($A472,'Company MOA setup'!$A$3:$A$500,0)),"Division default")</f>
        <v/>
      </c>
      <c r="L472" s="5">
        <f>IF($E472="","",TRIM(IFERROR(INDEX(Divisions!$C$3:$C$50,MATCH($E472,Divisions!$A$3:$A$50,0)),"")&amp;IF(IFERROR(INDEX(Divisions!$E$3:$E$50,MATCH($E472,Divisions!$A$3:$A$50,0)),"")&lt;&gt;"",", "&amp;IFERROR(INDEX(Divisions!$E$3:$E$50,MATCH($E472,Divisions!$A$3:$A$50,0)),""),"")&amp;IF(IFERROR(INDEX(Divisions!$G$3:$G$50,MATCH($E472,Divisions!$A$3:$A$50,0)),"")&lt;&gt;"",", "&amp;IFERROR(INDEX(Divisions!$G$3:$G$50,MATCH($E472,Divisions!$A$3:$A$50,0)),""),"")&amp;IF(IFERROR(INDEX(Divisions!$I$3:$I$50,MATCH($E472,Divisions!$A$3:$A$50,0)),"")&lt;&gt;"",", "&amp;IFERROR(INDEX(Divisions!$I$3:$I$50,MATCH($E472,Divisions!$A$3:$A$50,0)),""),"")))</f>
        <v/>
      </c>
    </row>
    <row r="473">
      <c r="F473" s="5">
        <f>IFERROR(INDEX('Company MOA setup'!$B$3:$B$500,MATCH($A473,'Company MOA setup'!$A$3:$A$500,0)),"Division default")</f>
        <v/>
      </c>
      <c r="L473" s="5">
        <f>IF($E473="","",TRIM(IFERROR(INDEX(Divisions!$C$3:$C$50,MATCH($E473,Divisions!$A$3:$A$50,0)),"")&amp;IF(IFERROR(INDEX(Divisions!$E$3:$E$50,MATCH($E473,Divisions!$A$3:$A$50,0)),"")&lt;&gt;"",", "&amp;IFERROR(INDEX(Divisions!$E$3:$E$50,MATCH($E473,Divisions!$A$3:$A$50,0)),""),"")&amp;IF(IFERROR(INDEX(Divisions!$G$3:$G$50,MATCH($E473,Divisions!$A$3:$A$50,0)),"")&lt;&gt;"",", "&amp;IFERROR(INDEX(Divisions!$G$3:$G$50,MATCH($E473,Divisions!$A$3:$A$50,0)),""),"")&amp;IF(IFERROR(INDEX(Divisions!$I$3:$I$50,MATCH($E473,Divisions!$A$3:$A$50,0)),"")&lt;&gt;"",", "&amp;IFERROR(INDEX(Divisions!$I$3:$I$50,MATCH($E473,Divisions!$A$3:$A$50,0)),""),"")))</f>
        <v/>
      </c>
    </row>
    <row r="474">
      <c r="F474" s="5">
        <f>IFERROR(INDEX('Company MOA setup'!$B$3:$B$500,MATCH($A474,'Company MOA setup'!$A$3:$A$500,0)),"Division default")</f>
        <v/>
      </c>
      <c r="L474" s="5">
        <f>IF($E474="","",TRIM(IFERROR(INDEX(Divisions!$C$3:$C$50,MATCH($E474,Divisions!$A$3:$A$50,0)),"")&amp;IF(IFERROR(INDEX(Divisions!$E$3:$E$50,MATCH($E474,Divisions!$A$3:$A$50,0)),"")&lt;&gt;"",", "&amp;IFERROR(INDEX(Divisions!$E$3:$E$50,MATCH($E474,Divisions!$A$3:$A$50,0)),""),"")&amp;IF(IFERROR(INDEX(Divisions!$G$3:$G$50,MATCH($E474,Divisions!$A$3:$A$50,0)),"")&lt;&gt;"",", "&amp;IFERROR(INDEX(Divisions!$G$3:$G$50,MATCH($E474,Divisions!$A$3:$A$50,0)),""),"")&amp;IF(IFERROR(INDEX(Divisions!$I$3:$I$50,MATCH($E474,Divisions!$A$3:$A$50,0)),"")&lt;&gt;"",", "&amp;IFERROR(INDEX(Divisions!$I$3:$I$50,MATCH($E474,Divisions!$A$3:$A$50,0)),""),"")))</f>
        <v/>
      </c>
    </row>
    <row r="475">
      <c r="F475" s="5">
        <f>IFERROR(INDEX('Company MOA setup'!$B$3:$B$500,MATCH($A475,'Company MOA setup'!$A$3:$A$500,0)),"Division default")</f>
        <v/>
      </c>
      <c r="L475" s="5">
        <f>IF($E475="","",TRIM(IFERROR(INDEX(Divisions!$C$3:$C$50,MATCH($E475,Divisions!$A$3:$A$50,0)),"")&amp;IF(IFERROR(INDEX(Divisions!$E$3:$E$50,MATCH($E475,Divisions!$A$3:$A$50,0)),"")&lt;&gt;"",", "&amp;IFERROR(INDEX(Divisions!$E$3:$E$50,MATCH($E475,Divisions!$A$3:$A$50,0)),""),"")&amp;IF(IFERROR(INDEX(Divisions!$G$3:$G$50,MATCH($E475,Divisions!$A$3:$A$50,0)),"")&lt;&gt;"",", "&amp;IFERROR(INDEX(Divisions!$G$3:$G$50,MATCH($E475,Divisions!$A$3:$A$50,0)),""),"")&amp;IF(IFERROR(INDEX(Divisions!$I$3:$I$50,MATCH($E475,Divisions!$A$3:$A$50,0)),"")&lt;&gt;"",", "&amp;IFERROR(INDEX(Divisions!$I$3:$I$50,MATCH($E475,Divisions!$A$3:$A$50,0)),""),"")))</f>
        <v/>
      </c>
    </row>
    <row r="476">
      <c r="F476" s="5">
        <f>IFERROR(INDEX('Company MOA setup'!$B$3:$B$500,MATCH($A476,'Company MOA setup'!$A$3:$A$500,0)),"Division default")</f>
        <v/>
      </c>
      <c r="L476" s="5">
        <f>IF($E476="","",TRIM(IFERROR(INDEX(Divisions!$C$3:$C$50,MATCH($E476,Divisions!$A$3:$A$50,0)),"")&amp;IF(IFERROR(INDEX(Divisions!$E$3:$E$50,MATCH($E476,Divisions!$A$3:$A$50,0)),"")&lt;&gt;"",", "&amp;IFERROR(INDEX(Divisions!$E$3:$E$50,MATCH($E476,Divisions!$A$3:$A$50,0)),""),"")&amp;IF(IFERROR(INDEX(Divisions!$G$3:$G$50,MATCH($E476,Divisions!$A$3:$A$50,0)),"")&lt;&gt;"",", "&amp;IFERROR(INDEX(Divisions!$G$3:$G$50,MATCH($E476,Divisions!$A$3:$A$50,0)),""),"")&amp;IF(IFERROR(INDEX(Divisions!$I$3:$I$50,MATCH($E476,Divisions!$A$3:$A$50,0)),"")&lt;&gt;"",", "&amp;IFERROR(INDEX(Divisions!$I$3:$I$50,MATCH($E476,Divisions!$A$3:$A$50,0)),""),"")))</f>
        <v/>
      </c>
    </row>
    <row r="477">
      <c r="F477" s="5">
        <f>IFERROR(INDEX('Company MOA setup'!$B$3:$B$500,MATCH($A477,'Company MOA setup'!$A$3:$A$500,0)),"Division default")</f>
        <v/>
      </c>
      <c r="L477" s="5">
        <f>IF($E477="","",TRIM(IFERROR(INDEX(Divisions!$C$3:$C$50,MATCH($E477,Divisions!$A$3:$A$50,0)),"")&amp;IF(IFERROR(INDEX(Divisions!$E$3:$E$50,MATCH($E477,Divisions!$A$3:$A$50,0)),"")&lt;&gt;"",", "&amp;IFERROR(INDEX(Divisions!$E$3:$E$50,MATCH($E477,Divisions!$A$3:$A$50,0)),""),"")&amp;IF(IFERROR(INDEX(Divisions!$G$3:$G$50,MATCH($E477,Divisions!$A$3:$A$50,0)),"")&lt;&gt;"",", "&amp;IFERROR(INDEX(Divisions!$G$3:$G$50,MATCH($E477,Divisions!$A$3:$A$50,0)),""),"")&amp;IF(IFERROR(INDEX(Divisions!$I$3:$I$50,MATCH($E477,Divisions!$A$3:$A$50,0)),"")&lt;&gt;"",", "&amp;IFERROR(INDEX(Divisions!$I$3:$I$50,MATCH($E477,Divisions!$A$3:$A$50,0)),""),"")))</f>
        <v/>
      </c>
    </row>
    <row r="478">
      <c r="F478" s="5">
        <f>IFERROR(INDEX('Company MOA setup'!$B$3:$B$500,MATCH($A478,'Company MOA setup'!$A$3:$A$500,0)),"Division default")</f>
        <v/>
      </c>
      <c r="L478" s="5">
        <f>IF($E478="","",TRIM(IFERROR(INDEX(Divisions!$C$3:$C$50,MATCH($E478,Divisions!$A$3:$A$50,0)),"")&amp;IF(IFERROR(INDEX(Divisions!$E$3:$E$50,MATCH($E478,Divisions!$A$3:$A$50,0)),"")&lt;&gt;"",", "&amp;IFERROR(INDEX(Divisions!$E$3:$E$50,MATCH($E478,Divisions!$A$3:$A$50,0)),""),"")&amp;IF(IFERROR(INDEX(Divisions!$G$3:$G$50,MATCH($E478,Divisions!$A$3:$A$50,0)),"")&lt;&gt;"",", "&amp;IFERROR(INDEX(Divisions!$G$3:$G$50,MATCH($E478,Divisions!$A$3:$A$50,0)),""),"")&amp;IF(IFERROR(INDEX(Divisions!$I$3:$I$50,MATCH($E478,Divisions!$A$3:$A$50,0)),"")&lt;&gt;"",", "&amp;IFERROR(INDEX(Divisions!$I$3:$I$50,MATCH($E478,Divisions!$A$3:$A$50,0)),""),"")))</f>
        <v/>
      </c>
    </row>
    <row r="479">
      <c r="F479" s="5">
        <f>IFERROR(INDEX('Company MOA setup'!$B$3:$B$500,MATCH($A479,'Company MOA setup'!$A$3:$A$500,0)),"Division default")</f>
        <v/>
      </c>
      <c r="L479" s="5">
        <f>IF($E479="","",TRIM(IFERROR(INDEX(Divisions!$C$3:$C$50,MATCH($E479,Divisions!$A$3:$A$50,0)),"")&amp;IF(IFERROR(INDEX(Divisions!$E$3:$E$50,MATCH($E479,Divisions!$A$3:$A$50,0)),"")&lt;&gt;"",", "&amp;IFERROR(INDEX(Divisions!$E$3:$E$50,MATCH($E479,Divisions!$A$3:$A$50,0)),""),"")&amp;IF(IFERROR(INDEX(Divisions!$G$3:$G$50,MATCH($E479,Divisions!$A$3:$A$50,0)),"")&lt;&gt;"",", "&amp;IFERROR(INDEX(Divisions!$G$3:$G$50,MATCH($E479,Divisions!$A$3:$A$50,0)),""),"")&amp;IF(IFERROR(INDEX(Divisions!$I$3:$I$50,MATCH($E479,Divisions!$A$3:$A$50,0)),"")&lt;&gt;"",", "&amp;IFERROR(INDEX(Divisions!$I$3:$I$50,MATCH($E479,Divisions!$A$3:$A$50,0)),""),"")))</f>
        <v/>
      </c>
    </row>
    <row r="480">
      <c r="F480" s="5">
        <f>IFERROR(INDEX('Company MOA setup'!$B$3:$B$500,MATCH($A480,'Company MOA setup'!$A$3:$A$500,0)),"Division default")</f>
        <v/>
      </c>
      <c r="L480" s="5">
        <f>IF($E480="","",TRIM(IFERROR(INDEX(Divisions!$C$3:$C$50,MATCH($E480,Divisions!$A$3:$A$50,0)),"")&amp;IF(IFERROR(INDEX(Divisions!$E$3:$E$50,MATCH($E480,Divisions!$A$3:$A$50,0)),"")&lt;&gt;"",", "&amp;IFERROR(INDEX(Divisions!$E$3:$E$50,MATCH($E480,Divisions!$A$3:$A$50,0)),""),"")&amp;IF(IFERROR(INDEX(Divisions!$G$3:$G$50,MATCH($E480,Divisions!$A$3:$A$50,0)),"")&lt;&gt;"",", "&amp;IFERROR(INDEX(Divisions!$G$3:$G$50,MATCH($E480,Divisions!$A$3:$A$50,0)),""),"")&amp;IF(IFERROR(INDEX(Divisions!$I$3:$I$50,MATCH($E480,Divisions!$A$3:$A$50,0)),"")&lt;&gt;"",", "&amp;IFERROR(INDEX(Divisions!$I$3:$I$50,MATCH($E480,Divisions!$A$3:$A$50,0)),""),"")))</f>
        <v/>
      </c>
    </row>
    <row r="481">
      <c r="F481" s="5">
        <f>IFERROR(INDEX('Company MOA setup'!$B$3:$B$500,MATCH($A481,'Company MOA setup'!$A$3:$A$500,0)),"Division default")</f>
        <v/>
      </c>
      <c r="L481" s="5">
        <f>IF($E481="","",TRIM(IFERROR(INDEX(Divisions!$C$3:$C$50,MATCH($E481,Divisions!$A$3:$A$50,0)),"")&amp;IF(IFERROR(INDEX(Divisions!$E$3:$E$50,MATCH($E481,Divisions!$A$3:$A$50,0)),"")&lt;&gt;"",", "&amp;IFERROR(INDEX(Divisions!$E$3:$E$50,MATCH($E481,Divisions!$A$3:$A$50,0)),""),"")&amp;IF(IFERROR(INDEX(Divisions!$G$3:$G$50,MATCH($E481,Divisions!$A$3:$A$50,0)),"")&lt;&gt;"",", "&amp;IFERROR(INDEX(Divisions!$G$3:$G$50,MATCH($E481,Divisions!$A$3:$A$50,0)),""),"")&amp;IF(IFERROR(INDEX(Divisions!$I$3:$I$50,MATCH($E481,Divisions!$A$3:$A$50,0)),"")&lt;&gt;"",", "&amp;IFERROR(INDEX(Divisions!$I$3:$I$50,MATCH($E481,Divisions!$A$3:$A$50,0)),""),"")))</f>
        <v/>
      </c>
    </row>
    <row r="482">
      <c r="F482" s="5">
        <f>IFERROR(INDEX('Company MOA setup'!$B$3:$B$500,MATCH($A482,'Company MOA setup'!$A$3:$A$500,0)),"Division default")</f>
        <v/>
      </c>
      <c r="L482" s="5">
        <f>IF($E482="","",TRIM(IFERROR(INDEX(Divisions!$C$3:$C$50,MATCH($E482,Divisions!$A$3:$A$50,0)),"")&amp;IF(IFERROR(INDEX(Divisions!$E$3:$E$50,MATCH($E482,Divisions!$A$3:$A$50,0)),"")&lt;&gt;"",", "&amp;IFERROR(INDEX(Divisions!$E$3:$E$50,MATCH($E482,Divisions!$A$3:$A$50,0)),""),"")&amp;IF(IFERROR(INDEX(Divisions!$G$3:$G$50,MATCH($E482,Divisions!$A$3:$A$50,0)),"")&lt;&gt;"",", "&amp;IFERROR(INDEX(Divisions!$G$3:$G$50,MATCH($E482,Divisions!$A$3:$A$50,0)),""),"")&amp;IF(IFERROR(INDEX(Divisions!$I$3:$I$50,MATCH($E482,Divisions!$A$3:$A$50,0)),"")&lt;&gt;"",", "&amp;IFERROR(INDEX(Divisions!$I$3:$I$50,MATCH($E482,Divisions!$A$3:$A$50,0)),""),"")))</f>
        <v/>
      </c>
    </row>
    <row r="483">
      <c r="F483" s="5">
        <f>IFERROR(INDEX('Company MOA setup'!$B$3:$B$500,MATCH($A483,'Company MOA setup'!$A$3:$A$500,0)),"Division default")</f>
        <v/>
      </c>
      <c r="L483" s="5">
        <f>IF($E483="","",TRIM(IFERROR(INDEX(Divisions!$C$3:$C$50,MATCH($E483,Divisions!$A$3:$A$50,0)),"")&amp;IF(IFERROR(INDEX(Divisions!$E$3:$E$50,MATCH($E483,Divisions!$A$3:$A$50,0)),"")&lt;&gt;"",", "&amp;IFERROR(INDEX(Divisions!$E$3:$E$50,MATCH($E483,Divisions!$A$3:$A$50,0)),""),"")&amp;IF(IFERROR(INDEX(Divisions!$G$3:$G$50,MATCH($E483,Divisions!$A$3:$A$50,0)),"")&lt;&gt;"",", "&amp;IFERROR(INDEX(Divisions!$G$3:$G$50,MATCH($E483,Divisions!$A$3:$A$50,0)),""),"")&amp;IF(IFERROR(INDEX(Divisions!$I$3:$I$50,MATCH($E483,Divisions!$A$3:$A$50,0)),"")&lt;&gt;"",", "&amp;IFERROR(INDEX(Divisions!$I$3:$I$50,MATCH($E483,Divisions!$A$3:$A$50,0)),""),"")))</f>
        <v/>
      </c>
    </row>
    <row r="484">
      <c r="F484" s="5">
        <f>IFERROR(INDEX('Company MOA setup'!$B$3:$B$500,MATCH($A484,'Company MOA setup'!$A$3:$A$500,0)),"Division default")</f>
        <v/>
      </c>
      <c r="L484" s="5">
        <f>IF($E484="","",TRIM(IFERROR(INDEX(Divisions!$C$3:$C$50,MATCH($E484,Divisions!$A$3:$A$50,0)),"")&amp;IF(IFERROR(INDEX(Divisions!$E$3:$E$50,MATCH($E484,Divisions!$A$3:$A$50,0)),"")&lt;&gt;"",", "&amp;IFERROR(INDEX(Divisions!$E$3:$E$50,MATCH($E484,Divisions!$A$3:$A$50,0)),""),"")&amp;IF(IFERROR(INDEX(Divisions!$G$3:$G$50,MATCH($E484,Divisions!$A$3:$A$50,0)),"")&lt;&gt;"",", "&amp;IFERROR(INDEX(Divisions!$G$3:$G$50,MATCH($E484,Divisions!$A$3:$A$50,0)),""),"")&amp;IF(IFERROR(INDEX(Divisions!$I$3:$I$50,MATCH($E484,Divisions!$A$3:$A$50,0)),"")&lt;&gt;"",", "&amp;IFERROR(INDEX(Divisions!$I$3:$I$50,MATCH($E484,Divisions!$A$3:$A$50,0)),""),"")))</f>
        <v/>
      </c>
    </row>
    <row r="485">
      <c r="F485" s="5">
        <f>IFERROR(INDEX('Company MOA setup'!$B$3:$B$500,MATCH($A485,'Company MOA setup'!$A$3:$A$500,0)),"Division default")</f>
        <v/>
      </c>
      <c r="L485" s="5">
        <f>IF($E485="","",TRIM(IFERROR(INDEX(Divisions!$C$3:$C$50,MATCH($E485,Divisions!$A$3:$A$50,0)),"")&amp;IF(IFERROR(INDEX(Divisions!$E$3:$E$50,MATCH($E485,Divisions!$A$3:$A$50,0)),"")&lt;&gt;"",", "&amp;IFERROR(INDEX(Divisions!$E$3:$E$50,MATCH($E485,Divisions!$A$3:$A$50,0)),""),"")&amp;IF(IFERROR(INDEX(Divisions!$G$3:$G$50,MATCH($E485,Divisions!$A$3:$A$50,0)),"")&lt;&gt;"",", "&amp;IFERROR(INDEX(Divisions!$G$3:$G$50,MATCH($E485,Divisions!$A$3:$A$50,0)),""),"")&amp;IF(IFERROR(INDEX(Divisions!$I$3:$I$50,MATCH($E485,Divisions!$A$3:$A$50,0)),"")&lt;&gt;"",", "&amp;IFERROR(INDEX(Divisions!$I$3:$I$50,MATCH($E485,Divisions!$A$3:$A$50,0)),""),"")))</f>
        <v/>
      </c>
    </row>
    <row r="486">
      <c r="F486" s="5">
        <f>IFERROR(INDEX('Company MOA setup'!$B$3:$B$500,MATCH($A486,'Company MOA setup'!$A$3:$A$500,0)),"Division default")</f>
        <v/>
      </c>
      <c r="L486" s="5">
        <f>IF($E486="","",TRIM(IFERROR(INDEX(Divisions!$C$3:$C$50,MATCH($E486,Divisions!$A$3:$A$50,0)),"")&amp;IF(IFERROR(INDEX(Divisions!$E$3:$E$50,MATCH($E486,Divisions!$A$3:$A$50,0)),"")&lt;&gt;"",", "&amp;IFERROR(INDEX(Divisions!$E$3:$E$50,MATCH($E486,Divisions!$A$3:$A$50,0)),""),"")&amp;IF(IFERROR(INDEX(Divisions!$G$3:$G$50,MATCH($E486,Divisions!$A$3:$A$50,0)),"")&lt;&gt;"",", "&amp;IFERROR(INDEX(Divisions!$G$3:$G$50,MATCH($E486,Divisions!$A$3:$A$50,0)),""),"")&amp;IF(IFERROR(INDEX(Divisions!$I$3:$I$50,MATCH($E486,Divisions!$A$3:$A$50,0)),"")&lt;&gt;"",", "&amp;IFERROR(INDEX(Divisions!$I$3:$I$50,MATCH($E486,Divisions!$A$3:$A$50,0)),""),"")))</f>
        <v/>
      </c>
    </row>
    <row r="487">
      <c r="F487" s="5">
        <f>IFERROR(INDEX('Company MOA setup'!$B$3:$B$500,MATCH($A487,'Company MOA setup'!$A$3:$A$500,0)),"Division default")</f>
        <v/>
      </c>
      <c r="L487" s="5">
        <f>IF($E487="","",TRIM(IFERROR(INDEX(Divisions!$C$3:$C$50,MATCH($E487,Divisions!$A$3:$A$50,0)),"")&amp;IF(IFERROR(INDEX(Divisions!$E$3:$E$50,MATCH($E487,Divisions!$A$3:$A$50,0)),"")&lt;&gt;"",", "&amp;IFERROR(INDEX(Divisions!$E$3:$E$50,MATCH($E487,Divisions!$A$3:$A$50,0)),""),"")&amp;IF(IFERROR(INDEX(Divisions!$G$3:$G$50,MATCH($E487,Divisions!$A$3:$A$50,0)),"")&lt;&gt;"",", "&amp;IFERROR(INDEX(Divisions!$G$3:$G$50,MATCH($E487,Divisions!$A$3:$A$50,0)),""),"")&amp;IF(IFERROR(INDEX(Divisions!$I$3:$I$50,MATCH($E487,Divisions!$A$3:$A$50,0)),"")&lt;&gt;"",", "&amp;IFERROR(INDEX(Divisions!$I$3:$I$50,MATCH($E487,Divisions!$A$3:$A$50,0)),""),"")))</f>
        <v/>
      </c>
    </row>
    <row r="488">
      <c r="F488" s="5">
        <f>IFERROR(INDEX('Company MOA setup'!$B$3:$B$500,MATCH($A488,'Company MOA setup'!$A$3:$A$500,0)),"Division default")</f>
        <v/>
      </c>
      <c r="L488" s="5">
        <f>IF($E488="","",TRIM(IFERROR(INDEX(Divisions!$C$3:$C$50,MATCH($E488,Divisions!$A$3:$A$50,0)),"")&amp;IF(IFERROR(INDEX(Divisions!$E$3:$E$50,MATCH($E488,Divisions!$A$3:$A$50,0)),"")&lt;&gt;"",", "&amp;IFERROR(INDEX(Divisions!$E$3:$E$50,MATCH($E488,Divisions!$A$3:$A$50,0)),""),"")&amp;IF(IFERROR(INDEX(Divisions!$G$3:$G$50,MATCH($E488,Divisions!$A$3:$A$50,0)),"")&lt;&gt;"",", "&amp;IFERROR(INDEX(Divisions!$G$3:$G$50,MATCH($E488,Divisions!$A$3:$A$50,0)),""),"")&amp;IF(IFERROR(INDEX(Divisions!$I$3:$I$50,MATCH($E488,Divisions!$A$3:$A$50,0)),"")&lt;&gt;"",", "&amp;IFERROR(INDEX(Divisions!$I$3:$I$50,MATCH($E488,Divisions!$A$3:$A$50,0)),""),"")))</f>
        <v/>
      </c>
    </row>
    <row r="489">
      <c r="F489" s="5">
        <f>IFERROR(INDEX('Company MOA setup'!$B$3:$B$500,MATCH($A489,'Company MOA setup'!$A$3:$A$500,0)),"Division default")</f>
        <v/>
      </c>
      <c r="L489" s="5">
        <f>IF($E489="","",TRIM(IFERROR(INDEX(Divisions!$C$3:$C$50,MATCH($E489,Divisions!$A$3:$A$50,0)),"")&amp;IF(IFERROR(INDEX(Divisions!$E$3:$E$50,MATCH($E489,Divisions!$A$3:$A$50,0)),"")&lt;&gt;"",", "&amp;IFERROR(INDEX(Divisions!$E$3:$E$50,MATCH($E489,Divisions!$A$3:$A$50,0)),""),"")&amp;IF(IFERROR(INDEX(Divisions!$G$3:$G$50,MATCH($E489,Divisions!$A$3:$A$50,0)),"")&lt;&gt;"",", "&amp;IFERROR(INDEX(Divisions!$G$3:$G$50,MATCH($E489,Divisions!$A$3:$A$50,0)),""),"")&amp;IF(IFERROR(INDEX(Divisions!$I$3:$I$50,MATCH($E489,Divisions!$A$3:$A$50,0)),"")&lt;&gt;"",", "&amp;IFERROR(INDEX(Divisions!$I$3:$I$50,MATCH($E489,Divisions!$A$3:$A$50,0)),""),"")))</f>
        <v/>
      </c>
    </row>
    <row r="490">
      <c r="F490" s="5">
        <f>IFERROR(INDEX('Company MOA setup'!$B$3:$B$500,MATCH($A490,'Company MOA setup'!$A$3:$A$500,0)),"Division default")</f>
        <v/>
      </c>
      <c r="L490" s="5">
        <f>IF($E490="","",TRIM(IFERROR(INDEX(Divisions!$C$3:$C$50,MATCH($E490,Divisions!$A$3:$A$50,0)),"")&amp;IF(IFERROR(INDEX(Divisions!$E$3:$E$50,MATCH($E490,Divisions!$A$3:$A$50,0)),"")&lt;&gt;"",", "&amp;IFERROR(INDEX(Divisions!$E$3:$E$50,MATCH($E490,Divisions!$A$3:$A$50,0)),""),"")&amp;IF(IFERROR(INDEX(Divisions!$G$3:$G$50,MATCH($E490,Divisions!$A$3:$A$50,0)),"")&lt;&gt;"",", "&amp;IFERROR(INDEX(Divisions!$G$3:$G$50,MATCH($E490,Divisions!$A$3:$A$50,0)),""),"")&amp;IF(IFERROR(INDEX(Divisions!$I$3:$I$50,MATCH($E490,Divisions!$A$3:$A$50,0)),"")&lt;&gt;"",", "&amp;IFERROR(INDEX(Divisions!$I$3:$I$50,MATCH($E490,Divisions!$A$3:$A$50,0)),""),"")))</f>
        <v/>
      </c>
    </row>
    <row r="491">
      <c r="F491" s="5">
        <f>IFERROR(INDEX('Company MOA setup'!$B$3:$B$500,MATCH($A491,'Company MOA setup'!$A$3:$A$500,0)),"Division default")</f>
        <v/>
      </c>
      <c r="L491" s="5">
        <f>IF($E491="","",TRIM(IFERROR(INDEX(Divisions!$C$3:$C$50,MATCH($E491,Divisions!$A$3:$A$50,0)),"")&amp;IF(IFERROR(INDEX(Divisions!$E$3:$E$50,MATCH($E491,Divisions!$A$3:$A$50,0)),"")&lt;&gt;"",", "&amp;IFERROR(INDEX(Divisions!$E$3:$E$50,MATCH($E491,Divisions!$A$3:$A$50,0)),""),"")&amp;IF(IFERROR(INDEX(Divisions!$G$3:$G$50,MATCH($E491,Divisions!$A$3:$A$50,0)),"")&lt;&gt;"",", "&amp;IFERROR(INDEX(Divisions!$G$3:$G$50,MATCH($E491,Divisions!$A$3:$A$50,0)),""),"")&amp;IF(IFERROR(INDEX(Divisions!$I$3:$I$50,MATCH($E491,Divisions!$A$3:$A$50,0)),"")&lt;&gt;"",", "&amp;IFERROR(INDEX(Divisions!$I$3:$I$50,MATCH($E491,Divisions!$A$3:$A$50,0)),""),"")))</f>
        <v/>
      </c>
    </row>
    <row r="492">
      <c r="F492" s="5">
        <f>IFERROR(INDEX('Company MOA setup'!$B$3:$B$500,MATCH($A492,'Company MOA setup'!$A$3:$A$500,0)),"Division default")</f>
        <v/>
      </c>
      <c r="L492" s="5">
        <f>IF($E492="","",TRIM(IFERROR(INDEX(Divisions!$C$3:$C$50,MATCH($E492,Divisions!$A$3:$A$50,0)),"")&amp;IF(IFERROR(INDEX(Divisions!$E$3:$E$50,MATCH($E492,Divisions!$A$3:$A$50,0)),"")&lt;&gt;"",", "&amp;IFERROR(INDEX(Divisions!$E$3:$E$50,MATCH($E492,Divisions!$A$3:$A$50,0)),""),"")&amp;IF(IFERROR(INDEX(Divisions!$G$3:$G$50,MATCH($E492,Divisions!$A$3:$A$50,0)),"")&lt;&gt;"",", "&amp;IFERROR(INDEX(Divisions!$G$3:$G$50,MATCH($E492,Divisions!$A$3:$A$50,0)),""),"")&amp;IF(IFERROR(INDEX(Divisions!$I$3:$I$50,MATCH($E492,Divisions!$A$3:$A$50,0)),"")&lt;&gt;"",", "&amp;IFERROR(INDEX(Divisions!$I$3:$I$50,MATCH($E492,Divisions!$A$3:$A$50,0)),""),"")))</f>
        <v/>
      </c>
    </row>
    <row r="493">
      <c r="F493" s="5">
        <f>IFERROR(INDEX('Company MOA setup'!$B$3:$B$500,MATCH($A493,'Company MOA setup'!$A$3:$A$500,0)),"Division default")</f>
        <v/>
      </c>
      <c r="L493" s="5">
        <f>IF($E493="","",TRIM(IFERROR(INDEX(Divisions!$C$3:$C$50,MATCH($E493,Divisions!$A$3:$A$50,0)),"")&amp;IF(IFERROR(INDEX(Divisions!$E$3:$E$50,MATCH($E493,Divisions!$A$3:$A$50,0)),"")&lt;&gt;"",", "&amp;IFERROR(INDEX(Divisions!$E$3:$E$50,MATCH($E493,Divisions!$A$3:$A$50,0)),""),"")&amp;IF(IFERROR(INDEX(Divisions!$G$3:$G$50,MATCH($E493,Divisions!$A$3:$A$50,0)),"")&lt;&gt;"",", "&amp;IFERROR(INDEX(Divisions!$G$3:$G$50,MATCH($E493,Divisions!$A$3:$A$50,0)),""),"")&amp;IF(IFERROR(INDEX(Divisions!$I$3:$I$50,MATCH($E493,Divisions!$A$3:$A$50,0)),"")&lt;&gt;"",", "&amp;IFERROR(INDEX(Divisions!$I$3:$I$50,MATCH($E493,Divisions!$A$3:$A$50,0)),""),"")))</f>
        <v/>
      </c>
    </row>
    <row r="494">
      <c r="F494" s="5">
        <f>IFERROR(INDEX('Company MOA setup'!$B$3:$B$500,MATCH($A494,'Company MOA setup'!$A$3:$A$500,0)),"Division default")</f>
        <v/>
      </c>
      <c r="L494" s="5">
        <f>IF($E494="","",TRIM(IFERROR(INDEX(Divisions!$C$3:$C$50,MATCH($E494,Divisions!$A$3:$A$50,0)),"")&amp;IF(IFERROR(INDEX(Divisions!$E$3:$E$50,MATCH($E494,Divisions!$A$3:$A$50,0)),"")&lt;&gt;"",", "&amp;IFERROR(INDEX(Divisions!$E$3:$E$50,MATCH($E494,Divisions!$A$3:$A$50,0)),""),"")&amp;IF(IFERROR(INDEX(Divisions!$G$3:$G$50,MATCH($E494,Divisions!$A$3:$A$50,0)),"")&lt;&gt;"",", "&amp;IFERROR(INDEX(Divisions!$G$3:$G$50,MATCH($E494,Divisions!$A$3:$A$50,0)),""),"")&amp;IF(IFERROR(INDEX(Divisions!$I$3:$I$50,MATCH($E494,Divisions!$A$3:$A$50,0)),"")&lt;&gt;"",", "&amp;IFERROR(INDEX(Divisions!$I$3:$I$50,MATCH($E494,Divisions!$A$3:$A$50,0)),""),"")))</f>
        <v/>
      </c>
    </row>
    <row r="495">
      <c r="F495" s="5">
        <f>IFERROR(INDEX('Company MOA setup'!$B$3:$B$500,MATCH($A495,'Company MOA setup'!$A$3:$A$500,0)),"Division default")</f>
        <v/>
      </c>
      <c r="L495" s="5">
        <f>IF($E495="","",TRIM(IFERROR(INDEX(Divisions!$C$3:$C$50,MATCH($E495,Divisions!$A$3:$A$50,0)),"")&amp;IF(IFERROR(INDEX(Divisions!$E$3:$E$50,MATCH($E495,Divisions!$A$3:$A$50,0)),"")&lt;&gt;"",", "&amp;IFERROR(INDEX(Divisions!$E$3:$E$50,MATCH($E495,Divisions!$A$3:$A$50,0)),""),"")&amp;IF(IFERROR(INDEX(Divisions!$G$3:$G$50,MATCH($E495,Divisions!$A$3:$A$50,0)),"")&lt;&gt;"",", "&amp;IFERROR(INDEX(Divisions!$G$3:$G$50,MATCH($E495,Divisions!$A$3:$A$50,0)),""),"")&amp;IF(IFERROR(INDEX(Divisions!$I$3:$I$50,MATCH($E495,Divisions!$A$3:$A$50,0)),"")&lt;&gt;"",", "&amp;IFERROR(INDEX(Divisions!$I$3:$I$50,MATCH($E495,Divisions!$A$3:$A$50,0)),""),"")))</f>
        <v/>
      </c>
    </row>
    <row r="496">
      <c r="F496" s="5">
        <f>IFERROR(INDEX('Company MOA setup'!$B$3:$B$500,MATCH($A496,'Company MOA setup'!$A$3:$A$500,0)),"Division default")</f>
        <v/>
      </c>
      <c r="L496" s="5">
        <f>IF($E496="","",TRIM(IFERROR(INDEX(Divisions!$C$3:$C$50,MATCH($E496,Divisions!$A$3:$A$50,0)),"")&amp;IF(IFERROR(INDEX(Divisions!$E$3:$E$50,MATCH($E496,Divisions!$A$3:$A$50,0)),"")&lt;&gt;"",", "&amp;IFERROR(INDEX(Divisions!$E$3:$E$50,MATCH($E496,Divisions!$A$3:$A$50,0)),""),"")&amp;IF(IFERROR(INDEX(Divisions!$G$3:$G$50,MATCH($E496,Divisions!$A$3:$A$50,0)),"")&lt;&gt;"",", "&amp;IFERROR(INDEX(Divisions!$G$3:$G$50,MATCH($E496,Divisions!$A$3:$A$50,0)),""),"")&amp;IF(IFERROR(INDEX(Divisions!$I$3:$I$50,MATCH($E496,Divisions!$A$3:$A$50,0)),"")&lt;&gt;"",", "&amp;IFERROR(INDEX(Divisions!$I$3:$I$50,MATCH($E496,Divisions!$A$3:$A$50,0)),""),"")))</f>
        <v/>
      </c>
    </row>
    <row r="497">
      <c r="F497" s="5">
        <f>IFERROR(INDEX('Company MOA setup'!$B$3:$B$500,MATCH($A497,'Company MOA setup'!$A$3:$A$500,0)),"Division default")</f>
        <v/>
      </c>
      <c r="L497" s="5">
        <f>IF($E497="","",TRIM(IFERROR(INDEX(Divisions!$C$3:$C$50,MATCH($E497,Divisions!$A$3:$A$50,0)),"")&amp;IF(IFERROR(INDEX(Divisions!$E$3:$E$50,MATCH($E497,Divisions!$A$3:$A$50,0)),"")&lt;&gt;"",", "&amp;IFERROR(INDEX(Divisions!$E$3:$E$50,MATCH($E497,Divisions!$A$3:$A$50,0)),""),"")&amp;IF(IFERROR(INDEX(Divisions!$G$3:$G$50,MATCH($E497,Divisions!$A$3:$A$50,0)),"")&lt;&gt;"",", "&amp;IFERROR(INDEX(Divisions!$G$3:$G$50,MATCH($E497,Divisions!$A$3:$A$50,0)),""),"")&amp;IF(IFERROR(INDEX(Divisions!$I$3:$I$50,MATCH($E497,Divisions!$A$3:$A$50,0)),"")&lt;&gt;"",", "&amp;IFERROR(INDEX(Divisions!$I$3:$I$50,MATCH($E497,Divisions!$A$3:$A$50,0)),""),"")))</f>
        <v/>
      </c>
    </row>
    <row r="498">
      <c r="F498" s="5">
        <f>IFERROR(INDEX('Company MOA setup'!$B$3:$B$500,MATCH($A498,'Company MOA setup'!$A$3:$A$500,0)),"Division default")</f>
        <v/>
      </c>
      <c r="L498" s="5">
        <f>IF($E498="","",TRIM(IFERROR(INDEX(Divisions!$C$3:$C$50,MATCH($E498,Divisions!$A$3:$A$50,0)),"")&amp;IF(IFERROR(INDEX(Divisions!$E$3:$E$50,MATCH($E498,Divisions!$A$3:$A$50,0)),"")&lt;&gt;"",", "&amp;IFERROR(INDEX(Divisions!$E$3:$E$50,MATCH($E498,Divisions!$A$3:$A$50,0)),""),"")&amp;IF(IFERROR(INDEX(Divisions!$G$3:$G$50,MATCH($E498,Divisions!$A$3:$A$50,0)),"")&lt;&gt;"",", "&amp;IFERROR(INDEX(Divisions!$G$3:$G$50,MATCH($E498,Divisions!$A$3:$A$50,0)),""),"")&amp;IF(IFERROR(INDEX(Divisions!$I$3:$I$50,MATCH($E498,Divisions!$A$3:$A$50,0)),"")&lt;&gt;"",", "&amp;IFERROR(INDEX(Divisions!$I$3:$I$50,MATCH($E498,Divisions!$A$3:$A$50,0)),""),"")))</f>
        <v/>
      </c>
    </row>
    <row r="499">
      <c r="F499" s="5">
        <f>IFERROR(INDEX('Company MOA setup'!$B$3:$B$500,MATCH($A499,'Company MOA setup'!$A$3:$A$500,0)),"Division default")</f>
        <v/>
      </c>
      <c r="L499" s="5">
        <f>IF($E499="","",TRIM(IFERROR(INDEX(Divisions!$C$3:$C$50,MATCH($E499,Divisions!$A$3:$A$50,0)),"")&amp;IF(IFERROR(INDEX(Divisions!$E$3:$E$50,MATCH($E499,Divisions!$A$3:$A$50,0)),"")&lt;&gt;"",", "&amp;IFERROR(INDEX(Divisions!$E$3:$E$50,MATCH($E499,Divisions!$A$3:$A$50,0)),""),"")&amp;IF(IFERROR(INDEX(Divisions!$G$3:$G$50,MATCH($E499,Divisions!$A$3:$A$50,0)),"")&lt;&gt;"",", "&amp;IFERROR(INDEX(Divisions!$G$3:$G$50,MATCH($E499,Divisions!$A$3:$A$50,0)),""),"")&amp;IF(IFERROR(INDEX(Divisions!$I$3:$I$50,MATCH($E499,Divisions!$A$3:$A$50,0)),"")&lt;&gt;"",", "&amp;IFERROR(INDEX(Divisions!$I$3:$I$50,MATCH($E499,Divisions!$A$3:$A$50,0)),""),"")))</f>
        <v/>
      </c>
    </row>
    <row r="500">
      <c r="F500" s="5">
        <f>IFERROR(INDEX('Company MOA setup'!$B$3:$B$500,MATCH($A500,'Company MOA setup'!$A$3:$A$500,0)),"Division default")</f>
        <v/>
      </c>
      <c r="L500" s="5">
        <f>IF($E500="","",TRIM(IFERROR(INDEX(Divisions!$C$3:$C$50,MATCH($E500,Divisions!$A$3:$A$50,0)),"")&amp;IF(IFERROR(INDEX(Divisions!$E$3:$E$50,MATCH($E500,Divisions!$A$3:$A$50,0)),"")&lt;&gt;"",", "&amp;IFERROR(INDEX(Divisions!$E$3:$E$50,MATCH($E500,Divisions!$A$3:$A$50,0)),""),"")&amp;IF(IFERROR(INDEX(Divisions!$G$3:$G$50,MATCH($E500,Divisions!$A$3:$A$50,0)),"")&lt;&gt;"",", "&amp;IFERROR(INDEX(Divisions!$G$3:$G$50,MATCH($E500,Divisions!$A$3:$A$50,0)),""),"")&amp;IF(IFERROR(INDEX(Divisions!$I$3:$I$50,MATCH($E500,Divisions!$A$3:$A$50,0)),"")&lt;&gt;"",", "&amp;IFERROR(INDEX(Divisions!$I$3:$I$50,MATCH($E500,Divisions!$A$3:$A$50,0)),""),"")))</f>
        <v/>
      </c>
    </row>
  </sheetData>
  <dataValidations count="2">
    <dataValidation sqref="E2:E500" showDropDown="0" showInputMessage="0" showErrorMessage="0" allowBlank="1" errorTitle="Invalid value" error="Please pick from the dropdown." type="list">
      <formula1>"LGB","LGB INS","Exitra","Bellworth &amp; London","UER","Parkwood","SWM","DLAL","DLCM","DLCM &amp; KK","DLCM &amp; SEAN","HOLD ON","Nominees","TCB","KK","SEAN","ISHAK","JANICE"</formula1>
    </dataValidation>
    <dataValidation sqref="G2:H500" showDropDown="0" showInputMessage="0" showErrorMessage="0" allowBlank="1" errorTitle="Invalid value" error="Please pick from the dropdown.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16" customWidth="1" min="4" max="4"/>
    <col width="14" customWidth="1" min="5" max="5"/>
    <col width="20" customWidth="1" min="6" max="6"/>
    <col width="12" customWidth="1" min="7" max="7"/>
    <col width="22" customWidth="1" min="8" max="8"/>
    <col width="20" customWidth="1" min="9" max="9"/>
  </cols>
  <sheetData>
    <row r="1">
      <c r="A1" s="4" t="inlineStr">
        <is>
          <t>Company name</t>
        </is>
      </c>
      <c r="B1" s="4" t="inlineStr">
        <is>
          <t>Person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Fills in MOI?</t>
        </is>
      </c>
      <c r="F1" s="4" t="inlineStr">
        <is>
          <t>Approves MOI (client)?</t>
        </is>
      </c>
      <c r="G1" s="4" t="inlineStr">
        <is>
          <t>Signs MOA?</t>
        </is>
      </c>
      <c r="H1" s="2" t="inlineStr">
        <is>
          <t>Usually starts the request?</t>
        </is>
      </c>
      <c r="I1" s="2" t="inlineStr">
        <is>
          <t>Notes</t>
        </is>
      </c>
    </row>
    <row r="2">
      <c r="A2" t="inlineStr">
        <is>
          <t>Acme Corp</t>
        </is>
      </c>
      <c r="B2" t="inlineStr">
        <is>
          <t>Dan Ra</t>
        </is>
      </c>
      <c r="C2" t="inlineStr">
        <is>
          <t>dra@lgb.test</t>
        </is>
      </c>
      <c r="D2" t="inlineStr">
        <is>
          <t>+60 11-111 1111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Example — delete</t>
        </is>
      </c>
    </row>
    <row r="3">
      <c r="A3" t="inlineStr">
        <is>
          <t>Acme Corp</t>
        </is>
      </c>
      <c r="B3" t="inlineStr">
        <is>
          <t>Daniel Ra</t>
        </is>
      </c>
      <c r="C3" t="inlineStr">
        <is>
          <t>dra2@lgb.test</t>
        </is>
      </c>
      <c r="D3" t="inlineStr"/>
      <c r="E3" t="inlineStr">
        <is>
          <t>Y</t>
        </is>
      </c>
      <c r="F3" t="inlineStr">
        <is>
          <t>N</t>
        </is>
      </c>
      <c r="G3" t="inlineStr">
        <is>
          <t>Y</t>
        </is>
      </c>
      <c r="H3" t="inlineStr">
        <is>
          <t>N</t>
        </is>
      </c>
      <c r="I3" t="inlineStr">
        <is>
          <t>Example — delete</t>
        </is>
      </c>
    </row>
    <row r="4">
      <c r="A4" t="inlineStr">
        <is>
          <t>Acme Corp</t>
        </is>
      </c>
      <c r="B4" t="inlineStr">
        <is>
          <t>Dra Three</t>
        </is>
      </c>
      <c r="C4" t="inlineStr">
        <is>
          <t>dra3@lgb.test</t>
        </is>
      </c>
      <c r="D4" t="inlineStr"/>
      <c r="E4" t="inlineStr">
        <is>
          <t>N</t>
        </is>
      </c>
      <c r="F4" t="inlineStr">
        <is>
          <t>Y</t>
        </is>
      </c>
      <c r="G4" t="inlineStr">
        <is>
          <t>Y</t>
        </is>
      </c>
      <c r="H4" t="inlineStr">
        <is>
          <t>N</t>
        </is>
      </c>
      <c r="I4" t="inlineStr">
        <is>
          <t>Example — delete</t>
        </is>
      </c>
    </row>
  </sheetData>
  <dataValidations count="4">
    <dataValidation sqref="E2:E500" showDropDown="0" showInputMessage="0" showErrorMessage="0" allowBlank="1" errorTitle="Invalid value" error="Please pick from the dropdown." type="list">
      <formula1>"Y,N"</formula1>
    </dataValidation>
    <dataValidation sqref="F2:F500" showDropDown="0" showInputMessage="0" showErrorMessage="0" allowBlank="1" errorTitle="Invalid value" error="Please pick from the dropdown." type="list">
      <formula1>"Y,N"</formula1>
    </dataValidation>
    <dataValidation sqref="G2:G500" showDropDown="0" showInputMessage="0" showErrorMessage="0" allowBlank="1" errorTitle="Invalid value" error="Please pick from the dropdown." type="list">
      <formula1>"Y,N"</formula1>
    </dataValidation>
    <dataValidation sqref="H2:H500" showDropDown="0" showInputMessage="0" showErrorMessage="0" allowBlank="1" errorTitle="Invalid value" error="Please pick from the dropdown." type="list">
      <formula1>"Y,N"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2" customWidth="1" min="4" max="4"/>
    <col width="26" customWidth="1" min="5" max="5"/>
    <col width="20" customWidth="1" min="6" max="6"/>
    <col width="26" customWidth="1" min="7" max="7"/>
    <col width="20" customWidth="1" min="8" max="8"/>
    <col width="26" customWidth="1" min="9" max="9"/>
    <col width="18" customWidth="1" min="10" max="10"/>
    <col width="24" customWidth="1" min="11" max="11"/>
    <col width="18" customWidth="1" min="12" max="12"/>
    <col width="24" customWidth="1" min="13" max="13"/>
    <col width="18" customWidth="1" min="14" max="14"/>
    <col width="24" customWidth="1" min="15" max="15"/>
    <col width="18" customWidth="1" min="16" max="16"/>
    <col width="24" customWidth="1" min="17" max="17"/>
    <col width="20" customWidth="1" min="18" max="18"/>
    <col width="24" customWidth="1" min="19" max="19"/>
    <col width="18" customWidth="1" min="20" max="20"/>
    <col width="24" customWidth="1" min="21" max="21"/>
    <col width="22" customWidth="1" min="22" max="22"/>
    <col width="22" customWidth="1" min="23" max="23"/>
    <col width="24" customWidth="1" min="24" max="24"/>
  </cols>
  <sheetData>
    <row r="1">
      <c r="A1" s="4" t="inlineStr">
        <is>
          <t>Company name</t>
        </is>
      </c>
      <c r="B1" s="4" t="inlineStr">
        <is>
          <t>MOA workflow</t>
        </is>
      </c>
      <c r="C1" s="2" t="inlineStr">
        <is>
          <t>Roles in this workflow (auto)</t>
        </is>
      </c>
      <c r="D1" s="2" t="inlineStr">
        <is>
          <t>Project initiator name (auto)</t>
        </is>
      </c>
      <c r="E1" s="2" t="inlineStr">
        <is>
          <t>Project initiator email (auto)</t>
        </is>
      </c>
      <c r="F1" s="2" t="inlineStr">
        <is>
          <t>MOA signer 1 name (auto)</t>
        </is>
      </c>
      <c r="G1" s="2" t="inlineStr">
        <is>
          <t>MOA signer 1 email (auto)</t>
        </is>
      </c>
      <c r="H1" s="2" t="inlineStr">
        <is>
          <t>MOA signer 2 name (auto)</t>
        </is>
      </c>
      <c r="I1" s="2" t="inlineStr">
        <is>
          <t>MOA signer 2 email (auto)</t>
        </is>
      </c>
      <c r="J1" s="2" t="inlineStr">
        <is>
          <t>CFO / Finance name</t>
        </is>
      </c>
      <c r="K1" s="2" t="inlineStr">
        <is>
          <t>CFO / Finance email</t>
        </is>
      </c>
      <c r="L1" s="2" t="inlineStr">
        <is>
          <t>CEO / GM name</t>
        </is>
      </c>
      <c r="M1" s="2" t="inlineStr">
        <is>
          <t>CEO / GM email</t>
        </is>
      </c>
      <c r="N1" s="2" t="inlineStr">
        <is>
          <t>Board member 1 name</t>
        </is>
      </c>
      <c r="O1" s="2" t="inlineStr">
        <is>
          <t>Board member 1 email</t>
        </is>
      </c>
      <c r="P1" s="2" t="inlineStr">
        <is>
          <t>Board member 2 name</t>
        </is>
      </c>
      <c r="Q1" s="2" t="inlineStr">
        <is>
          <t>Board member 2 email</t>
        </is>
      </c>
      <c r="R1" s="2" t="inlineStr">
        <is>
          <t>LOA holder 1 name (auto)</t>
        </is>
      </c>
      <c r="S1" s="2" t="inlineStr">
        <is>
          <t>LOA holder 1 email</t>
        </is>
      </c>
      <c r="T1" s="2" t="inlineStr">
        <is>
          <t>LOA holder 2 name</t>
        </is>
      </c>
      <c r="U1" s="2" t="inlineStr">
        <is>
          <t>LOA holder 2 email</t>
        </is>
      </c>
      <c r="V1" s="2" t="inlineStr">
        <is>
          <t>LGB prepared-by email</t>
        </is>
      </c>
      <c r="W1" s="2" t="inlineStr">
        <is>
          <t>LGB vetted-by email</t>
        </is>
      </c>
      <c r="X1" s="2" t="inlineStr">
        <is>
          <t>Notes</t>
        </is>
      </c>
    </row>
    <row r="2">
      <c r="A2" s="6" t="inlineStr">
        <is>
          <t>Column guide (per workflow) →</t>
        </is>
      </c>
      <c r="D2" s="7">
        <f>IF($B3="","",INDEX('MOA role matrix'!$B$2:$D$13,1,MATCH($B3,'MOA role matrix'!$B$1:$D$1,0)))</f>
        <v/>
      </c>
      <c r="F2" s="7">
        <f>IF($B3="","",INDEX('MOA role matrix'!$B$2:$D$13,2,MATCH($B3,'MOA role matrix'!$B$1:$D$1,0)))</f>
        <v/>
      </c>
      <c r="J2" s="7">
        <f>IF($B3="","",INDEX('MOA role matrix'!$B$2:$D$13,3,MATCH($B3,'MOA role matrix'!$B$1:$D$1,0)))</f>
        <v/>
      </c>
      <c r="L2" s="7">
        <f>IF($B3="","",INDEX('MOA role matrix'!$B$2:$D$13,4,MATCH($B3,'MOA role matrix'!$B$1:$D$1,0)))</f>
        <v/>
      </c>
      <c r="N2" s="7">
        <f>IF($B3="","",INDEX('MOA role matrix'!$B$2:$D$13,5,MATCH($B3,'MOA role matrix'!$B$1:$D$1,0)))</f>
        <v/>
      </c>
      <c r="P2" s="7">
        <f>IF($B3="","",INDEX('MOA role matrix'!$B$2:$D$13,6,MATCH($B3,'MOA role matrix'!$B$1:$D$1,0)))</f>
        <v/>
      </c>
      <c r="R2" s="7">
        <f>IF($B3="","",INDEX('MOA role matrix'!$B$2:$D$13,7,MATCH($B3,'MOA role matrix'!$B$1:$D$1,0)))</f>
        <v/>
      </c>
      <c r="T2" s="7">
        <f>IF($B3="","",INDEX('MOA role matrix'!$B$2:$D$13,8,MATCH($B3,'MOA role matrix'!$B$1:$D$1,0)))</f>
        <v/>
      </c>
    </row>
    <row r="3">
      <c r="A3" t="inlineStr">
        <is>
          <t>Acme Corp</t>
        </is>
      </c>
      <c r="B3" t="inlineStr">
        <is>
          <t>MOA — No LOA</t>
        </is>
      </c>
      <c r="C3" s="5">
        <f>IF($B3="","",TRIM(IF(INDEX('MOA role matrix'!$B$2:$D$13,1,MATCH($B3,'MOA role matrix'!$B$1:$D$1,0))="Fill","Project initiator, ","")IF(INDEX('MOA role matrix'!$B$2:$D$13,1,MATCH($B3,'MOA role matrix'!$B$1:$D$1,0))="If finance","Project initiator (if finance), ","")IF(INDEX('MOA role matrix'!$B$2:$D$13,1,MATCH($B3,'MOA role matrix'!$B$1:$D$1,0))="Auto","Project initiator (auto), ","")IF(INDEX('MOA role matrix'!$B$2:$D$13,2,MATCH($B3,'MOA role matrix'!$B$1:$D$1,0))="Fill","MOA signers (client), ","")IF(INDEX('MOA role matrix'!$B$2:$D$13,2,MATCH($B3,'MOA role matrix'!$B$1:$D$1,0))="If finance","MOA signers (client) (if finance), ","")IF(INDEX('MOA role matrix'!$B$2:$D$13,2,MATCH($B3,'MOA role matrix'!$B$1:$D$1,0))="Auto","MOA signers (client) (auto), ","")IF(INDEX('MOA role matrix'!$B$2:$D$13,3,MATCH($B3,'MOA role matrix'!$B$1:$D$1,0))="Fill","CFO / Head of Finance, ","")IF(INDEX('MOA role matrix'!$B$2:$D$13,3,MATCH($B3,'MOA role matrix'!$B$1:$D$1,0))="If finance","CFO / Head of Finance (if finance), ","")IF(INDEX('MOA role matrix'!$B$2:$D$13,3,MATCH($B3,'MOA role matrix'!$B$1:$D$1,0))="Auto","CFO / Head of Finance (auto), ","")IF(INDEX('MOA role matrix'!$B$2:$D$13,4,MATCH($B3,'MOA role matrix'!$B$1:$D$1,0))="Fill","CEO / COO / GM, ","")IF(INDEX('MOA role matrix'!$B$2:$D$13,4,MATCH($B3,'MOA role matrix'!$B$1:$D$1,0))="If finance","CEO / COO / GM (if finance), ","")IF(INDEX('MOA role matrix'!$B$2:$D$13,4,MATCH($B3,'MOA role matrix'!$B$1:$D$1,0))="Auto","CEO / COO / GM (auto), ","")IF(INDEX('MOA role matrix'!$B$2:$D$13,5,MATCH($B3,'MOA role matrix'!$B$1:$D$1,0))="Fill","Board member 1, ","")IF(INDEX('MOA role matrix'!$B$2:$D$13,5,MATCH($B3,'MOA role matrix'!$B$1:$D$1,0))="If finance","Board member 1 (if finance), ","")IF(INDEX('MOA role matrix'!$B$2:$D$13,5,MATCH($B3,'MOA role matrix'!$B$1:$D$1,0))="Auto","Board member 1 (auto), ","")IF(INDEX('MOA role matrix'!$B$2:$D$13,6,MATCH($B3,'MOA role matrix'!$B$1:$D$1,0))="Fill","Board member 2, ","")IF(INDEX('MOA role matrix'!$B$2:$D$13,6,MATCH($B3,'MOA role matrix'!$B$1:$D$1,0))="If finance","Board member 2 (if finance), ","")IF(INDEX('MOA role matrix'!$B$2:$D$13,6,MATCH($B3,'MOA role matrix'!$B$1:$D$1,0))="Auto","Board member 2 (auto), ","")IF(INDEX('MOA role matrix'!$B$2:$D$13,7,MATCH($B3,'MOA role matrix'!$B$1:$D$1,0))="Fill","LOA holder 1, ","")IF(INDEX('MOA role matrix'!$B$2:$D$13,7,MATCH($B3,'MOA role matrix'!$B$1:$D$1,0))="If finance","LOA holder 1 (if finance), ","")IF(INDEX('MOA role matrix'!$B$2:$D$13,7,MATCH($B3,'MOA role matrix'!$B$1:$D$1,0))="Auto","LOA holder 1 (auto), ","")IF(INDEX('MOA role matrix'!$B$2:$D$13,8,MATCH($B3,'MOA role matrix'!$B$1:$D$1,0))="Fill","LOA holder 2, ","")IF(INDEX('MOA role matrix'!$B$2:$D$13,8,MATCH($B3,'MOA role matrix'!$B$1:$D$1,0))="If finance","LOA holder 2 (if finance), ","")IF(INDEX('MOA role matrix'!$B$2:$D$13,8,MATCH($B3,'MOA role matrix'!$B$1:$D$1,0))="Auto","LOA holder 2 (auto), ","")IF(INDEX('MOA role matrix'!$B$2:$D$13,9,MATCH($B3,'MOA role matrix'!$B$1:$D$1,0))="Fill","Senior Manager CoSec, ","")IF(INDEX('MOA role matrix'!$B$2:$D$13,9,MATCH($B3,'MOA role matrix'!$B$1:$D$1,0))="If finance","Senior Manager CoSec (if finance), ","")IF(INDEX('MOA role matrix'!$B$2:$D$13,9,MATCH($B3,'MOA role matrix'!$B$1:$D$1,0))="Auto","Senior Manager CoSec (auto), ","")IF(INDEX('MOA role matrix'!$B$2:$D$13,10,MATCH($B3,'MOA role matrix'!$B$1:$D$1,0))="Fill","Division MOI managers, ","")IF(INDEX('MOA role matrix'!$B$2:$D$13,10,MATCH($B3,'MOA role matrix'!$B$1:$D$1,0))="If finance","Division MOI managers (if finance), ","")IF(INDEX('MOA role matrix'!$B$2:$D$13,10,MATCH($B3,'MOA role matrix'!$B$1:$D$1,0))="Auto","Division MOI managers (auto), ","")IF(INDEX('MOA role matrix'!$B$2:$D$13,11,MATCH($B3,'MOA role matrix'!$B$1:$D$1,0))="Fill","Ms Teh (bank), ","")IF(INDEX('MOA role matrix'!$B$2:$D$13,11,MATCH($B3,'MOA role matrix'!$B$1:$D$1,0))="If finance","Ms Teh (bank) (if finance), ","")IF(INDEX('MOA role matrix'!$B$2:$D$13,11,MATCH($B3,'MOA role matrix'!$B$1:$D$1,0))="Auto","Ms Teh (bank) (auto), ","")IF(INDEX('MOA role matrix'!$B$2:$D$13,12,MATCH($B3,'MOA role matrix'!$B$1:$D$1,0))="Fill","DLCM, ","")IF(INDEX('MOA role matrix'!$B$2:$D$13,12,MATCH($B3,'MOA role matrix'!$B$1:$D$1,0))="If finance","DLCM (if finance), ","")IF(INDEX('MOA role matrix'!$B$2:$D$13,12,MATCH($B3,'MOA role matrix'!$B$1:$D$1,0))="Auto","DLCM (auto), ","")))</f>
        <v/>
      </c>
      <c r="D3" s="5">
        <f>IF($A3="","",IFERROR(INDEX(FILTER('Client contacts'!$B$2:$B$500,('Client contacts'!$A$2:$A$500=$A3)*('Client contacts'!$H$2:$H$500="Y"),""),1),""))</f>
        <v/>
      </c>
      <c r="E3" s="5">
        <f>IF($A3="","",IFERROR(INDEX(FILTER('Client contacts'!$C$2:$C$500,('Client contacts'!$A$2:$A$500=$A3)*('Client contacts'!$H$2:$H$500="Y"),""),1),""))</f>
        <v/>
      </c>
      <c r="F3" s="5">
        <f>IF($A3="","",IFERROR(INDEX(FILTER('Client contacts'!$B$2:$B$500,('Client contacts'!$A$2:$A$500=$A3)*('Client contacts'!$G$2:$G$500="Y"),""),1),""))</f>
        <v/>
      </c>
      <c r="G3" s="5">
        <f>IF($A3="","",IFERROR(INDEX(FILTER('Client contacts'!$C$2:$C$500,('Client contacts'!$A$2:$A$500=$A3)*('Client contacts'!$G$2:$G$500="Y"),""),1),""))</f>
        <v/>
      </c>
      <c r="H3" s="5">
        <f>IF($A3="","",IFERROR(INDEX(FILTER('Client contacts'!$B$2:$B$500,('Client contacts'!$A$2:$A$500=$A3)*('Client contacts'!$G$2:$G$500="Y"),""),2),""))</f>
        <v/>
      </c>
      <c r="I3" s="5">
        <f>IF($A3="","",IFERROR(INDEX(FILTER('Client contacts'!$C$2:$C$500,('Client contacts'!$A$2:$A$500=$A3)*('Client contacts'!$G$2:$G$500="Y"),""),2),""))</f>
        <v/>
      </c>
      <c r="J3" t="inlineStr"/>
      <c r="K3" t="inlineStr"/>
      <c r="L3" t="inlineStr">
        <is>
          <t>Jane CEO</t>
        </is>
      </c>
      <c r="M3" t="inlineStr">
        <is>
          <t>ceo@acme.com</t>
        </is>
      </c>
      <c r="N3" t="inlineStr">
        <is>
          <t>Director One</t>
        </is>
      </c>
      <c r="O3" t="inlineStr"/>
      <c r="P3" t="inlineStr"/>
      <c r="Q3" t="inlineStr"/>
      <c r="R3" s="5">
        <f>IF($A3="","",IFERROR(INDEX(Companies!$I$2:$I$500,MATCH($A3,Companies!$A$2:$A$500,0)),""))</f>
        <v/>
      </c>
      <c r="S3" t="inlineStr"/>
      <c r="T3" t="inlineStr"/>
      <c r="U3" t="inlineStr"/>
      <c r="V3" t="inlineStr">
        <is>
          <t>nadia@lgb.test</t>
        </is>
      </c>
      <c r="W3" t="inlineStr">
        <is>
          <t>nita@lgb.test</t>
        </is>
      </c>
      <c r="X3" t="inlineStr">
        <is>
          <t>Example — delete this row</t>
        </is>
      </c>
    </row>
    <row r="4">
      <c r="C4" s="5">
        <f>IF($B4="","",TRIM(IF(INDEX('MOA role matrix'!$B$2:$D$13,1,MATCH($B4,'MOA role matrix'!$B$1:$D$1,0))="Fill","Project initiator, ","")IF(INDEX('MOA role matrix'!$B$2:$D$13,1,MATCH($B4,'MOA role matrix'!$B$1:$D$1,0))="If finance","Project initiator (if finance), ","")IF(INDEX('MOA role matrix'!$B$2:$D$13,1,MATCH($B4,'MOA role matrix'!$B$1:$D$1,0))="Auto","Project initiator (auto), ","")IF(INDEX('MOA role matrix'!$B$2:$D$13,2,MATCH($B4,'MOA role matrix'!$B$1:$D$1,0))="Fill","MOA signers (client), ","")IF(INDEX('MOA role matrix'!$B$2:$D$13,2,MATCH($B4,'MOA role matrix'!$B$1:$D$1,0))="If finance","MOA signers (client) (if finance), ","")IF(INDEX('MOA role matrix'!$B$2:$D$13,2,MATCH($B4,'MOA role matrix'!$B$1:$D$1,0))="Auto","MOA signers (client) (auto), ","")IF(INDEX('MOA role matrix'!$B$2:$D$13,3,MATCH($B4,'MOA role matrix'!$B$1:$D$1,0))="Fill","CFO / Head of Finance, ","")IF(INDEX('MOA role matrix'!$B$2:$D$13,3,MATCH($B4,'MOA role matrix'!$B$1:$D$1,0))="If finance","CFO / Head of Finance (if finance), ","")IF(INDEX('MOA role matrix'!$B$2:$D$13,3,MATCH($B4,'MOA role matrix'!$B$1:$D$1,0))="Auto","CFO / Head of Finance (auto), ","")IF(INDEX('MOA role matrix'!$B$2:$D$13,4,MATCH($B4,'MOA role matrix'!$B$1:$D$1,0))="Fill","CEO / COO / GM, ","")IF(INDEX('MOA role matrix'!$B$2:$D$13,4,MATCH($B4,'MOA role matrix'!$B$1:$D$1,0))="If finance","CEO / COO / GM (if finance), ","")IF(INDEX('MOA role matrix'!$B$2:$D$13,4,MATCH($B4,'MOA role matrix'!$B$1:$D$1,0))="Auto","CEO / COO / GM (auto), ","")IF(INDEX('MOA role matrix'!$B$2:$D$13,5,MATCH($B4,'MOA role matrix'!$B$1:$D$1,0))="Fill","Board member 1, ","")IF(INDEX('MOA role matrix'!$B$2:$D$13,5,MATCH($B4,'MOA role matrix'!$B$1:$D$1,0))="If finance","Board member 1 (if finance), ","")IF(INDEX('MOA role matrix'!$B$2:$D$13,5,MATCH($B4,'MOA role matrix'!$B$1:$D$1,0))="Auto","Board member 1 (auto), ","")IF(INDEX('MOA role matrix'!$B$2:$D$13,6,MATCH($B4,'MOA role matrix'!$B$1:$D$1,0))="Fill","Board member 2, ","")IF(INDEX('MOA role matrix'!$B$2:$D$13,6,MATCH($B4,'MOA role matrix'!$B$1:$D$1,0))="If finance","Board member 2 (if finance), ","")IF(INDEX('MOA role matrix'!$B$2:$D$13,6,MATCH($B4,'MOA role matrix'!$B$1:$D$1,0))="Auto","Board member 2 (auto), ","")IF(INDEX('MOA role matrix'!$B$2:$D$13,7,MATCH($B4,'MOA role matrix'!$B$1:$D$1,0))="Fill","LOA holder 1, ","")IF(INDEX('MOA role matrix'!$B$2:$D$13,7,MATCH($B4,'MOA role matrix'!$B$1:$D$1,0))="If finance","LOA holder 1 (if finance), ","")IF(INDEX('MOA role matrix'!$B$2:$D$13,7,MATCH($B4,'MOA role matrix'!$B$1:$D$1,0))="Auto","LOA holder 1 (auto), ","")IF(INDEX('MOA role matrix'!$B$2:$D$13,8,MATCH($B4,'MOA role matrix'!$B$1:$D$1,0))="Fill","LOA holder 2, ","")IF(INDEX('MOA role matrix'!$B$2:$D$13,8,MATCH($B4,'MOA role matrix'!$B$1:$D$1,0))="If finance","LOA holder 2 (if finance), ","")IF(INDEX('MOA role matrix'!$B$2:$D$13,8,MATCH($B4,'MOA role matrix'!$B$1:$D$1,0))="Auto","LOA holder 2 (auto), ","")IF(INDEX('MOA role matrix'!$B$2:$D$13,9,MATCH($B4,'MOA role matrix'!$B$1:$D$1,0))="Fill","Senior Manager CoSec, ","")IF(INDEX('MOA role matrix'!$B$2:$D$13,9,MATCH($B4,'MOA role matrix'!$B$1:$D$1,0))="If finance","Senior Manager CoSec (if finance), ","")IF(INDEX('MOA role matrix'!$B$2:$D$13,9,MATCH($B4,'MOA role matrix'!$B$1:$D$1,0))="Auto","Senior Manager CoSec (auto), ","")IF(INDEX('MOA role matrix'!$B$2:$D$13,10,MATCH($B4,'MOA role matrix'!$B$1:$D$1,0))="Fill","Division MOI managers, ","")IF(INDEX('MOA role matrix'!$B$2:$D$13,10,MATCH($B4,'MOA role matrix'!$B$1:$D$1,0))="If finance","Division MOI managers (if finance), ","")IF(INDEX('MOA role matrix'!$B$2:$D$13,10,MATCH($B4,'MOA role matrix'!$B$1:$D$1,0))="Auto","Division MOI managers (auto), ","")IF(INDEX('MOA role matrix'!$B$2:$D$13,11,MATCH($B4,'MOA role matrix'!$B$1:$D$1,0))="Fill","Ms Teh (bank), ","")IF(INDEX('MOA role matrix'!$B$2:$D$13,11,MATCH($B4,'MOA role matrix'!$B$1:$D$1,0))="If finance","Ms Teh (bank) (if finance), ","")IF(INDEX('MOA role matrix'!$B$2:$D$13,11,MATCH($B4,'MOA role matrix'!$B$1:$D$1,0))="Auto","Ms Teh (bank) (auto), ","")IF(INDEX('MOA role matrix'!$B$2:$D$13,12,MATCH($B4,'MOA role matrix'!$B$1:$D$1,0))="Fill","DLCM, ","")IF(INDEX('MOA role matrix'!$B$2:$D$13,12,MATCH($B4,'MOA role matrix'!$B$1:$D$1,0))="If finance","DLCM (if finance), ","")IF(INDEX('MOA role matrix'!$B$2:$D$13,12,MATCH($B4,'MOA role matrix'!$B$1:$D$1,0))="Auto","DLCM (auto), ","")))</f>
        <v/>
      </c>
      <c r="D4" s="5">
        <f>IF($A4="","",IFERROR(INDEX(FILTER('Client contacts'!$B$2:$B$500,('Client contacts'!$A$2:$A$500=$A4)*('Client contacts'!$H$2:$H$500="Y"),""),1),""))</f>
        <v/>
      </c>
      <c r="E4" s="5">
        <f>IF($A4="","",IFERROR(INDEX(FILTER('Client contacts'!$C$2:$C$500,('Client contacts'!$A$2:$A$500=$A4)*('Client contacts'!$H$2:$H$500="Y"),""),1),""))</f>
        <v/>
      </c>
      <c r="F4" s="5">
        <f>IF($A4="","",IFERROR(INDEX(FILTER('Client contacts'!$B$2:$B$500,('Client contacts'!$A$2:$A$500=$A4)*('Client contacts'!$G$2:$G$500="Y"),""),1),""))</f>
        <v/>
      </c>
      <c r="G4" s="5">
        <f>IF($A4="","",IFERROR(INDEX(FILTER('Client contacts'!$C$2:$C$500,('Client contacts'!$A$2:$A$500=$A4)*('Client contacts'!$G$2:$G$500="Y"),""),1),""))</f>
        <v/>
      </c>
      <c r="H4" s="5">
        <f>IF($A4="","",IFERROR(INDEX(FILTER('Client contacts'!$B$2:$B$500,('Client contacts'!$A$2:$A$500=$A4)*('Client contacts'!$G$2:$G$500="Y"),""),2),""))</f>
        <v/>
      </c>
      <c r="I4" s="5">
        <f>IF($A4="","",IFERROR(INDEX(FILTER('Client contacts'!$C$2:$C$500,('Client contacts'!$A$2:$A$500=$A4)*('Client contacts'!$G$2:$G$500="Y"),""),2),""))</f>
        <v/>
      </c>
      <c r="J4" s="8" t="n"/>
      <c r="K4" s="8" t="n"/>
      <c r="L4" s="8" t="n"/>
      <c r="M4" s="8" t="n"/>
      <c r="N4" s="8" t="n"/>
      <c r="O4" s="8" t="n"/>
      <c r="P4" s="8" t="n"/>
      <c r="Q4" s="8" t="n"/>
      <c r="R4" s="5">
        <f>IF($A4="","",IFERROR(INDEX(Companies!$I$2:$I$500,MATCH($A4,Companies!$A$2:$A$500,0)),""))</f>
        <v/>
      </c>
      <c r="S4" s="8" t="n"/>
      <c r="T4" s="8" t="n"/>
      <c r="U4" s="8" t="n"/>
      <c r="V4" s="8" t="n"/>
      <c r="W4" s="8" t="n"/>
    </row>
    <row r="5">
      <c r="C5" s="5">
        <f>IF($B5="","",TRIM(IF(INDEX('MOA role matrix'!$B$2:$D$13,1,MATCH($B5,'MOA role matrix'!$B$1:$D$1,0))="Fill","Project initiator, ","")IF(INDEX('MOA role matrix'!$B$2:$D$13,1,MATCH($B5,'MOA role matrix'!$B$1:$D$1,0))="If finance","Project initiator (if finance), ","")IF(INDEX('MOA role matrix'!$B$2:$D$13,1,MATCH($B5,'MOA role matrix'!$B$1:$D$1,0))="Auto","Project initiator (auto), ","")IF(INDEX('MOA role matrix'!$B$2:$D$13,2,MATCH($B5,'MOA role matrix'!$B$1:$D$1,0))="Fill","MOA signers (client), ","")IF(INDEX('MOA role matrix'!$B$2:$D$13,2,MATCH($B5,'MOA role matrix'!$B$1:$D$1,0))="If finance","MOA signers (client) (if finance), ","")IF(INDEX('MOA role matrix'!$B$2:$D$13,2,MATCH($B5,'MOA role matrix'!$B$1:$D$1,0))="Auto","MOA signers (client) (auto), ","")IF(INDEX('MOA role matrix'!$B$2:$D$13,3,MATCH($B5,'MOA role matrix'!$B$1:$D$1,0))="Fill","CFO / Head of Finance, ","")IF(INDEX('MOA role matrix'!$B$2:$D$13,3,MATCH($B5,'MOA role matrix'!$B$1:$D$1,0))="If finance","CFO / Head of Finance (if finance), ","")IF(INDEX('MOA role matrix'!$B$2:$D$13,3,MATCH($B5,'MOA role matrix'!$B$1:$D$1,0))="Auto","CFO / Head of Finance (auto), ","")IF(INDEX('MOA role matrix'!$B$2:$D$13,4,MATCH($B5,'MOA role matrix'!$B$1:$D$1,0))="Fill","CEO / COO / GM, ","")IF(INDEX('MOA role matrix'!$B$2:$D$13,4,MATCH($B5,'MOA role matrix'!$B$1:$D$1,0))="If finance","CEO / COO / GM (if finance), ","")IF(INDEX('MOA role matrix'!$B$2:$D$13,4,MATCH($B5,'MOA role matrix'!$B$1:$D$1,0))="Auto","CEO / COO / GM (auto), ","")IF(INDEX('MOA role matrix'!$B$2:$D$13,5,MATCH($B5,'MOA role matrix'!$B$1:$D$1,0))="Fill","Board member 1, ","")IF(INDEX('MOA role matrix'!$B$2:$D$13,5,MATCH($B5,'MOA role matrix'!$B$1:$D$1,0))="If finance","Board member 1 (if finance), ","")IF(INDEX('MOA role matrix'!$B$2:$D$13,5,MATCH($B5,'MOA role matrix'!$B$1:$D$1,0))="Auto","Board member 1 (auto), ","")IF(INDEX('MOA role matrix'!$B$2:$D$13,6,MATCH($B5,'MOA role matrix'!$B$1:$D$1,0))="Fill","Board member 2, ","")IF(INDEX('MOA role matrix'!$B$2:$D$13,6,MATCH($B5,'MOA role matrix'!$B$1:$D$1,0))="If finance","Board member 2 (if finance), ","")IF(INDEX('MOA role matrix'!$B$2:$D$13,6,MATCH($B5,'MOA role matrix'!$B$1:$D$1,0))="Auto","Board member 2 (auto), ","")IF(INDEX('MOA role matrix'!$B$2:$D$13,7,MATCH($B5,'MOA role matrix'!$B$1:$D$1,0))="Fill","LOA holder 1, ","")IF(INDEX('MOA role matrix'!$B$2:$D$13,7,MATCH($B5,'MOA role matrix'!$B$1:$D$1,0))="If finance","LOA holder 1 (if finance), ","")IF(INDEX('MOA role matrix'!$B$2:$D$13,7,MATCH($B5,'MOA role matrix'!$B$1:$D$1,0))="Auto","LOA holder 1 (auto), ","")IF(INDEX('MOA role matrix'!$B$2:$D$13,8,MATCH($B5,'MOA role matrix'!$B$1:$D$1,0))="Fill","LOA holder 2, ","")IF(INDEX('MOA role matrix'!$B$2:$D$13,8,MATCH($B5,'MOA role matrix'!$B$1:$D$1,0))="If finance","LOA holder 2 (if finance), ","")IF(INDEX('MOA role matrix'!$B$2:$D$13,8,MATCH($B5,'MOA role matrix'!$B$1:$D$1,0))="Auto","LOA holder 2 (auto), ","")IF(INDEX('MOA role matrix'!$B$2:$D$13,9,MATCH($B5,'MOA role matrix'!$B$1:$D$1,0))="Fill","Senior Manager CoSec, ","")IF(INDEX('MOA role matrix'!$B$2:$D$13,9,MATCH($B5,'MOA role matrix'!$B$1:$D$1,0))="If finance","Senior Manager CoSec (if finance), ","")IF(INDEX('MOA role matrix'!$B$2:$D$13,9,MATCH($B5,'MOA role matrix'!$B$1:$D$1,0))="Auto","Senior Manager CoSec (auto), ","")IF(INDEX('MOA role matrix'!$B$2:$D$13,10,MATCH($B5,'MOA role matrix'!$B$1:$D$1,0))="Fill","Division MOI managers, ","")IF(INDEX('MOA role matrix'!$B$2:$D$13,10,MATCH($B5,'MOA role matrix'!$B$1:$D$1,0))="If finance","Division MOI managers (if finance), ","")IF(INDEX('MOA role matrix'!$B$2:$D$13,10,MATCH($B5,'MOA role matrix'!$B$1:$D$1,0))="Auto","Division MOI managers (auto), ","")IF(INDEX('MOA role matrix'!$B$2:$D$13,11,MATCH($B5,'MOA role matrix'!$B$1:$D$1,0))="Fill","Ms Teh (bank), ","")IF(INDEX('MOA role matrix'!$B$2:$D$13,11,MATCH($B5,'MOA role matrix'!$B$1:$D$1,0))="If finance","Ms Teh (bank) (if finance), ","")IF(INDEX('MOA role matrix'!$B$2:$D$13,11,MATCH($B5,'MOA role matrix'!$B$1:$D$1,0))="Auto","Ms Teh (bank) (auto), ","")IF(INDEX('MOA role matrix'!$B$2:$D$13,12,MATCH($B5,'MOA role matrix'!$B$1:$D$1,0))="Fill","DLCM, ","")IF(INDEX('MOA role matrix'!$B$2:$D$13,12,MATCH($B5,'MOA role matrix'!$B$1:$D$1,0))="If finance","DLCM (if finance), ","")IF(INDEX('MOA role matrix'!$B$2:$D$13,12,MATCH($B5,'MOA role matrix'!$B$1:$D$1,0))="Auto","DLCM (auto), ","")))</f>
        <v/>
      </c>
      <c r="D5" s="5">
        <f>IF($A5="","",IFERROR(INDEX(FILTER('Client contacts'!$B$2:$B$500,('Client contacts'!$A$2:$A$500=$A5)*('Client contacts'!$H$2:$H$500="Y"),""),1),""))</f>
        <v/>
      </c>
      <c r="E5" s="5">
        <f>IF($A5="","",IFERROR(INDEX(FILTER('Client contacts'!$C$2:$C$500,('Client contacts'!$A$2:$A$500=$A5)*('Client contacts'!$H$2:$H$500="Y"),""),1),""))</f>
        <v/>
      </c>
      <c r="F5" s="5">
        <f>IF($A5="","",IFERROR(INDEX(FILTER('Client contacts'!$B$2:$B$500,('Client contacts'!$A$2:$A$500=$A5)*('Client contacts'!$G$2:$G$500="Y"),""),1),""))</f>
        <v/>
      </c>
      <c r="G5" s="5">
        <f>IF($A5="","",IFERROR(INDEX(FILTER('Client contacts'!$C$2:$C$500,('Client contacts'!$A$2:$A$500=$A5)*('Client contacts'!$G$2:$G$500="Y"),""),1),""))</f>
        <v/>
      </c>
      <c r="H5" s="5">
        <f>IF($A5="","",IFERROR(INDEX(FILTER('Client contacts'!$B$2:$B$500,('Client contacts'!$A$2:$A$500=$A5)*('Client contacts'!$G$2:$G$500="Y"),""),2),""))</f>
        <v/>
      </c>
      <c r="I5" s="5">
        <f>IF($A5="","",IFERROR(INDEX(FILTER('Client contacts'!$C$2:$C$500,('Client contacts'!$A$2:$A$500=$A5)*('Client contacts'!$G$2:$G$500="Y"),""),2),""))</f>
        <v/>
      </c>
      <c r="J5" s="8" t="n"/>
      <c r="K5" s="8" t="n"/>
      <c r="L5" s="8" t="n"/>
      <c r="M5" s="8" t="n"/>
      <c r="N5" s="8" t="n"/>
      <c r="O5" s="8" t="n"/>
      <c r="P5" s="8" t="n"/>
      <c r="Q5" s="8" t="n"/>
      <c r="R5" s="5">
        <f>IF($A5="","",IFERROR(INDEX(Companies!$I$2:$I$500,MATCH($A5,Companies!$A$2:$A$500,0)),""))</f>
        <v/>
      </c>
      <c r="S5" s="8" t="n"/>
      <c r="T5" s="8" t="n"/>
      <c r="U5" s="8" t="n"/>
      <c r="V5" s="8" t="n"/>
      <c r="W5" s="8" t="n"/>
    </row>
    <row r="6">
      <c r="C6" s="5">
        <f>IF($B6="","",TRIM(IF(INDEX('MOA role matrix'!$B$2:$D$13,1,MATCH($B6,'MOA role matrix'!$B$1:$D$1,0))="Fill","Project initiator, ","")IF(INDEX('MOA role matrix'!$B$2:$D$13,1,MATCH($B6,'MOA role matrix'!$B$1:$D$1,0))="If finance","Project initiator (if finance), ","")IF(INDEX('MOA role matrix'!$B$2:$D$13,1,MATCH($B6,'MOA role matrix'!$B$1:$D$1,0))="Auto","Project initiator (auto), ","")IF(INDEX('MOA role matrix'!$B$2:$D$13,2,MATCH($B6,'MOA role matrix'!$B$1:$D$1,0))="Fill","MOA signers (client), ","")IF(INDEX('MOA role matrix'!$B$2:$D$13,2,MATCH($B6,'MOA role matrix'!$B$1:$D$1,0))="If finance","MOA signers (client) (if finance), ","")IF(INDEX('MOA role matrix'!$B$2:$D$13,2,MATCH($B6,'MOA role matrix'!$B$1:$D$1,0))="Auto","MOA signers (client) (auto), ","")IF(INDEX('MOA role matrix'!$B$2:$D$13,3,MATCH($B6,'MOA role matrix'!$B$1:$D$1,0))="Fill","CFO / Head of Finance, ","")IF(INDEX('MOA role matrix'!$B$2:$D$13,3,MATCH($B6,'MOA role matrix'!$B$1:$D$1,0))="If finance","CFO / Head of Finance (if finance), ","")IF(INDEX('MOA role matrix'!$B$2:$D$13,3,MATCH($B6,'MOA role matrix'!$B$1:$D$1,0))="Auto","CFO / Head of Finance (auto), ","")IF(INDEX('MOA role matrix'!$B$2:$D$13,4,MATCH($B6,'MOA role matrix'!$B$1:$D$1,0))="Fill","CEO / COO / GM, ","")IF(INDEX('MOA role matrix'!$B$2:$D$13,4,MATCH($B6,'MOA role matrix'!$B$1:$D$1,0))="If finance","CEO / COO / GM (if finance), ","")IF(INDEX('MOA role matrix'!$B$2:$D$13,4,MATCH($B6,'MOA role matrix'!$B$1:$D$1,0))="Auto","CEO / COO / GM (auto), ","")IF(INDEX('MOA role matrix'!$B$2:$D$13,5,MATCH($B6,'MOA role matrix'!$B$1:$D$1,0))="Fill","Board member 1, ","")IF(INDEX('MOA role matrix'!$B$2:$D$13,5,MATCH($B6,'MOA role matrix'!$B$1:$D$1,0))="If finance","Board member 1 (if finance), ","")IF(INDEX('MOA role matrix'!$B$2:$D$13,5,MATCH($B6,'MOA role matrix'!$B$1:$D$1,0))="Auto","Board member 1 (auto), ","")IF(INDEX('MOA role matrix'!$B$2:$D$13,6,MATCH($B6,'MOA role matrix'!$B$1:$D$1,0))="Fill","Board member 2, ","")IF(INDEX('MOA role matrix'!$B$2:$D$13,6,MATCH($B6,'MOA role matrix'!$B$1:$D$1,0))="If finance","Board member 2 (if finance), ","")IF(INDEX('MOA role matrix'!$B$2:$D$13,6,MATCH($B6,'MOA role matrix'!$B$1:$D$1,0))="Auto","Board member 2 (auto), ","")IF(INDEX('MOA role matrix'!$B$2:$D$13,7,MATCH($B6,'MOA role matrix'!$B$1:$D$1,0))="Fill","LOA holder 1, ","")IF(INDEX('MOA role matrix'!$B$2:$D$13,7,MATCH($B6,'MOA role matrix'!$B$1:$D$1,0))="If finance","LOA holder 1 (if finance), ","")IF(INDEX('MOA role matrix'!$B$2:$D$13,7,MATCH($B6,'MOA role matrix'!$B$1:$D$1,0))="Auto","LOA holder 1 (auto), ","")IF(INDEX('MOA role matrix'!$B$2:$D$13,8,MATCH($B6,'MOA role matrix'!$B$1:$D$1,0))="Fill","LOA holder 2, ","")IF(INDEX('MOA role matrix'!$B$2:$D$13,8,MATCH($B6,'MOA role matrix'!$B$1:$D$1,0))="If finance","LOA holder 2 (if finance), ","")IF(INDEX('MOA role matrix'!$B$2:$D$13,8,MATCH($B6,'MOA role matrix'!$B$1:$D$1,0))="Auto","LOA holder 2 (auto), ","")IF(INDEX('MOA role matrix'!$B$2:$D$13,9,MATCH($B6,'MOA role matrix'!$B$1:$D$1,0))="Fill","Senior Manager CoSec, ","")IF(INDEX('MOA role matrix'!$B$2:$D$13,9,MATCH($B6,'MOA role matrix'!$B$1:$D$1,0))="If finance","Senior Manager CoSec (if finance), ","")IF(INDEX('MOA role matrix'!$B$2:$D$13,9,MATCH($B6,'MOA role matrix'!$B$1:$D$1,0))="Auto","Senior Manager CoSec (auto), ","")IF(INDEX('MOA role matrix'!$B$2:$D$13,10,MATCH($B6,'MOA role matrix'!$B$1:$D$1,0))="Fill","Division MOI managers, ","")IF(INDEX('MOA role matrix'!$B$2:$D$13,10,MATCH($B6,'MOA role matrix'!$B$1:$D$1,0))="If finance","Division MOI managers (if finance), ","")IF(INDEX('MOA role matrix'!$B$2:$D$13,10,MATCH($B6,'MOA role matrix'!$B$1:$D$1,0))="Auto","Division MOI managers (auto), ","")IF(INDEX('MOA role matrix'!$B$2:$D$13,11,MATCH($B6,'MOA role matrix'!$B$1:$D$1,0))="Fill","Ms Teh (bank), ","")IF(INDEX('MOA role matrix'!$B$2:$D$13,11,MATCH($B6,'MOA role matrix'!$B$1:$D$1,0))="If finance","Ms Teh (bank) (if finance), ","")IF(INDEX('MOA role matrix'!$B$2:$D$13,11,MATCH($B6,'MOA role matrix'!$B$1:$D$1,0))="Auto","Ms Teh (bank) (auto), ","")IF(INDEX('MOA role matrix'!$B$2:$D$13,12,MATCH($B6,'MOA role matrix'!$B$1:$D$1,0))="Fill","DLCM, ","")IF(INDEX('MOA role matrix'!$B$2:$D$13,12,MATCH($B6,'MOA role matrix'!$B$1:$D$1,0))="If finance","DLCM (if finance), ","")IF(INDEX('MOA role matrix'!$B$2:$D$13,12,MATCH($B6,'MOA role matrix'!$B$1:$D$1,0))="Auto","DLCM (auto), ","")))</f>
        <v/>
      </c>
      <c r="D6" s="5">
        <f>IF($A6="","",IFERROR(INDEX(FILTER('Client contacts'!$B$2:$B$500,('Client contacts'!$A$2:$A$500=$A6)*('Client contacts'!$H$2:$H$500="Y"),""),1),""))</f>
        <v/>
      </c>
      <c r="E6" s="5">
        <f>IF($A6="","",IFERROR(INDEX(FILTER('Client contacts'!$C$2:$C$500,('Client contacts'!$A$2:$A$500=$A6)*('Client contacts'!$H$2:$H$500="Y"),""),1),""))</f>
        <v/>
      </c>
      <c r="F6" s="5">
        <f>IF($A6="","",IFERROR(INDEX(FILTER('Client contacts'!$B$2:$B$500,('Client contacts'!$A$2:$A$500=$A6)*('Client contacts'!$G$2:$G$500="Y"),""),1),""))</f>
        <v/>
      </c>
      <c r="G6" s="5">
        <f>IF($A6="","",IFERROR(INDEX(FILTER('Client contacts'!$C$2:$C$500,('Client contacts'!$A$2:$A$500=$A6)*('Client contacts'!$G$2:$G$500="Y"),""),1),""))</f>
        <v/>
      </c>
      <c r="H6" s="5">
        <f>IF($A6="","",IFERROR(INDEX(FILTER('Client contacts'!$B$2:$B$500,('Client contacts'!$A$2:$A$500=$A6)*('Client contacts'!$G$2:$G$500="Y"),""),2),""))</f>
        <v/>
      </c>
      <c r="I6" s="5">
        <f>IF($A6="","",IFERROR(INDEX(FILTER('Client contacts'!$C$2:$C$500,('Client contacts'!$A$2:$A$500=$A6)*('Client contacts'!$G$2:$G$500="Y"),""),2),""))</f>
        <v/>
      </c>
      <c r="J6" s="8" t="n"/>
      <c r="K6" s="8" t="n"/>
      <c r="L6" s="8" t="n"/>
      <c r="M6" s="8" t="n"/>
      <c r="N6" s="8" t="n"/>
      <c r="O6" s="8" t="n"/>
      <c r="P6" s="8" t="n"/>
      <c r="Q6" s="8" t="n"/>
      <c r="R6" s="5">
        <f>IF($A6="","",IFERROR(INDEX(Companies!$I$2:$I$500,MATCH($A6,Companies!$A$2:$A$500,0)),""))</f>
        <v/>
      </c>
      <c r="S6" s="8" t="n"/>
      <c r="T6" s="8" t="n"/>
      <c r="U6" s="8" t="n"/>
      <c r="V6" s="8" t="n"/>
      <c r="W6" s="8" t="n"/>
    </row>
    <row r="7">
      <c r="C7" s="5">
        <f>IF($B7="","",TRIM(IF(INDEX('MOA role matrix'!$B$2:$D$13,1,MATCH($B7,'MOA role matrix'!$B$1:$D$1,0))="Fill","Project initiator, ","")IF(INDEX('MOA role matrix'!$B$2:$D$13,1,MATCH($B7,'MOA role matrix'!$B$1:$D$1,0))="If finance","Project initiator (if finance), ","")IF(INDEX('MOA role matrix'!$B$2:$D$13,1,MATCH($B7,'MOA role matrix'!$B$1:$D$1,0))="Auto","Project initiator (auto), ","")IF(INDEX('MOA role matrix'!$B$2:$D$13,2,MATCH($B7,'MOA role matrix'!$B$1:$D$1,0))="Fill","MOA signers (client), ","")IF(INDEX('MOA role matrix'!$B$2:$D$13,2,MATCH($B7,'MOA role matrix'!$B$1:$D$1,0))="If finance","MOA signers (client) (if finance), ","")IF(INDEX('MOA role matrix'!$B$2:$D$13,2,MATCH($B7,'MOA role matrix'!$B$1:$D$1,0))="Auto","MOA signers (client) (auto), ","")IF(INDEX('MOA role matrix'!$B$2:$D$13,3,MATCH($B7,'MOA role matrix'!$B$1:$D$1,0))="Fill","CFO / Head of Finance, ","")IF(INDEX('MOA role matrix'!$B$2:$D$13,3,MATCH($B7,'MOA role matrix'!$B$1:$D$1,0))="If finance","CFO / Head of Finance (if finance), ","")IF(INDEX('MOA role matrix'!$B$2:$D$13,3,MATCH($B7,'MOA role matrix'!$B$1:$D$1,0))="Auto","CFO / Head of Finance (auto), ","")IF(INDEX('MOA role matrix'!$B$2:$D$13,4,MATCH($B7,'MOA role matrix'!$B$1:$D$1,0))="Fill","CEO / COO / GM, ","")IF(INDEX('MOA role matrix'!$B$2:$D$13,4,MATCH($B7,'MOA role matrix'!$B$1:$D$1,0))="If finance","CEO / COO / GM (if finance), ","")IF(INDEX('MOA role matrix'!$B$2:$D$13,4,MATCH($B7,'MOA role matrix'!$B$1:$D$1,0))="Auto","CEO / COO / GM (auto), ","")IF(INDEX('MOA role matrix'!$B$2:$D$13,5,MATCH($B7,'MOA role matrix'!$B$1:$D$1,0))="Fill","Board member 1, ","")IF(INDEX('MOA role matrix'!$B$2:$D$13,5,MATCH($B7,'MOA role matrix'!$B$1:$D$1,0))="If finance","Board member 1 (if finance), ","")IF(INDEX('MOA role matrix'!$B$2:$D$13,5,MATCH($B7,'MOA role matrix'!$B$1:$D$1,0))="Auto","Board member 1 (auto), ","")IF(INDEX('MOA role matrix'!$B$2:$D$13,6,MATCH($B7,'MOA role matrix'!$B$1:$D$1,0))="Fill","Board member 2, ","")IF(INDEX('MOA role matrix'!$B$2:$D$13,6,MATCH($B7,'MOA role matrix'!$B$1:$D$1,0))="If finance","Board member 2 (if finance), ","")IF(INDEX('MOA role matrix'!$B$2:$D$13,6,MATCH($B7,'MOA role matrix'!$B$1:$D$1,0))="Auto","Board member 2 (auto), ","")IF(INDEX('MOA role matrix'!$B$2:$D$13,7,MATCH($B7,'MOA role matrix'!$B$1:$D$1,0))="Fill","LOA holder 1, ","")IF(INDEX('MOA role matrix'!$B$2:$D$13,7,MATCH($B7,'MOA role matrix'!$B$1:$D$1,0))="If finance","LOA holder 1 (if finance), ","")IF(INDEX('MOA role matrix'!$B$2:$D$13,7,MATCH($B7,'MOA role matrix'!$B$1:$D$1,0))="Auto","LOA holder 1 (auto), ","")IF(INDEX('MOA role matrix'!$B$2:$D$13,8,MATCH($B7,'MOA role matrix'!$B$1:$D$1,0))="Fill","LOA holder 2, ","")IF(INDEX('MOA role matrix'!$B$2:$D$13,8,MATCH($B7,'MOA role matrix'!$B$1:$D$1,0))="If finance","LOA holder 2 (if finance), ","")IF(INDEX('MOA role matrix'!$B$2:$D$13,8,MATCH($B7,'MOA role matrix'!$B$1:$D$1,0))="Auto","LOA holder 2 (auto), ","")IF(INDEX('MOA role matrix'!$B$2:$D$13,9,MATCH($B7,'MOA role matrix'!$B$1:$D$1,0))="Fill","Senior Manager CoSec, ","")IF(INDEX('MOA role matrix'!$B$2:$D$13,9,MATCH($B7,'MOA role matrix'!$B$1:$D$1,0))="If finance","Senior Manager CoSec (if finance), ","")IF(INDEX('MOA role matrix'!$B$2:$D$13,9,MATCH($B7,'MOA role matrix'!$B$1:$D$1,0))="Auto","Senior Manager CoSec (auto), ","")IF(INDEX('MOA role matrix'!$B$2:$D$13,10,MATCH($B7,'MOA role matrix'!$B$1:$D$1,0))="Fill","Division MOI managers, ","")IF(INDEX('MOA role matrix'!$B$2:$D$13,10,MATCH($B7,'MOA role matrix'!$B$1:$D$1,0))="If finance","Division MOI managers (if finance), ","")IF(INDEX('MOA role matrix'!$B$2:$D$13,10,MATCH($B7,'MOA role matrix'!$B$1:$D$1,0))="Auto","Division MOI managers (auto), ","")IF(INDEX('MOA role matrix'!$B$2:$D$13,11,MATCH($B7,'MOA role matrix'!$B$1:$D$1,0))="Fill","Ms Teh (bank), ","")IF(INDEX('MOA role matrix'!$B$2:$D$13,11,MATCH($B7,'MOA role matrix'!$B$1:$D$1,0))="If finance","Ms Teh (bank) (if finance), ","")IF(INDEX('MOA role matrix'!$B$2:$D$13,11,MATCH($B7,'MOA role matrix'!$B$1:$D$1,0))="Auto","Ms Teh (bank) (auto), ","")IF(INDEX('MOA role matrix'!$B$2:$D$13,12,MATCH($B7,'MOA role matrix'!$B$1:$D$1,0))="Fill","DLCM, ","")IF(INDEX('MOA role matrix'!$B$2:$D$13,12,MATCH($B7,'MOA role matrix'!$B$1:$D$1,0))="If finance","DLCM (if finance), ","")IF(INDEX('MOA role matrix'!$B$2:$D$13,12,MATCH($B7,'MOA role matrix'!$B$1:$D$1,0))="Auto","DLCM (auto), ","")))</f>
        <v/>
      </c>
      <c r="D7" s="5">
        <f>IF($A7="","",IFERROR(INDEX(FILTER('Client contacts'!$B$2:$B$500,('Client contacts'!$A$2:$A$500=$A7)*('Client contacts'!$H$2:$H$500="Y"),""),1),""))</f>
        <v/>
      </c>
      <c r="E7" s="5">
        <f>IF($A7="","",IFERROR(INDEX(FILTER('Client contacts'!$C$2:$C$500,('Client contacts'!$A$2:$A$500=$A7)*('Client contacts'!$H$2:$H$500="Y"),""),1),""))</f>
        <v/>
      </c>
      <c r="F7" s="5">
        <f>IF($A7="","",IFERROR(INDEX(FILTER('Client contacts'!$B$2:$B$500,('Client contacts'!$A$2:$A$500=$A7)*('Client contacts'!$G$2:$G$500="Y"),""),1),""))</f>
        <v/>
      </c>
      <c r="G7" s="5">
        <f>IF($A7="","",IFERROR(INDEX(FILTER('Client contacts'!$C$2:$C$500,('Client contacts'!$A$2:$A$500=$A7)*('Client contacts'!$G$2:$G$500="Y"),""),1),""))</f>
        <v/>
      </c>
      <c r="H7" s="5">
        <f>IF($A7="","",IFERROR(INDEX(FILTER('Client contacts'!$B$2:$B$500,('Client contacts'!$A$2:$A$500=$A7)*('Client contacts'!$G$2:$G$500="Y"),""),2),""))</f>
        <v/>
      </c>
      <c r="I7" s="5">
        <f>IF($A7="","",IFERROR(INDEX(FILTER('Client contacts'!$C$2:$C$500,('Client contacts'!$A$2:$A$500=$A7)*('Client contacts'!$G$2:$G$500="Y"),""),2),""))</f>
        <v/>
      </c>
      <c r="J7" s="8" t="n"/>
      <c r="K7" s="8" t="n"/>
      <c r="L7" s="8" t="n"/>
      <c r="M7" s="8" t="n"/>
      <c r="N7" s="8" t="n"/>
      <c r="O7" s="8" t="n"/>
      <c r="P7" s="8" t="n"/>
      <c r="Q7" s="8" t="n"/>
      <c r="R7" s="5">
        <f>IF($A7="","",IFERROR(INDEX(Companies!$I$2:$I$500,MATCH($A7,Companies!$A$2:$A$500,0)),""))</f>
        <v/>
      </c>
      <c r="S7" s="8" t="n"/>
      <c r="T7" s="8" t="n"/>
      <c r="U7" s="8" t="n"/>
      <c r="V7" s="8" t="n"/>
      <c r="W7" s="8" t="n"/>
    </row>
    <row r="8">
      <c r="C8" s="5">
        <f>IF($B8="","",TRIM(IF(INDEX('MOA role matrix'!$B$2:$D$13,1,MATCH($B8,'MOA role matrix'!$B$1:$D$1,0))="Fill","Project initiator, ","")IF(INDEX('MOA role matrix'!$B$2:$D$13,1,MATCH($B8,'MOA role matrix'!$B$1:$D$1,0))="If finance","Project initiator (if finance), ","")IF(INDEX('MOA role matrix'!$B$2:$D$13,1,MATCH($B8,'MOA role matrix'!$B$1:$D$1,0))="Auto","Project initiator (auto), ","")IF(INDEX('MOA role matrix'!$B$2:$D$13,2,MATCH($B8,'MOA role matrix'!$B$1:$D$1,0))="Fill","MOA signers (client), ","")IF(INDEX('MOA role matrix'!$B$2:$D$13,2,MATCH($B8,'MOA role matrix'!$B$1:$D$1,0))="If finance","MOA signers (client) (if finance), ","")IF(INDEX('MOA role matrix'!$B$2:$D$13,2,MATCH($B8,'MOA role matrix'!$B$1:$D$1,0))="Auto","MOA signers (client) (auto), ","")IF(INDEX('MOA role matrix'!$B$2:$D$13,3,MATCH($B8,'MOA role matrix'!$B$1:$D$1,0))="Fill","CFO / Head of Finance, ","")IF(INDEX('MOA role matrix'!$B$2:$D$13,3,MATCH($B8,'MOA role matrix'!$B$1:$D$1,0))="If finance","CFO / Head of Finance (if finance), ","")IF(INDEX('MOA role matrix'!$B$2:$D$13,3,MATCH($B8,'MOA role matrix'!$B$1:$D$1,0))="Auto","CFO / Head of Finance (auto), ","")IF(INDEX('MOA role matrix'!$B$2:$D$13,4,MATCH($B8,'MOA role matrix'!$B$1:$D$1,0))="Fill","CEO / COO / GM, ","")IF(INDEX('MOA role matrix'!$B$2:$D$13,4,MATCH($B8,'MOA role matrix'!$B$1:$D$1,0))="If finance","CEO / COO / GM (if finance), ","")IF(INDEX('MOA role matrix'!$B$2:$D$13,4,MATCH($B8,'MOA role matrix'!$B$1:$D$1,0))="Auto","CEO / COO / GM (auto), ","")IF(INDEX('MOA role matrix'!$B$2:$D$13,5,MATCH($B8,'MOA role matrix'!$B$1:$D$1,0))="Fill","Board member 1, ","")IF(INDEX('MOA role matrix'!$B$2:$D$13,5,MATCH($B8,'MOA role matrix'!$B$1:$D$1,0))="If finance","Board member 1 (if finance), ","")IF(INDEX('MOA role matrix'!$B$2:$D$13,5,MATCH($B8,'MOA role matrix'!$B$1:$D$1,0))="Auto","Board member 1 (auto), ","")IF(INDEX('MOA role matrix'!$B$2:$D$13,6,MATCH($B8,'MOA role matrix'!$B$1:$D$1,0))="Fill","Board member 2, ","")IF(INDEX('MOA role matrix'!$B$2:$D$13,6,MATCH($B8,'MOA role matrix'!$B$1:$D$1,0))="If finance","Board member 2 (if finance), ","")IF(INDEX('MOA role matrix'!$B$2:$D$13,6,MATCH($B8,'MOA role matrix'!$B$1:$D$1,0))="Auto","Board member 2 (auto), ","")IF(INDEX('MOA role matrix'!$B$2:$D$13,7,MATCH($B8,'MOA role matrix'!$B$1:$D$1,0))="Fill","LOA holder 1, ","")IF(INDEX('MOA role matrix'!$B$2:$D$13,7,MATCH($B8,'MOA role matrix'!$B$1:$D$1,0))="If finance","LOA holder 1 (if finance), ","")IF(INDEX('MOA role matrix'!$B$2:$D$13,7,MATCH($B8,'MOA role matrix'!$B$1:$D$1,0))="Auto","LOA holder 1 (auto), ","")IF(INDEX('MOA role matrix'!$B$2:$D$13,8,MATCH($B8,'MOA role matrix'!$B$1:$D$1,0))="Fill","LOA holder 2, ","")IF(INDEX('MOA role matrix'!$B$2:$D$13,8,MATCH($B8,'MOA role matrix'!$B$1:$D$1,0))="If finance","LOA holder 2 (if finance), ","")IF(INDEX('MOA role matrix'!$B$2:$D$13,8,MATCH($B8,'MOA role matrix'!$B$1:$D$1,0))="Auto","LOA holder 2 (auto), ","")IF(INDEX('MOA role matrix'!$B$2:$D$13,9,MATCH($B8,'MOA role matrix'!$B$1:$D$1,0))="Fill","Senior Manager CoSec, ","")IF(INDEX('MOA role matrix'!$B$2:$D$13,9,MATCH($B8,'MOA role matrix'!$B$1:$D$1,0))="If finance","Senior Manager CoSec (if finance), ","")IF(INDEX('MOA role matrix'!$B$2:$D$13,9,MATCH($B8,'MOA role matrix'!$B$1:$D$1,0))="Auto","Senior Manager CoSec (auto), ","")IF(INDEX('MOA role matrix'!$B$2:$D$13,10,MATCH($B8,'MOA role matrix'!$B$1:$D$1,0))="Fill","Division MOI managers, ","")IF(INDEX('MOA role matrix'!$B$2:$D$13,10,MATCH($B8,'MOA role matrix'!$B$1:$D$1,0))="If finance","Division MOI managers (if finance), ","")IF(INDEX('MOA role matrix'!$B$2:$D$13,10,MATCH($B8,'MOA role matrix'!$B$1:$D$1,0))="Auto","Division MOI managers (auto), ","")IF(INDEX('MOA role matrix'!$B$2:$D$13,11,MATCH($B8,'MOA role matrix'!$B$1:$D$1,0))="Fill","Ms Teh (bank), ","")IF(INDEX('MOA role matrix'!$B$2:$D$13,11,MATCH($B8,'MOA role matrix'!$B$1:$D$1,0))="If finance","Ms Teh (bank) (if finance), ","")IF(INDEX('MOA role matrix'!$B$2:$D$13,11,MATCH($B8,'MOA role matrix'!$B$1:$D$1,0))="Auto","Ms Teh (bank) (auto), ","")IF(INDEX('MOA role matrix'!$B$2:$D$13,12,MATCH($B8,'MOA role matrix'!$B$1:$D$1,0))="Fill","DLCM, ","")IF(INDEX('MOA role matrix'!$B$2:$D$13,12,MATCH($B8,'MOA role matrix'!$B$1:$D$1,0))="If finance","DLCM (if finance), ","")IF(INDEX('MOA role matrix'!$B$2:$D$13,12,MATCH($B8,'MOA role matrix'!$B$1:$D$1,0))="Auto","DLCM (auto), ","")))</f>
        <v/>
      </c>
      <c r="D8" s="5">
        <f>IF($A8="","",IFERROR(INDEX(FILTER('Client contacts'!$B$2:$B$500,('Client contacts'!$A$2:$A$500=$A8)*('Client contacts'!$H$2:$H$500="Y"),""),1),""))</f>
        <v/>
      </c>
      <c r="E8" s="5">
        <f>IF($A8="","",IFERROR(INDEX(FILTER('Client contacts'!$C$2:$C$500,('Client contacts'!$A$2:$A$500=$A8)*('Client contacts'!$H$2:$H$500="Y"),""),1),""))</f>
        <v/>
      </c>
      <c r="F8" s="5">
        <f>IF($A8="","",IFERROR(INDEX(FILTER('Client contacts'!$B$2:$B$500,('Client contacts'!$A$2:$A$500=$A8)*('Client contacts'!$G$2:$G$500="Y"),""),1),""))</f>
        <v/>
      </c>
      <c r="G8" s="5">
        <f>IF($A8="","",IFERROR(INDEX(FILTER('Client contacts'!$C$2:$C$500,('Client contacts'!$A$2:$A$500=$A8)*('Client contacts'!$G$2:$G$500="Y"),""),1),""))</f>
        <v/>
      </c>
      <c r="H8" s="5">
        <f>IF($A8="","",IFERROR(INDEX(FILTER('Client contacts'!$B$2:$B$500,('Client contacts'!$A$2:$A$500=$A8)*('Client contacts'!$G$2:$G$500="Y"),""),2),""))</f>
        <v/>
      </c>
      <c r="I8" s="5">
        <f>IF($A8="","",IFERROR(INDEX(FILTER('Client contacts'!$C$2:$C$500,('Client contacts'!$A$2:$A$500=$A8)*('Client contacts'!$G$2:$G$500="Y"),""),2),""))</f>
        <v/>
      </c>
      <c r="J8" s="8" t="n"/>
      <c r="K8" s="8" t="n"/>
      <c r="L8" s="8" t="n"/>
      <c r="M8" s="8" t="n"/>
      <c r="N8" s="8" t="n"/>
      <c r="O8" s="8" t="n"/>
      <c r="P8" s="8" t="n"/>
      <c r="Q8" s="8" t="n"/>
      <c r="R8" s="5">
        <f>IF($A8="","",IFERROR(INDEX(Companies!$I$2:$I$500,MATCH($A8,Companies!$A$2:$A$500,0)),""))</f>
        <v/>
      </c>
      <c r="S8" s="8" t="n"/>
      <c r="T8" s="8" t="n"/>
      <c r="U8" s="8" t="n"/>
      <c r="V8" s="8" t="n"/>
      <c r="W8" s="8" t="n"/>
    </row>
    <row r="9">
      <c r="C9" s="5">
        <f>IF($B9="","",TRIM(IF(INDEX('MOA role matrix'!$B$2:$D$13,1,MATCH($B9,'MOA role matrix'!$B$1:$D$1,0))="Fill","Project initiator, ","")IF(INDEX('MOA role matrix'!$B$2:$D$13,1,MATCH($B9,'MOA role matrix'!$B$1:$D$1,0))="If finance","Project initiator (if finance), ","")IF(INDEX('MOA role matrix'!$B$2:$D$13,1,MATCH($B9,'MOA role matrix'!$B$1:$D$1,0))="Auto","Project initiator (auto), ","")IF(INDEX('MOA role matrix'!$B$2:$D$13,2,MATCH($B9,'MOA role matrix'!$B$1:$D$1,0))="Fill","MOA signers (client), ","")IF(INDEX('MOA role matrix'!$B$2:$D$13,2,MATCH($B9,'MOA role matrix'!$B$1:$D$1,0))="If finance","MOA signers (client) (if finance), ","")IF(INDEX('MOA role matrix'!$B$2:$D$13,2,MATCH($B9,'MOA role matrix'!$B$1:$D$1,0))="Auto","MOA signers (client) (auto), ","")IF(INDEX('MOA role matrix'!$B$2:$D$13,3,MATCH($B9,'MOA role matrix'!$B$1:$D$1,0))="Fill","CFO / Head of Finance, ","")IF(INDEX('MOA role matrix'!$B$2:$D$13,3,MATCH($B9,'MOA role matrix'!$B$1:$D$1,0))="If finance","CFO / Head of Finance (if finance), ","")IF(INDEX('MOA role matrix'!$B$2:$D$13,3,MATCH($B9,'MOA role matrix'!$B$1:$D$1,0))="Auto","CFO / Head of Finance (auto), ","")IF(INDEX('MOA role matrix'!$B$2:$D$13,4,MATCH($B9,'MOA role matrix'!$B$1:$D$1,0))="Fill","CEO / COO / GM, ","")IF(INDEX('MOA role matrix'!$B$2:$D$13,4,MATCH($B9,'MOA role matrix'!$B$1:$D$1,0))="If finance","CEO / COO / GM (if finance), ","")IF(INDEX('MOA role matrix'!$B$2:$D$13,4,MATCH($B9,'MOA role matrix'!$B$1:$D$1,0))="Auto","CEO / COO / GM (auto), ","")IF(INDEX('MOA role matrix'!$B$2:$D$13,5,MATCH($B9,'MOA role matrix'!$B$1:$D$1,0))="Fill","Board member 1, ","")IF(INDEX('MOA role matrix'!$B$2:$D$13,5,MATCH($B9,'MOA role matrix'!$B$1:$D$1,0))="If finance","Board member 1 (if finance), ","")IF(INDEX('MOA role matrix'!$B$2:$D$13,5,MATCH($B9,'MOA role matrix'!$B$1:$D$1,0))="Auto","Board member 1 (auto), ","")IF(INDEX('MOA role matrix'!$B$2:$D$13,6,MATCH($B9,'MOA role matrix'!$B$1:$D$1,0))="Fill","Board member 2, ","")IF(INDEX('MOA role matrix'!$B$2:$D$13,6,MATCH($B9,'MOA role matrix'!$B$1:$D$1,0))="If finance","Board member 2 (if finance), ","")IF(INDEX('MOA role matrix'!$B$2:$D$13,6,MATCH($B9,'MOA role matrix'!$B$1:$D$1,0))="Auto","Board member 2 (auto), ","")IF(INDEX('MOA role matrix'!$B$2:$D$13,7,MATCH($B9,'MOA role matrix'!$B$1:$D$1,0))="Fill","LOA holder 1, ","")IF(INDEX('MOA role matrix'!$B$2:$D$13,7,MATCH($B9,'MOA role matrix'!$B$1:$D$1,0))="If finance","LOA holder 1 (if finance), ","")IF(INDEX('MOA role matrix'!$B$2:$D$13,7,MATCH($B9,'MOA role matrix'!$B$1:$D$1,0))="Auto","LOA holder 1 (auto), ","")IF(INDEX('MOA role matrix'!$B$2:$D$13,8,MATCH($B9,'MOA role matrix'!$B$1:$D$1,0))="Fill","LOA holder 2, ","")IF(INDEX('MOA role matrix'!$B$2:$D$13,8,MATCH($B9,'MOA role matrix'!$B$1:$D$1,0))="If finance","LOA holder 2 (if finance), ","")IF(INDEX('MOA role matrix'!$B$2:$D$13,8,MATCH($B9,'MOA role matrix'!$B$1:$D$1,0))="Auto","LOA holder 2 (auto), ","")IF(INDEX('MOA role matrix'!$B$2:$D$13,9,MATCH($B9,'MOA role matrix'!$B$1:$D$1,0))="Fill","Senior Manager CoSec, ","")IF(INDEX('MOA role matrix'!$B$2:$D$13,9,MATCH($B9,'MOA role matrix'!$B$1:$D$1,0))="If finance","Senior Manager CoSec (if finance), ","")IF(INDEX('MOA role matrix'!$B$2:$D$13,9,MATCH($B9,'MOA role matrix'!$B$1:$D$1,0))="Auto","Senior Manager CoSec (auto), ","")IF(INDEX('MOA role matrix'!$B$2:$D$13,10,MATCH($B9,'MOA role matrix'!$B$1:$D$1,0))="Fill","Division MOI managers, ","")IF(INDEX('MOA role matrix'!$B$2:$D$13,10,MATCH($B9,'MOA role matrix'!$B$1:$D$1,0))="If finance","Division MOI managers (if finance), ","")IF(INDEX('MOA role matrix'!$B$2:$D$13,10,MATCH($B9,'MOA role matrix'!$B$1:$D$1,0))="Auto","Division MOI managers (auto), ","")IF(INDEX('MOA role matrix'!$B$2:$D$13,11,MATCH($B9,'MOA role matrix'!$B$1:$D$1,0))="Fill","Ms Teh (bank), ","")IF(INDEX('MOA role matrix'!$B$2:$D$13,11,MATCH($B9,'MOA role matrix'!$B$1:$D$1,0))="If finance","Ms Teh (bank) (if finance), ","")IF(INDEX('MOA role matrix'!$B$2:$D$13,11,MATCH($B9,'MOA role matrix'!$B$1:$D$1,0))="Auto","Ms Teh (bank) (auto), ","")IF(INDEX('MOA role matrix'!$B$2:$D$13,12,MATCH($B9,'MOA role matrix'!$B$1:$D$1,0))="Fill","DLCM, ","")IF(INDEX('MOA role matrix'!$B$2:$D$13,12,MATCH($B9,'MOA role matrix'!$B$1:$D$1,0))="If finance","DLCM (if finance), ","")IF(INDEX('MOA role matrix'!$B$2:$D$13,12,MATCH($B9,'MOA role matrix'!$B$1:$D$1,0))="Auto","DLCM (auto), ","")))</f>
        <v/>
      </c>
      <c r="D9" s="5">
        <f>IF($A9="","",IFERROR(INDEX(FILTER('Client contacts'!$B$2:$B$500,('Client contacts'!$A$2:$A$500=$A9)*('Client contacts'!$H$2:$H$500="Y"),""),1),""))</f>
        <v/>
      </c>
      <c r="E9" s="5">
        <f>IF($A9="","",IFERROR(INDEX(FILTER('Client contacts'!$C$2:$C$500,('Client contacts'!$A$2:$A$500=$A9)*('Client contacts'!$H$2:$H$500="Y"),""),1),""))</f>
        <v/>
      </c>
      <c r="F9" s="5">
        <f>IF($A9="","",IFERROR(INDEX(FILTER('Client contacts'!$B$2:$B$500,('Client contacts'!$A$2:$A$500=$A9)*('Client contacts'!$G$2:$G$500="Y"),""),1),""))</f>
        <v/>
      </c>
      <c r="G9" s="5">
        <f>IF($A9="","",IFERROR(INDEX(FILTER('Client contacts'!$C$2:$C$500,('Client contacts'!$A$2:$A$500=$A9)*('Client contacts'!$G$2:$G$500="Y"),""),1),""))</f>
        <v/>
      </c>
      <c r="H9" s="5">
        <f>IF($A9="","",IFERROR(INDEX(FILTER('Client contacts'!$B$2:$B$500,('Client contacts'!$A$2:$A$500=$A9)*('Client contacts'!$G$2:$G$500="Y"),""),2),""))</f>
        <v/>
      </c>
      <c r="I9" s="5">
        <f>IF($A9="","",IFERROR(INDEX(FILTER('Client contacts'!$C$2:$C$500,('Client contacts'!$A$2:$A$500=$A9)*('Client contacts'!$G$2:$G$500="Y"),""),2),""))</f>
        <v/>
      </c>
      <c r="J9" s="8" t="n"/>
      <c r="K9" s="8" t="n"/>
      <c r="L9" s="8" t="n"/>
      <c r="M9" s="8" t="n"/>
      <c r="N9" s="8" t="n"/>
      <c r="O9" s="8" t="n"/>
      <c r="P9" s="8" t="n"/>
      <c r="Q9" s="8" t="n"/>
      <c r="R9" s="5">
        <f>IF($A9="","",IFERROR(INDEX(Companies!$I$2:$I$500,MATCH($A9,Companies!$A$2:$A$500,0)),""))</f>
        <v/>
      </c>
      <c r="S9" s="8" t="n"/>
      <c r="T9" s="8" t="n"/>
      <c r="U9" s="8" t="n"/>
      <c r="V9" s="8" t="n"/>
      <c r="W9" s="8" t="n"/>
    </row>
    <row r="10">
      <c r="C10" s="5">
        <f>IF($B10="","",TRIM(IF(INDEX('MOA role matrix'!$B$2:$D$13,1,MATCH($B10,'MOA role matrix'!$B$1:$D$1,0))="Fill","Project initiator, ","")IF(INDEX('MOA role matrix'!$B$2:$D$13,1,MATCH($B10,'MOA role matrix'!$B$1:$D$1,0))="If finance","Project initiator (if finance), ","")IF(INDEX('MOA role matrix'!$B$2:$D$13,1,MATCH($B10,'MOA role matrix'!$B$1:$D$1,0))="Auto","Project initiator (auto), ","")IF(INDEX('MOA role matrix'!$B$2:$D$13,2,MATCH($B10,'MOA role matrix'!$B$1:$D$1,0))="Fill","MOA signers (client), ","")IF(INDEX('MOA role matrix'!$B$2:$D$13,2,MATCH($B10,'MOA role matrix'!$B$1:$D$1,0))="If finance","MOA signers (client) (if finance), ","")IF(INDEX('MOA role matrix'!$B$2:$D$13,2,MATCH($B10,'MOA role matrix'!$B$1:$D$1,0))="Auto","MOA signers (client) (auto), ","")IF(INDEX('MOA role matrix'!$B$2:$D$13,3,MATCH($B10,'MOA role matrix'!$B$1:$D$1,0))="Fill","CFO / Head of Finance, ","")IF(INDEX('MOA role matrix'!$B$2:$D$13,3,MATCH($B10,'MOA role matrix'!$B$1:$D$1,0))="If finance","CFO / Head of Finance (if finance), ","")IF(INDEX('MOA role matrix'!$B$2:$D$13,3,MATCH($B10,'MOA role matrix'!$B$1:$D$1,0))="Auto","CFO / Head of Finance (auto), ","")IF(INDEX('MOA role matrix'!$B$2:$D$13,4,MATCH($B10,'MOA role matrix'!$B$1:$D$1,0))="Fill","CEO / COO / GM, ","")IF(INDEX('MOA role matrix'!$B$2:$D$13,4,MATCH($B10,'MOA role matrix'!$B$1:$D$1,0))="If finance","CEO / COO / GM (if finance), ","")IF(INDEX('MOA role matrix'!$B$2:$D$13,4,MATCH($B10,'MOA role matrix'!$B$1:$D$1,0))="Auto","CEO / COO / GM (auto), ","")IF(INDEX('MOA role matrix'!$B$2:$D$13,5,MATCH($B10,'MOA role matrix'!$B$1:$D$1,0))="Fill","Board member 1, ","")IF(INDEX('MOA role matrix'!$B$2:$D$13,5,MATCH($B10,'MOA role matrix'!$B$1:$D$1,0))="If finance","Board member 1 (if finance), ","")IF(INDEX('MOA role matrix'!$B$2:$D$13,5,MATCH($B10,'MOA role matrix'!$B$1:$D$1,0))="Auto","Board member 1 (auto), ","")IF(INDEX('MOA role matrix'!$B$2:$D$13,6,MATCH($B10,'MOA role matrix'!$B$1:$D$1,0))="Fill","Board member 2, ","")IF(INDEX('MOA role matrix'!$B$2:$D$13,6,MATCH($B10,'MOA role matrix'!$B$1:$D$1,0))="If finance","Board member 2 (if finance), ","")IF(INDEX('MOA role matrix'!$B$2:$D$13,6,MATCH($B10,'MOA role matrix'!$B$1:$D$1,0))="Auto","Board member 2 (auto), ","")IF(INDEX('MOA role matrix'!$B$2:$D$13,7,MATCH($B10,'MOA role matrix'!$B$1:$D$1,0))="Fill","LOA holder 1, ","")IF(INDEX('MOA role matrix'!$B$2:$D$13,7,MATCH($B10,'MOA role matrix'!$B$1:$D$1,0))="If finance","LOA holder 1 (if finance), ","")IF(INDEX('MOA role matrix'!$B$2:$D$13,7,MATCH($B10,'MOA role matrix'!$B$1:$D$1,0))="Auto","LOA holder 1 (auto), ","")IF(INDEX('MOA role matrix'!$B$2:$D$13,8,MATCH($B10,'MOA role matrix'!$B$1:$D$1,0))="Fill","LOA holder 2, ","")IF(INDEX('MOA role matrix'!$B$2:$D$13,8,MATCH($B10,'MOA role matrix'!$B$1:$D$1,0))="If finance","LOA holder 2 (if finance), ","")IF(INDEX('MOA role matrix'!$B$2:$D$13,8,MATCH($B10,'MOA role matrix'!$B$1:$D$1,0))="Auto","LOA holder 2 (auto), ","")IF(INDEX('MOA role matrix'!$B$2:$D$13,9,MATCH($B10,'MOA role matrix'!$B$1:$D$1,0))="Fill","Senior Manager CoSec, ","")IF(INDEX('MOA role matrix'!$B$2:$D$13,9,MATCH($B10,'MOA role matrix'!$B$1:$D$1,0))="If finance","Senior Manager CoSec (if finance), ","")IF(INDEX('MOA role matrix'!$B$2:$D$13,9,MATCH($B10,'MOA role matrix'!$B$1:$D$1,0))="Auto","Senior Manager CoSec (auto), ","")IF(INDEX('MOA role matrix'!$B$2:$D$13,10,MATCH($B10,'MOA role matrix'!$B$1:$D$1,0))="Fill","Division MOI managers, ","")IF(INDEX('MOA role matrix'!$B$2:$D$13,10,MATCH($B10,'MOA role matrix'!$B$1:$D$1,0))="If finance","Division MOI managers (if finance), ","")IF(INDEX('MOA role matrix'!$B$2:$D$13,10,MATCH($B10,'MOA role matrix'!$B$1:$D$1,0))="Auto","Division MOI managers (auto), ","")IF(INDEX('MOA role matrix'!$B$2:$D$13,11,MATCH($B10,'MOA role matrix'!$B$1:$D$1,0))="Fill","Ms Teh (bank), ","")IF(INDEX('MOA role matrix'!$B$2:$D$13,11,MATCH($B10,'MOA role matrix'!$B$1:$D$1,0))="If finance","Ms Teh (bank) (if finance), ","")IF(INDEX('MOA role matrix'!$B$2:$D$13,11,MATCH($B10,'MOA role matrix'!$B$1:$D$1,0))="Auto","Ms Teh (bank) (auto), ","")IF(INDEX('MOA role matrix'!$B$2:$D$13,12,MATCH($B10,'MOA role matrix'!$B$1:$D$1,0))="Fill","DLCM, ","")IF(INDEX('MOA role matrix'!$B$2:$D$13,12,MATCH($B10,'MOA role matrix'!$B$1:$D$1,0))="If finance","DLCM (if finance), ","")IF(INDEX('MOA role matrix'!$B$2:$D$13,12,MATCH($B10,'MOA role matrix'!$B$1:$D$1,0))="Auto","DLCM (auto), ","")))</f>
        <v/>
      </c>
      <c r="D10" s="5">
        <f>IF($A10="","",IFERROR(INDEX(FILTER('Client contacts'!$B$2:$B$500,('Client contacts'!$A$2:$A$500=$A10)*('Client contacts'!$H$2:$H$500="Y"),""),1),""))</f>
        <v/>
      </c>
      <c r="E10" s="5">
        <f>IF($A10="","",IFERROR(INDEX(FILTER('Client contacts'!$C$2:$C$500,('Client contacts'!$A$2:$A$500=$A10)*('Client contacts'!$H$2:$H$500="Y"),""),1),""))</f>
        <v/>
      </c>
      <c r="F10" s="5">
        <f>IF($A10="","",IFERROR(INDEX(FILTER('Client contacts'!$B$2:$B$500,('Client contacts'!$A$2:$A$500=$A10)*('Client contacts'!$G$2:$G$500="Y"),""),1),""))</f>
        <v/>
      </c>
      <c r="G10" s="5">
        <f>IF($A10="","",IFERROR(INDEX(FILTER('Client contacts'!$C$2:$C$500,('Client contacts'!$A$2:$A$500=$A10)*('Client contacts'!$G$2:$G$500="Y"),""),1),""))</f>
        <v/>
      </c>
      <c r="H10" s="5">
        <f>IF($A10="","",IFERROR(INDEX(FILTER('Client contacts'!$B$2:$B$500,('Client contacts'!$A$2:$A$500=$A10)*('Client contacts'!$G$2:$G$500="Y"),""),2),""))</f>
        <v/>
      </c>
      <c r="I10" s="5">
        <f>IF($A10="","",IFERROR(INDEX(FILTER('Client contacts'!$C$2:$C$500,('Client contacts'!$A$2:$A$500=$A10)*('Client contacts'!$G$2:$G$500="Y"),""),2),""))</f>
        <v/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5">
        <f>IF($A10="","",IFERROR(INDEX(Companies!$I$2:$I$500,MATCH($A10,Companies!$A$2:$A$500,0)),""))</f>
        <v/>
      </c>
      <c r="S10" s="8" t="n"/>
      <c r="T10" s="8" t="n"/>
      <c r="U10" s="8" t="n"/>
      <c r="V10" s="8" t="n"/>
      <c r="W10" s="8" t="n"/>
    </row>
    <row r="11">
      <c r="C11" s="5">
        <f>IF($B11="","",TRIM(IF(INDEX('MOA role matrix'!$B$2:$D$13,1,MATCH($B11,'MOA role matrix'!$B$1:$D$1,0))="Fill","Project initiator, ","")IF(INDEX('MOA role matrix'!$B$2:$D$13,1,MATCH($B11,'MOA role matrix'!$B$1:$D$1,0))="If finance","Project initiator (if finance), ","")IF(INDEX('MOA role matrix'!$B$2:$D$13,1,MATCH($B11,'MOA role matrix'!$B$1:$D$1,0))="Auto","Project initiator (auto), ","")IF(INDEX('MOA role matrix'!$B$2:$D$13,2,MATCH($B11,'MOA role matrix'!$B$1:$D$1,0))="Fill","MOA signers (client), ","")IF(INDEX('MOA role matrix'!$B$2:$D$13,2,MATCH($B11,'MOA role matrix'!$B$1:$D$1,0))="If finance","MOA signers (client) (if finance), ","")IF(INDEX('MOA role matrix'!$B$2:$D$13,2,MATCH($B11,'MOA role matrix'!$B$1:$D$1,0))="Auto","MOA signers (client) (auto), ","")IF(INDEX('MOA role matrix'!$B$2:$D$13,3,MATCH($B11,'MOA role matrix'!$B$1:$D$1,0))="Fill","CFO / Head of Finance, ","")IF(INDEX('MOA role matrix'!$B$2:$D$13,3,MATCH($B11,'MOA role matrix'!$B$1:$D$1,0))="If finance","CFO / Head of Finance (if finance), ","")IF(INDEX('MOA role matrix'!$B$2:$D$13,3,MATCH($B11,'MOA role matrix'!$B$1:$D$1,0))="Auto","CFO / Head of Finance (auto), ","")IF(INDEX('MOA role matrix'!$B$2:$D$13,4,MATCH($B11,'MOA role matrix'!$B$1:$D$1,0))="Fill","CEO / COO / GM, ","")IF(INDEX('MOA role matrix'!$B$2:$D$13,4,MATCH($B11,'MOA role matrix'!$B$1:$D$1,0))="If finance","CEO / COO / GM (if finance), ","")IF(INDEX('MOA role matrix'!$B$2:$D$13,4,MATCH($B11,'MOA role matrix'!$B$1:$D$1,0))="Auto","CEO / COO / GM (auto), ","")IF(INDEX('MOA role matrix'!$B$2:$D$13,5,MATCH($B11,'MOA role matrix'!$B$1:$D$1,0))="Fill","Board member 1, ","")IF(INDEX('MOA role matrix'!$B$2:$D$13,5,MATCH($B11,'MOA role matrix'!$B$1:$D$1,0))="If finance","Board member 1 (if finance), ","")IF(INDEX('MOA role matrix'!$B$2:$D$13,5,MATCH($B11,'MOA role matrix'!$B$1:$D$1,0))="Auto","Board member 1 (auto), ","")IF(INDEX('MOA role matrix'!$B$2:$D$13,6,MATCH($B11,'MOA role matrix'!$B$1:$D$1,0))="Fill","Board member 2, ","")IF(INDEX('MOA role matrix'!$B$2:$D$13,6,MATCH($B11,'MOA role matrix'!$B$1:$D$1,0))="If finance","Board member 2 (if finance), ","")IF(INDEX('MOA role matrix'!$B$2:$D$13,6,MATCH($B11,'MOA role matrix'!$B$1:$D$1,0))="Auto","Board member 2 (auto), ","")IF(INDEX('MOA role matrix'!$B$2:$D$13,7,MATCH($B11,'MOA role matrix'!$B$1:$D$1,0))="Fill","LOA holder 1, ","")IF(INDEX('MOA role matrix'!$B$2:$D$13,7,MATCH($B11,'MOA role matrix'!$B$1:$D$1,0))="If finance","LOA holder 1 (if finance), ","")IF(INDEX('MOA role matrix'!$B$2:$D$13,7,MATCH($B11,'MOA role matrix'!$B$1:$D$1,0))="Auto","LOA holder 1 (auto), ","")IF(INDEX('MOA role matrix'!$B$2:$D$13,8,MATCH($B11,'MOA role matrix'!$B$1:$D$1,0))="Fill","LOA holder 2, ","")IF(INDEX('MOA role matrix'!$B$2:$D$13,8,MATCH($B11,'MOA role matrix'!$B$1:$D$1,0))="If finance","LOA holder 2 (if finance), ","")IF(INDEX('MOA role matrix'!$B$2:$D$13,8,MATCH($B11,'MOA role matrix'!$B$1:$D$1,0))="Auto","LOA holder 2 (auto), ","")IF(INDEX('MOA role matrix'!$B$2:$D$13,9,MATCH($B11,'MOA role matrix'!$B$1:$D$1,0))="Fill","Senior Manager CoSec, ","")IF(INDEX('MOA role matrix'!$B$2:$D$13,9,MATCH($B11,'MOA role matrix'!$B$1:$D$1,0))="If finance","Senior Manager CoSec (if finance), ","")IF(INDEX('MOA role matrix'!$B$2:$D$13,9,MATCH($B11,'MOA role matrix'!$B$1:$D$1,0))="Auto","Senior Manager CoSec (auto), ","")IF(INDEX('MOA role matrix'!$B$2:$D$13,10,MATCH($B11,'MOA role matrix'!$B$1:$D$1,0))="Fill","Division MOI managers, ","")IF(INDEX('MOA role matrix'!$B$2:$D$13,10,MATCH($B11,'MOA role matrix'!$B$1:$D$1,0))="If finance","Division MOI managers (if finance), ","")IF(INDEX('MOA role matrix'!$B$2:$D$13,10,MATCH($B11,'MOA role matrix'!$B$1:$D$1,0))="Auto","Division MOI managers (auto), ","")IF(INDEX('MOA role matrix'!$B$2:$D$13,11,MATCH($B11,'MOA role matrix'!$B$1:$D$1,0))="Fill","Ms Teh (bank), ","")IF(INDEX('MOA role matrix'!$B$2:$D$13,11,MATCH($B11,'MOA role matrix'!$B$1:$D$1,0))="If finance","Ms Teh (bank) (if finance), ","")IF(INDEX('MOA role matrix'!$B$2:$D$13,11,MATCH($B11,'MOA role matrix'!$B$1:$D$1,0))="Auto","Ms Teh (bank) (auto), ","")IF(INDEX('MOA role matrix'!$B$2:$D$13,12,MATCH($B11,'MOA role matrix'!$B$1:$D$1,0))="Fill","DLCM, ","")IF(INDEX('MOA role matrix'!$B$2:$D$13,12,MATCH($B11,'MOA role matrix'!$B$1:$D$1,0))="If finance","DLCM (if finance), ","")IF(INDEX('MOA role matrix'!$B$2:$D$13,12,MATCH($B11,'MOA role matrix'!$B$1:$D$1,0))="Auto","DLCM (auto), ","")))</f>
        <v/>
      </c>
      <c r="D11" s="5">
        <f>IF($A11="","",IFERROR(INDEX(FILTER('Client contacts'!$B$2:$B$500,('Client contacts'!$A$2:$A$500=$A11)*('Client contacts'!$H$2:$H$500="Y"),""),1),""))</f>
        <v/>
      </c>
      <c r="E11" s="5">
        <f>IF($A11="","",IFERROR(INDEX(FILTER('Client contacts'!$C$2:$C$500,('Client contacts'!$A$2:$A$500=$A11)*('Client contacts'!$H$2:$H$500="Y"),""),1),""))</f>
        <v/>
      </c>
      <c r="F11" s="5">
        <f>IF($A11="","",IFERROR(INDEX(FILTER('Client contacts'!$B$2:$B$500,('Client contacts'!$A$2:$A$500=$A11)*('Client contacts'!$G$2:$G$500="Y"),""),1),""))</f>
        <v/>
      </c>
      <c r="G11" s="5">
        <f>IF($A11="","",IFERROR(INDEX(FILTER('Client contacts'!$C$2:$C$500,('Client contacts'!$A$2:$A$500=$A11)*('Client contacts'!$G$2:$G$500="Y"),""),1),""))</f>
        <v/>
      </c>
      <c r="H11" s="5">
        <f>IF($A11="","",IFERROR(INDEX(FILTER('Client contacts'!$B$2:$B$500,('Client contacts'!$A$2:$A$500=$A11)*('Client contacts'!$G$2:$G$500="Y"),""),2),""))</f>
        <v/>
      </c>
      <c r="I11" s="5">
        <f>IF($A11="","",IFERROR(INDEX(FILTER('Client contacts'!$C$2:$C$500,('Client contacts'!$A$2:$A$500=$A11)*('Client contacts'!$G$2:$G$500="Y"),""),2),""))</f>
        <v/>
      </c>
      <c r="J11" s="8" t="n"/>
      <c r="K11" s="8" t="n"/>
      <c r="L11" s="8" t="n"/>
      <c r="M11" s="8" t="n"/>
      <c r="N11" s="8" t="n"/>
      <c r="O11" s="8" t="n"/>
      <c r="P11" s="8" t="n"/>
      <c r="Q11" s="8" t="n"/>
      <c r="R11" s="5">
        <f>IF($A11="","",IFERROR(INDEX(Companies!$I$2:$I$500,MATCH($A11,Companies!$A$2:$A$500,0)),""))</f>
        <v/>
      </c>
      <c r="S11" s="8" t="n"/>
      <c r="T11" s="8" t="n"/>
      <c r="U11" s="8" t="n"/>
      <c r="V11" s="8" t="n"/>
      <c r="W11" s="8" t="n"/>
    </row>
    <row r="12">
      <c r="C12" s="5">
        <f>IF($B12="","",TRIM(IF(INDEX('MOA role matrix'!$B$2:$D$13,1,MATCH($B12,'MOA role matrix'!$B$1:$D$1,0))="Fill","Project initiator, ","")IF(INDEX('MOA role matrix'!$B$2:$D$13,1,MATCH($B12,'MOA role matrix'!$B$1:$D$1,0))="If finance","Project initiator (if finance), ","")IF(INDEX('MOA role matrix'!$B$2:$D$13,1,MATCH($B12,'MOA role matrix'!$B$1:$D$1,0))="Auto","Project initiator (auto), ","")IF(INDEX('MOA role matrix'!$B$2:$D$13,2,MATCH($B12,'MOA role matrix'!$B$1:$D$1,0))="Fill","MOA signers (client), ","")IF(INDEX('MOA role matrix'!$B$2:$D$13,2,MATCH($B12,'MOA role matrix'!$B$1:$D$1,0))="If finance","MOA signers (client) (if finance), ","")IF(INDEX('MOA role matrix'!$B$2:$D$13,2,MATCH($B12,'MOA role matrix'!$B$1:$D$1,0))="Auto","MOA signers (client) (auto), ","")IF(INDEX('MOA role matrix'!$B$2:$D$13,3,MATCH($B12,'MOA role matrix'!$B$1:$D$1,0))="Fill","CFO / Head of Finance, ","")IF(INDEX('MOA role matrix'!$B$2:$D$13,3,MATCH($B12,'MOA role matrix'!$B$1:$D$1,0))="If finance","CFO / Head of Finance (if finance), ","")IF(INDEX('MOA role matrix'!$B$2:$D$13,3,MATCH($B12,'MOA role matrix'!$B$1:$D$1,0))="Auto","CFO / Head of Finance (auto), ","")IF(INDEX('MOA role matrix'!$B$2:$D$13,4,MATCH($B12,'MOA role matrix'!$B$1:$D$1,0))="Fill","CEO / COO / GM, ","")IF(INDEX('MOA role matrix'!$B$2:$D$13,4,MATCH($B12,'MOA role matrix'!$B$1:$D$1,0))="If finance","CEO / COO / GM (if finance), ","")IF(INDEX('MOA role matrix'!$B$2:$D$13,4,MATCH($B12,'MOA role matrix'!$B$1:$D$1,0))="Auto","CEO / COO / GM (auto), ","")IF(INDEX('MOA role matrix'!$B$2:$D$13,5,MATCH($B12,'MOA role matrix'!$B$1:$D$1,0))="Fill","Board member 1, ","")IF(INDEX('MOA role matrix'!$B$2:$D$13,5,MATCH($B12,'MOA role matrix'!$B$1:$D$1,0))="If finance","Board member 1 (if finance), ","")IF(INDEX('MOA role matrix'!$B$2:$D$13,5,MATCH($B12,'MOA role matrix'!$B$1:$D$1,0))="Auto","Board member 1 (auto), ","")IF(INDEX('MOA role matrix'!$B$2:$D$13,6,MATCH($B12,'MOA role matrix'!$B$1:$D$1,0))="Fill","Board member 2, ","")IF(INDEX('MOA role matrix'!$B$2:$D$13,6,MATCH($B12,'MOA role matrix'!$B$1:$D$1,0))="If finance","Board member 2 (if finance), ","")IF(INDEX('MOA role matrix'!$B$2:$D$13,6,MATCH($B12,'MOA role matrix'!$B$1:$D$1,0))="Auto","Board member 2 (auto), ","")IF(INDEX('MOA role matrix'!$B$2:$D$13,7,MATCH($B12,'MOA role matrix'!$B$1:$D$1,0))="Fill","LOA holder 1, ","")IF(INDEX('MOA role matrix'!$B$2:$D$13,7,MATCH($B12,'MOA role matrix'!$B$1:$D$1,0))="If finance","LOA holder 1 (if finance), ","")IF(INDEX('MOA role matrix'!$B$2:$D$13,7,MATCH($B12,'MOA role matrix'!$B$1:$D$1,0))="Auto","LOA holder 1 (auto), ","")IF(INDEX('MOA role matrix'!$B$2:$D$13,8,MATCH($B12,'MOA role matrix'!$B$1:$D$1,0))="Fill","LOA holder 2, ","")IF(INDEX('MOA role matrix'!$B$2:$D$13,8,MATCH($B12,'MOA role matrix'!$B$1:$D$1,0))="If finance","LOA holder 2 (if finance), ","")IF(INDEX('MOA role matrix'!$B$2:$D$13,8,MATCH($B12,'MOA role matrix'!$B$1:$D$1,0))="Auto","LOA holder 2 (auto), ","")IF(INDEX('MOA role matrix'!$B$2:$D$13,9,MATCH($B12,'MOA role matrix'!$B$1:$D$1,0))="Fill","Senior Manager CoSec, ","")IF(INDEX('MOA role matrix'!$B$2:$D$13,9,MATCH($B12,'MOA role matrix'!$B$1:$D$1,0))="If finance","Senior Manager CoSec (if finance), ","")IF(INDEX('MOA role matrix'!$B$2:$D$13,9,MATCH($B12,'MOA role matrix'!$B$1:$D$1,0))="Auto","Senior Manager CoSec (auto), ","")IF(INDEX('MOA role matrix'!$B$2:$D$13,10,MATCH($B12,'MOA role matrix'!$B$1:$D$1,0))="Fill","Division MOI managers, ","")IF(INDEX('MOA role matrix'!$B$2:$D$13,10,MATCH($B12,'MOA role matrix'!$B$1:$D$1,0))="If finance","Division MOI managers (if finance), ","")IF(INDEX('MOA role matrix'!$B$2:$D$13,10,MATCH($B12,'MOA role matrix'!$B$1:$D$1,0))="Auto","Division MOI managers (auto), ","")IF(INDEX('MOA role matrix'!$B$2:$D$13,11,MATCH($B12,'MOA role matrix'!$B$1:$D$1,0))="Fill","Ms Teh (bank), ","")IF(INDEX('MOA role matrix'!$B$2:$D$13,11,MATCH($B12,'MOA role matrix'!$B$1:$D$1,0))="If finance","Ms Teh (bank) (if finance), ","")IF(INDEX('MOA role matrix'!$B$2:$D$13,11,MATCH($B12,'MOA role matrix'!$B$1:$D$1,0))="Auto","Ms Teh (bank) (auto), ","")IF(INDEX('MOA role matrix'!$B$2:$D$13,12,MATCH($B12,'MOA role matrix'!$B$1:$D$1,0))="Fill","DLCM, ","")IF(INDEX('MOA role matrix'!$B$2:$D$13,12,MATCH($B12,'MOA role matrix'!$B$1:$D$1,0))="If finance","DLCM (if finance), ","")IF(INDEX('MOA role matrix'!$B$2:$D$13,12,MATCH($B12,'MOA role matrix'!$B$1:$D$1,0))="Auto","DLCM (auto), ","")))</f>
        <v/>
      </c>
      <c r="D12" s="5">
        <f>IF($A12="","",IFERROR(INDEX(FILTER('Client contacts'!$B$2:$B$500,('Client contacts'!$A$2:$A$500=$A12)*('Client contacts'!$H$2:$H$500="Y"),""),1),""))</f>
        <v/>
      </c>
      <c r="E12" s="5">
        <f>IF($A12="","",IFERROR(INDEX(FILTER('Client contacts'!$C$2:$C$500,('Client contacts'!$A$2:$A$500=$A12)*('Client contacts'!$H$2:$H$500="Y"),""),1),""))</f>
        <v/>
      </c>
      <c r="F12" s="5">
        <f>IF($A12="","",IFERROR(INDEX(FILTER('Client contacts'!$B$2:$B$500,('Client contacts'!$A$2:$A$500=$A12)*('Client contacts'!$G$2:$G$500="Y"),""),1),""))</f>
        <v/>
      </c>
      <c r="G12" s="5">
        <f>IF($A12="","",IFERROR(INDEX(FILTER('Client contacts'!$C$2:$C$500,('Client contacts'!$A$2:$A$500=$A12)*('Client contacts'!$G$2:$G$500="Y"),""),1),""))</f>
        <v/>
      </c>
      <c r="H12" s="5">
        <f>IF($A12="","",IFERROR(INDEX(FILTER('Client contacts'!$B$2:$B$500,('Client contacts'!$A$2:$A$500=$A12)*('Client contacts'!$G$2:$G$500="Y"),""),2),""))</f>
        <v/>
      </c>
      <c r="I12" s="5">
        <f>IF($A12="","",IFERROR(INDEX(FILTER('Client contacts'!$C$2:$C$500,('Client contacts'!$A$2:$A$500=$A12)*('Client contacts'!$G$2:$G$500="Y"),""),2),""))</f>
        <v/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5">
        <f>IF($A12="","",IFERROR(INDEX(Companies!$I$2:$I$500,MATCH($A12,Companies!$A$2:$A$500,0)),""))</f>
        <v/>
      </c>
      <c r="S12" s="8" t="n"/>
      <c r="T12" s="8" t="n"/>
      <c r="U12" s="8" t="n"/>
      <c r="V12" s="8" t="n"/>
      <c r="W12" s="8" t="n"/>
    </row>
    <row r="13">
      <c r="C13" s="5">
        <f>IF($B13="","",TRIM(IF(INDEX('MOA role matrix'!$B$2:$D$13,1,MATCH($B13,'MOA role matrix'!$B$1:$D$1,0))="Fill","Project initiator, ","")IF(INDEX('MOA role matrix'!$B$2:$D$13,1,MATCH($B13,'MOA role matrix'!$B$1:$D$1,0))="If finance","Project initiator (if finance), ","")IF(INDEX('MOA role matrix'!$B$2:$D$13,1,MATCH($B13,'MOA role matrix'!$B$1:$D$1,0))="Auto","Project initiator (auto), ","")IF(INDEX('MOA role matrix'!$B$2:$D$13,2,MATCH($B13,'MOA role matrix'!$B$1:$D$1,0))="Fill","MOA signers (client), ","")IF(INDEX('MOA role matrix'!$B$2:$D$13,2,MATCH($B13,'MOA role matrix'!$B$1:$D$1,0))="If finance","MOA signers (client) (if finance), ","")IF(INDEX('MOA role matrix'!$B$2:$D$13,2,MATCH($B13,'MOA role matrix'!$B$1:$D$1,0))="Auto","MOA signers (client) (auto), ","")IF(INDEX('MOA role matrix'!$B$2:$D$13,3,MATCH($B13,'MOA role matrix'!$B$1:$D$1,0))="Fill","CFO / Head of Finance, ","")IF(INDEX('MOA role matrix'!$B$2:$D$13,3,MATCH($B13,'MOA role matrix'!$B$1:$D$1,0))="If finance","CFO / Head of Finance (if finance), ","")IF(INDEX('MOA role matrix'!$B$2:$D$13,3,MATCH($B13,'MOA role matrix'!$B$1:$D$1,0))="Auto","CFO / Head of Finance (auto), ","")IF(INDEX('MOA role matrix'!$B$2:$D$13,4,MATCH($B13,'MOA role matrix'!$B$1:$D$1,0))="Fill","CEO / COO / GM, ","")IF(INDEX('MOA role matrix'!$B$2:$D$13,4,MATCH($B13,'MOA role matrix'!$B$1:$D$1,0))="If finance","CEO / COO / GM (if finance), ","")IF(INDEX('MOA role matrix'!$B$2:$D$13,4,MATCH($B13,'MOA role matrix'!$B$1:$D$1,0))="Auto","CEO / COO / GM (auto), ","")IF(INDEX('MOA role matrix'!$B$2:$D$13,5,MATCH($B13,'MOA role matrix'!$B$1:$D$1,0))="Fill","Board member 1, ","")IF(INDEX('MOA role matrix'!$B$2:$D$13,5,MATCH($B13,'MOA role matrix'!$B$1:$D$1,0))="If finance","Board member 1 (if finance), ","")IF(INDEX('MOA role matrix'!$B$2:$D$13,5,MATCH($B13,'MOA role matrix'!$B$1:$D$1,0))="Auto","Board member 1 (auto), ","")IF(INDEX('MOA role matrix'!$B$2:$D$13,6,MATCH($B13,'MOA role matrix'!$B$1:$D$1,0))="Fill","Board member 2, ","")IF(INDEX('MOA role matrix'!$B$2:$D$13,6,MATCH($B13,'MOA role matrix'!$B$1:$D$1,0))="If finance","Board member 2 (if finance), ","")IF(INDEX('MOA role matrix'!$B$2:$D$13,6,MATCH($B13,'MOA role matrix'!$B$1:$D$1,0))="Auto","Board member 2 (auto), ","")IF(INDEX('MOA role matrix'!$B$2:$D$13,7,MATCH($B13,'MOA role matrix'!$B$1:$D$1,0))="Fill","LOA holder 1, ","")IF(INDEX('MOA role matrix'!$B$2:$D$13,7,MATCH($B13,'MOA role matrix'!$B$1:$D$1,0))="If finance","LOA holder 1 (if finance), ","")IF(INDEX('MOA role matrix'!$B$2:$D$13,7,MATCH($B13,'MOA role matrix'!$B$1:$D$1,0))="Auto","LOA holder 1 (auto), ","")IF(INDEX('MOA role matrix'!$B$2:$D$13,8,MATCH($B13,'MOA role matrix'!$B$1:$D$1,0))="Fill","LOA holder 2, ","")IF(INDEX('MOA role matrix'!$B$2:$D$13,8,MATCH($B13,'MOA role matrix'!$B$1:$D$1,0))="If finance","LOA holder 2 (if finance), ","")IF(INDEX('MOA role matrix'!$B$2:$D$13,8,MATCH($B13,'MOA role matrix'!$B$1:$D$1,0))="Auto","LOA holder 2 (auto), ","")IF(INDEX('MOA role matrix'!$B$2:$D$13,9,MATCH($B13,'MOA role matrix'!$B$1:$D$1,0))="Fill","Senior Manager CoSec, ","")IF(INDEX('MOA role matrix'!$B$2:$D$13,9,MATCH($B13,'MOA role matrix'!$B$1:$D$1,0))="If finance","Senior Manager CoSec (if finance), ","")IF(INDEX('MOA role matrix'!$B$2:$D$13,9,MATCH($B13,'MOA role matrix'!$B$1:$D$1,0))="Auto","Senior Manager CoSec (auto), ","")IF(INDEX('MOA role matrix'!$B$2:$D$13,10,MATCH($B13,'MOA role matrix'!$B$1:$D$1,0))="Fill","Division MOI managers, ","")IF(INDEX('MOA role matrix'!$B$2:$D$13,10,MATCH($B13,'MOA role matrix'!$B$1:$D$1,0))="If finance","Division MOI managers (if finance), ","")IF(INDEX('MOA role matrix'!$B$2:$D$13,10,MATCH($B13,'MOA role matrix'!$B$1:$D$1,0))="Auto","Division MOI managers (auto), ","")IF(INDEX('MOA role matrix'!$B$2:$D$13,11,MATCH($B13,'MOA role matrix'!$B$1:$D$1,0))="Fill","Ms Teh (bank), ","")IF(INDEX('MOA role matrix'!$B$2:$D$13,11,MATCH($B13,'MOA role matrix'!$B$1:$D$1,0))="If finance","Ms Teh (bank) (if finance), ","")IF(INDEX('MOA role matrix'!$B$2:$D$13,11,MATCH($B13,'MOA role matrix'!$B$1:$D$1,0))="Auto","Ms Teh (bank) (auto), ","")IF(INDEX('MOA role matrix'!$B$2:$D$13,12,MATCH($B13,'MOA role matrix'!$B$1:$D$1,0))="Fill","DLCM, ","")IF(INDEX('MOA role matrix'!$B$2:$D$13,12,MATCH($B13,'MOA role matrix'!$B$1:$D$1,0))="If finance","DLCM (if finance), ","")IF(INDEX('MOA role matrix'!$B$2:$D$13,12,MATCH($B13,'MOA role matrix'!$B$1:$D$1,0))="Auto","DLCM (auto), ","")))</f>
        <v/>
      </c>
      <c r="D13" s="5">
        <f>IF($A13="","",IFERROR(INDEX(FILTER('Client contacts'!$B$2:$B$500,('Client contacts'!$A$2:$A$500=$A13)*('Client contacts'!$H$2:$H$500="Y"),""),1),""))</f>
        <v/>
      </c>
      <c r="E13" s="5">
        <f>IF($A13="","",IFERROR(INDEX(FILTER('Client contacts'!$C$2:$C$500,('Client contacts'!$A$2:$A$500=$A13)*('Client contacts'!$H$2:$H$500="Y"),""),1),""))</f>
        <v/>
      </c>
      <c r="F13" s="5">
        <f>IF($A13="","",IFERROR(INDEX(FILTER('Client contacts'!$B$2:$B$500,('Client contacts'!$A$2:$A$500=$A13)*('Client contacts'!$G$2:$G$500="Y"),""),1),""))</f>
        <v/>
      </c>
      <c r="G13" s="5">
        <f>IF($A13="","",IFERROR(INDEX(FILTER('Client contacts'!$C$2:$C$500,('Client contacts'!$A$2:$A$500=$A13)*('Client contacts'!$G$2:$G$500="Y"),""),1),""))</f>
        <v/>
      </c>
      <c r="H13" s="5">
        <f>IF($A13="","",IFERROR(INDEX(FILTER('Client contacts'!$B$2:$B$500,('Client contacts'!$A$2:$A$500=$A13)*('Client contacts'!$G$2:$G$500="Y"),""),2),""))</f>
        <v/>
      </c>
      <c r="I13" s="5">
        <f>IF($A13="","",IFERROR(INDEX(FILTER('Client contacts'!$C$2:$C$500,('Client contacts'!$A$2:$A$500=$A13)*('Client contacts'!$G$2:$G$500="Y"),""),2),""))</f>
        <v/>
      </c>
      <c r="J13" s="8" t="n"/>
      <c r="K13" s="8" t="n"/>
      <c r="L13" s="8" t="n"/>
      <c r="M13" s="8" t="n"/>
      <c r="N13" s="8" t="n"/>
      <c r="O13" s="8" t="n"/>
      <c r="P13" s="8" t="n"/>
      <c r="Q13" s="8" t="n"/>
      <c r="R13" s="5">
        <f>IF($A13="","",IFERROR(INDEX(Companies!$I$2:$I$500,MATCH($A13,Companies!$A$2:$A$500,0)),""))</f>
        <v/>
      </c>
      <c r="S13" s="8" t="n"/>
      <c r="T13" s="8" t="n"/>
      <c r="U13" s="8" t="n"/>
      <c r="V13" s="8" t="n"/>
      <c r="W13" s="8" t="n"/>
    </row>
    <row r="14">
      <c r="C14" s="5">
        <f>IF($B14="","",TRIM(IF(INDEX('MOA role matrix'!$B$2:$D$13,1,MATCH($B14,'MOA role matrix'!$B$1:$D$1,0))="Fill","Project initiator, ","")IF(INDEX('MOA role matrix'!$B$2:$D$13,1,MATCH($B14,'MOA role matrix'!$B$1:$D$1,0))="If finance","Project initiator (if finance), ","")IF(INDEX('MOA role matrix'!$B$2:$D$13,1,MATCH($B14,'MOA role matrix'!$B$1:$D$1,0))="Auto","Project initiator (auto), ","")IF(INDEX('MOA role matrix'!$B$2:$D$13,2,MATCH($B14,'MOA role matrix'!$B$1:$D$1,0))="Fill","MOA signers (client), ","")IF(INDEX('MOA role matrix'!$B$2:$D$13,2,MATCH($B14,'MOA role matrix'!$B$1:$D$1,0))="If finance","MOA signers (client) (if finance), ","")IF(INDEX('MOA role matrix'!$B$2:$D$13,2,MATCH($B14,'MOA role matrix'!$B$1:$D$1,0))="Auto","MOA signers (client) (auto), ","")IF(INDEX('MOA role matrix'!$B$2:$D$13,3,MATCH($B14,'MOA role matrix'!$B$1:$D$1,0))="Fill","CFO / Head of Finance, ","")IF(INDEX('MOA role matrix'!$B$2:$D$13,3,MATCH($B14,'MOA role matrix'!$B$1:$D$1,0))="If finance","CFO / Head of Finance (if finance), ","")IF(INDEX('MOA role matrix'!$B$2:$D$13,3,MATCH($B14,'MOA role matrix'!$B$1:$D$1,0))="Auto","CFO / Head of Finance (auto), ","")IF(INDEX('MOA role matrix'!$B$2:$D$13,4,MATCH($B14,'MOA role matrix'!$B$1:$D$1,0))="Fill","CEO / COO / GM, ","")IF(INDEX('MOA role matrix'!$B$2:$D$13,4,MATCH($B14,'MOA role matrix'!$B$1:$D$1,0))="If finance","CEO / COO / GM (if finance), ","")IF(INDEX('MOA role matrix'!$B$2:$D$13,4,MATCH($B14,'MOA role matrix'!$B$1:$D$1,0))="Auto","CEO / COO / GM (auto), ","")IF(INDEX('MOA role matrix'!$B$2:$D$13,5,MATCH($B14,'MOA role matrix'!$B$1:$D$1,0))="Fill","Board member 1, ","")IF(INDEX('MOA role matrix'!$B$2:$D$13,5,MATCH($B14,'MOA role matrix'!$B$1:$D$1,0))="If finance","Board member 1 (if finance), ","")IF(INDEX('MOA role matrix'!$B$2:$D$13,5,MATCH($B14,'MOA role matrix'!$B$1:$D$1,0))="Auto","Board member 1 (auto), ","")IF(INDEX('MOA role matrix'!$B$2:$D$13,6,MATCH($B14,'MOA role matrix'!$B$1:$D$1,0))="Fill","Board member 2, ","")IF(INDEX('MOA role matrix'!$B$2:$D$13,6,MATCH($B14,'MOA role matrix'!$B$1:$D$1,0))="If finance","Board member 2 (if finance), ","")IF(INDEX('MOA role matrix'!$B$2:$D$13,6,MATCH($B14,'MOA role matrix'!$B$1:$D$1,0))="Auto","Board member 2 (auto), ","")IF(INDEX('MOA role matrix'!$B$2:$D$13,7,MATCH($B14,'MOA role matrix'!$B$1:$D$1,0))="Fill","LOA holder 1, ","")IF(INDEX('MOA role matrix'!$B$2:$D$13,7,MATCH($B14,'MOA role matrix'!$B$1:$D$1,0))="If finance","LOA holder 1 (if finance), ","")IF(INDEX('MOA role matrix'!$B$2:$D$13,7,MATCH($B14,'MOA role matrix'!$B$1:$D$1,0))="Auto","LOA holder 1 (auto), ","")IF(INDEX('MOA role matrix'!$B$2:$D$13,8,MATCH($B14,'MOA role matrix'!$B$1:$D$1,0))="Fill","LOA holder 2, ","")IF(INDEX('MOA role matrix'!$B$2:$D$13,8,MATCH($B14,'MOA role matrix'!$B$1:$D$1,0))="If finance","LOA holder 2 (if finance), ","")IF(INDEX('MOA role matrix'!$B$2:$D$13,8,MATCH($B14,'MOA role matrix'!$B$1:$D$1,0))="Auto","LOA holder 2 (auto), ","")IF(INDEX('MOA role matrix'!$B$2:$D$13,9,MATCH($B14,'MOA role matrix'!$B$1:$D$1,0))="Fill","Senior Manager CoSec, ","")IF(INDEX('MOA role matrix'!$B$2:$D$13,9,MATCH($B14,'MOA role matrix'!$B$1:$D$1,0))="If finance","Senior Manager CoSec (if finance), ","")IF(INDEX('MOA role matrix'!$B$2:$D$13,9,MATCH($B14,'MOA role matrix'!$B$1:$D$1,0))="Auto","Senior Manager CoSec (auto), ","")IF(INDEX('MOA role matrix'!$B$2:$D$13,10,MATCH($B14,'MOA role matrix'!$B$1:$D$1,0))="Fill","Division MOI managers, ","")IF(INDEX('MOA role matrix'!$B$2:$D$13,10,MATCH($B14,'MOA role matrix'!$B$1:$D$1,0))="If finance","Division MOI managers (if finance), ","")IF(INDEX('MOA role matrix'!$B$2:$D$13,10,MATCH($B14,'MOA role matrix'!$B$1:$D$1,0))="Auto","Division MOI managers (auto), ","")IF(INDEX('MOA role matrix'!$B$2:$D$13,11,MATCH($B14,'MOA role matrix'!$B$1:$D$1,0))="Fill","Ms Teh (bank), ","")IF(INDEX('MOA role matrix'!$B$2:$D$13,11,MATCH($B14,'MOA role matrix'!$B$1:$D$1,0))="If finance","Ms Teh (bank) (if finance), ","")IF(INDEX('MOA role matrix'!$B$2:$D$13,11,MATCH($B14,'MOA role matrix'!$B$1:$D$1,0))="Auto","Ms Teh (bank) (auto), ","")IF(INDEX('MOA role matrix'!$B$2:$D$13,12,MATCH($B14,'MOA role matrix'!$B$1:$D$1,0))="Fill","DLCM, ","")IF(INDEX('MOA role matrix'!$B$2:$D$13,12,MATCH($B14,'MOA role matrix'!$B$1:$D$1,0))="If finance","DLCM (if finance), ","")IF(INDEX('MOA role matrix'!$B$2:$D$13,12,MATCH($B14,'MOA role matrix'!$B$1:$D$1,0))="Auto","DLCM (auto), ","")))</f>
        <v/>
      </c>
      <c r="D14" s="5">
        <f>IF($A14="","",IFERROR(INDEX(FILTER('Client contacts'!$B$2:$B$500,('Client contacts'!$A$2:$A$500=$A14)*('Client contacts'!$H$2:$H$500="Y"),""),1),""))</f>
        <v/>
      </c>
      <c r="E14" s="5">
        <f>IF($A14="","",IFERROR(INDEX(FILTER('Client contacts'!$C$2:$C$500,('Client contacts'!$A$2:$A$500=$A14)*('Client contacts'!$H$2:$H$500="Y"),""),1),""))</f>
        <v/>
      </c>
      <c r="F14" s="5">
        <f>IF($A14="","",IFERROR(INDEX(FILTER('Client contacts'!$B$2:$B$500,('Client contacts'!$A$2:$A$500=$A14)*('Client contacts'!$G$2:$G$500="Y"),""),1),""))</f>
        <v/>
      </c>
      <c r="G14" s="5">
        <f>IF($A14="","",IFERROR(INDEX(FILTER('Client contacts'!$C$2:$C$500,('Client contacts'!$A$2:$A$500=$A14)*('Client contacts'!$G$2:$G$500="Y"),""),1),""))</f>
        <v/>
      </c>
      <c r="H14" s="5">
        <f>IF($A14="","",IFERROR(INDEX(FILTER('Client contacts'!$B$2:$B$500,('Client contacts'!$A$2:$A$500=$A14)*('Client contacts'!$G$2:$G$500="Y"),""),2),""))</f>
        <v/>
      </c>
      <c r="I14" s="5">
        <f>IF($A14="","",IFERROR(INDEX(FILTER('Client contacts'!$C$2:$C$500,('Client contacts'!$A$2:$A$500=$A14)*('Client contacts'!$G$2:$G$500="Y"),""),2),""))</f>
        <v/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5">
        <f>IF($A14="","",IFERROR(INDEX(Companies!$I$2:$I$500,MATCH($A14,Companies!$A$2:$A$500,0)),""))</f>
        <v/>
      </c>
      <c r="S14" s="8" t="n"/>
      <c r="T14" s="8" t="n"/>
      <c r="U14" s="8" t="n"/>
      <c r="V14" s="8" t="n"/>
      <c r="W14" s="8" t="n"/>
    </row>
    <row r="15">
      <c r="C15" s="5">
        <f>IF($B15="","",TRIM(IF(INDEX('MOA role matrix'!$B$2:$D$13,1,MATCH($B15,'MOA role matrix'!$B$1:$D$1,0))="Fill","Project initiator, ","")IF(INDEX('MOA role matrix'!$B$2:$D$13,1,MATCH($B15,'MOA role matrix'!$B$1:$D$1,0))="If finance","Project initiator (if finance), ","")IF(INDEX('MOA role matrix'!$B$2:$D$13,1,MATCH($B15,'MOA role matrix'!$B$1:$D$1,0))="Auto","Project initiator (auto), ","")IF(INDEX('MOA role matrix'!$B$2:$D$13,2,MATCH($B15,'MOA role matrix'!$B$1:$D$1,0))="Fill","MOA signers (client), ","")IF(INDEX('MOA role matrix'!$B$2:$D$13,2,MATCH($B15,'MOA role matrix'!$B$1:$D$1,0))="If finance","MOA signers (client) (if finance), ","")IF(INDEX('MOA role matrix'!$B$2:$D$13,2,MATCH($B15,'MOA role matrix'!$B$1:$D$1,0))="Auto","MOA signers (client) (auto), ","")IF(INDEX('MOA role matrix'!$B$2:$D$13,3,MATCH($B15,'MOA role matrix'!$B$1:$D$1,0))="Fill","CFO / Head of Finance, ","")IF(INDEX('MOA role matrix'!$B$2:$D$13,3,MATCH($B15,'MOA role matrix'!$B$1:$D$1,0))="If finance","CFO / Head of Finance (if finance), ","")IF(INDEX('MOA role matrix'!$B$2:$D$13,3,MATCH($B15,'MOA role matrix'!$B$1:$D$1,0))="Auto","CFO / Head of Finance (auto), ","")IF(INDEX('MOA role matrix'!$B$2:$D$13,4,MATCH($B15,'MOA role matrix'!$B$1:$D$1,0))="Fill","CEO / COO / GM, ","")IF(INDEX('MOA role matrix'!$B$2:$D$13,4,MATCH($B15,'MOA role matrix'!$B$1:$D$1,0))="If finance","CEO / COO / GM (if finance), ","")IF(INDEX('MOA role matrix'!$B$2:$D$13,4,MATCH($B15,'MOA role matrix'!$B$1:$D$1,0))="Auto","CEO / COO / GM (auto), ","")IF(INDEX('MOA role matrix'!$B$2:$D$13,5,MATCH($B15,'MOA role matrix'!$B$1:$D$1,0))="Fill","Board member 1, ","")IF(INDEX('MOA role matrix'!$B$2:$D$13,5,MATCH($B15,'MOA role matrix'!$B$1:$D$1,0))="If finance","Board member 1 (if finance), ","")IF(INDEX('MOA role matrix'!$B$2:$D$13,5,MATCH($B15,'MOA role matrix'!$B$1:$D$1,0))="Auto","Board member 1 (auto), ","")IF(INDEX('MOA role matrix'!$B$2:$D$13,6,MATCH($B15,'MOA role matrix'!$B$1:$D$1,0))="Fill","Board member 2, ","")IF(INDEX('MOA role matrix'!$B$2:$D$13,6,MATCH($B15,'MOA role matrix'!$B$1:$D$1,0))="If finance","Board member 2 (if finance), ","")IF(INDEX('MOA role matrix'!$B$2:$D$13,6,MATCH($B15,'MOA role matrix'!$B$1:$D$1,0))="Auto","Board member 2 (auto), ","")IF(INDEX('MOA role matrix'!$B$2:$D$13,7,MATCH($B15,'MOA role matrix'!$B$1:$D$1,0))="Fill","LOA holder 1, ","")IF(INDEX('MOA role matrix'!$B$2:$D$13,7,MATCH($B15,'MOA role matrix'!$B$1:$D$1,0))="If finance","LOA holder 1 (if finance), ","")IF(INDEX('MOA role matrix'!$B$2:$D$13,7,MATCH($B15,'MOA role matrix'!$B$1:$D$1,0))="Auto","LOA holder 1 (auto), ","")IF(INDEX('MOA role matrix'!$B$2:$D$13,8,MATCH($B15,'MOA role matrix'!$B$1:$D$1,0))="Fill","LOA holder 2, ","")IF(INDEX('MOA role matrix'!$B$2:$D$13,8,MATCH($B15,'MOA role matrix'!$B$1:$D$1,0))="If finance","LOA holder 2 (if finance), ","")IF(INDEX('MOA role matrix'!$B$2:$D$13,8,MATCH($B15,'MOA role matrix'!$B$1:$D$1,0))="Auto","LOA holder 2 (auto), ","")IF(INDEX('MOA role matrix'!$B$2:$D$13,9,MATCH($B15,'MOA role matrix'!$B$1:$D$1,0))="Fill","Senior Manager CoSec, ","")IF(INDEX('MOA role matrix'!$B$2:$D$13,9,MATCH($B15,'MOA role matrix'!$B$1:$D$1,0))="If finance","Senior Manager CoSec (if finance), ","")IF(INDEX('MOA role matrix'!$B$2:$D$13,9,MATCH($B15,'MOA role matrix'!$B$1:$D$1,0))="Auto","Senior Manager CoSec (auto), ","")IF(INDEX('MOA role matrix'!$B$2:$D$13,10,MATCH($B15,'MOA role matrix'!$B$1:$D$1,0))="Fill","Division MOI managers, ","")IF(INDEX('MOA role matrix'!$B$2:$D$13,10,MATCH($B15,'MOA role matrix'!$B$1:$D$1,0))="If finance","Division MOI managers (if finance), ","")IF(INDEX('MOA role matrix'!$B$2:$D$13,10,MATCH($B15,'MOA role matrix'!$B$1:$D$1,0))="Auto","Division MOI managers (auto), ","")IF(INDEX('MOA role matrix'!$B$2:$D$13,11,MATCH($B15,'MOA role matrix'!$B$1:$D$1,0))="Fill","Ms Teh (bank), ","")IF(INDEX('MOA role matrix'!$B$2:$D$13,11,MATCH($B15,'MOA role matrix'!$B$1:$D$1,0))="If finance","Ms Teh (bank) (if finance), ","")IF(INDEX('MOA role matrix'!$B$2:$D$13,11,MATCH($B15,'MOA role matrix'!$B$1:$D$1,0))="Auto","Ms Teh (bank) (auto), ","")IF(INDEX('MOA role matrix'!$B$2:$D$13,12,MATCH($B15,'MOA role matrix'!$B$1:$D$1,0))="Fill","DLCM, ","")IF(INDEX('MOA role matrix'!$B$2:$D$13,12,MATCH($B15,'MOA role matrix'!$B$1:$D$1,0))="If finance","DLCM (if finance), ","")IF(INDEX('MOA role matrix'!$B$2:$D$13,12,MATCH($B15,'MOA role matrix'!$B$1:$D$1,0))="Auto","DLCM (auto), ","")))</f>
        <v/>
      </c>
      <c r="D15" s="5">
        <f>IF($A15="","",IFERROR(INDEX(FILTER('Client contacts'!$B$2:$B$500,('Client contacts'!$A$2:$A$500=$A15)*('Client contacts'!$H$2:$H$500="Y"),""),1),""))</f>
        <v/>
      </c>
      <c r="E15" s="5">
        <f>IF($A15="","",IFERROR(INDEX(FILTER('Client contacts'!$C$2:$C$500,('Client contacts'!$A$2:$A$500=$A15)*('Client contacts'!$H$2:$H$500="Y"),""),1),""))</f>
        <v/>
      </c>
      <c r="F15" s="5">
        <f>IF($A15="","",IFERROR(INDEX(FILTER('Client contacts'!$B$2:$B$500,('Client contacts'!$A$2:$A$500=$A15)*('Client contacts'!$G$2:$G$500="Y"),""),1),""))</f>
        <v/>
      </c>
      <c r="G15" s="5">
        <f>IF($A15="","",IFERROR(INDEX(FILTER('Client contacts'!$C$2:$C$500,('Client contacts'!$A$2:$A$500=$A15)*('Client contacts'!$G$2:$G$500="Y"),""),1),""))</f>
        <v/>
      </c>
      <c r="H15" s="5">
        <f>IF($A15="","",IFERROR(INDEX(FILTER('Client contacts'!$B$2:$B$500,('Client contacts'!$A$2:$A$500=$A15)*('Client contacts'!$G$2:$G$500="Y"),""),2),""))</f>
        <v/>
      </c>
      <c r="I15" s="5">
        <f>IF($A15="","",IFERROR(INDEX(FILTER('Client contacts'!$C$2:$C$500,('Client contacts'!$A$2:$A$500=$A15)*('Client contacts'!$G$2:$G$500="Y"),""),2),""))</f>
        <v/>
      </c>
      <c r="J15" s="8" t="n"/>
      <c r="K15" s="8" t="n"/>
      <c r="L15" s="8" t="n"/>
      <c r="M15" s="8" t="n"/>
      <c r="N15" s="8" t="n"/>
      <c r="O15" s="8" t="n"/>
      <c r="P15" s="8" t="n"/>
      <c r="Q15" s="8" t="n"/>
      <c r="R15" s="5">
        <f>IF($A15="","",IFERROR(INDEX(Companies!$I$2:$I$500,MATCH($A15,Companies!$A$2:$A$500,0)),""))</f>
        <v/>
      </c>
      <c r="S15" s="8" t="n"/>
      <c r="T15" s="8" t="n"/>
      <c r="U15" s="8" t="n"/>
      <c r="V15" s="8" t="n"/>
      <c r="W15" s="8" t="n"/>
    </row>
    <row r="16">
      <c r="C16" s="5">
        <f>IF($B16="","",TRIM(IF(INDEX('MOA role matrix'!$B$2:$D$13,1,MATCH($B16,'MOA role matrix'!$B$1:$D$1,0))="Fill","Project initiator, ","")IF(INDEX('MOA role matrix'!$B$2:$D$13,1,MATCH($B16,'MOA role matrix'!$B$1:$D$1,0))="If finance","Project initiator (if finance), ","")IF(INDEX('MOA role matrix'!$B$2:$D$13,1,MATCH($B16,'MOA role matrix'!$B$1:$D$1,0))="Auto","Project initiator (auto), ","")IF(INDEX('MOA role matrix'!$B$2:$D$13,2,MATCH($B16,'MOA role matrix'!$B$1:$D$1,0))="Fill","MOA signers (client), ","")IF(INDEX('MOA role matrix'!$B$2:$D$13,2,MATCH($B16,'MOA role matrix'!$B$1:$D$1,0))="If finance","MOA signers (client) (if finance), ","")IF(INDEX('MOA role matrix'!$B$2:$D$13,2,MATCH($B16,'MOA role matrix'!$B$1:$D$1,0))="Auto","MOA signers (client) (auto), ","")IF(INDEX('MOA role matrix'!$B$2:$D$13,3,MATCH($B16,'MOA role matrix'!$B$1:$D$1,0))="Fill","CFO / Head of Finance, ","")IF(INDEX('MOA role matrix'!$B$2:$D$13,3,MATCH($B16,'MOA role matrix'!$B$1:$D$1,0))="If finance","CFO / Head of Finance (if finance), ","")IF(INDEX('MOA role matrix'!$B$2:$D$13,3,MATCH($B16,'MOA role matrix'!$B$1:$D$1,0))="Auto","CFO / Head of Finance (auto), ","")IF(INDEX('MOA role matrix'!$B$2:$D$13,4,MATCH($B16,'MOA role matrix'!$B$1:$D$1,0))="Fill","CEO / COO / GM, ","")IF(INDEX('MOA role matrix'!$B$2:$D$13,4,MATCH($B16,'MOA role matrix'!$B$1:$D$1,0))="If finance","CEO / COO / GM (if finance), ","")IF(INDEX('MOA role matrix'!$B$2:$D$13,4,MATCH($B16,'MOA role matrix'!$B$1:$D$1,0))="Auto","CEO / COO / GM (auto), ","")IF(INDEX('MOA role matrix'!$B$2:$D$13,5,MATCH($B16,'MOA role matrix'!$B$1:$D$1,0))="Fill","Board member 1, ","")IF(INDEX('MOA role matrix'!$B$2:$D$13,5,MATCH($B16,'MOA role matrix'!$B$1:$D$1,0))="If finance","Board member 1 (if finance), ","")IF(INDEX('MOA role matrix'!$B$2:$D$13,5,MATCH($B16,'MOA role matrix'!$B$1:$D$1,0))="Auto","Board member 1 (auto), ","")IF(INDEX('MOA role matrix'!$B$2:$D$13,6,MATCH($B16,'MOA role matrix'!$B$1:$D$1,0))="Fill","Board member 2, ","")IF(INDEX('MOA role matrix'!$B$2:$D$13,6,MATCH($B16,'MOA role matrix'!$B$1:$D$1,0))="If finance","Board member 2 (if finance), ","")IF(INDEX('MOA role matrix'!$B$2:$D$13,6,MATCH($B16,'MOA role matrix'!$B$1:$D$1,0))="Auto","Board member 2 (auto), ","")IF(INDEX('MOA role matrix'!$B$2:$D$13,7,MATCH($B16,'MOA role matrix'!$B$1:$D$1,0))="Fill","LOA holder 1, ","")IF(INDEX('MOA role matrix'!$B$2:$D$13,7,MATCH($B16,'MOA role matrix'!$B$1:$D$1,0))="If finance","LOA holder 1 (if finance), ","")IF(INDEX('MOA role matrix'!$B$2:$D$13,7,MATCH($B16,'MOA role matrix'!$B$1:$D$1,0))="Auto","LOA holder 1 (auto), ","")IF(INDEX('MOA role matrix'!$B$2:$D$13,8,MATCH($B16,'MOA role matrix'!$B$1:$D$1,0))="Fill","LOA holder 2, ","")IF(INDEX('MOA role matrix'!$B$2:$D$13,8,MATCH($B16,'MOA role matrix'!$B$1:$D$1,0))="If finance","LOA holder 2 (if finance), ","")IF(INDEX('MOA role matrix'!$B$2:$D$13,8,MATCH($B16,'MOA role matrix'!$B$1:$D$1,0))="Auto","LOA holder 2 (auto), ","")IF(INDEX('MOA role matrix'!$B$2:$D$13,9,MATCH($B16,'MOA role matrix'!$B$1:$D$1,0))="Fill","Senior Manager CoSec, ","")IF(INDEX('MOA role matrix'!$B$2:$D$13,9,MATCH($B16,'MOA role matrix'!$B$1:$D$1,0))="If finance","Senior Manager CoSec (if finance), ","")IF(INDEX('MOA role matrix'!$B$2:$D$13,9,MATCH($B16,'MOA role matrix'!$B$1:$D$1,0))="Auto","Senior Manager CoSec (auto), ","")IF(INDEX('MOA role matrix'!$B$2:$D$13,10,MATCH($B16,'MOA role matrix'!$B$1:$D$1,0))="Fill","Division MOI managers, ","")IF(INDEX('MOA role matrix'!$B$2:$D$13,10,MATCH($B16,'MOA role matrix'!$B$1:$D$1,0))="If finance","Division MOI managers (if finance), ","")IF(INDEX('MOA role matrix'!$B$2:$D$13,10,MATCH($B16,'MOA role matrix'!$B$1:$D$1,0))="Auto","Division MOI managers (auto), ","")IF(INDEX('MOA role matrix'!$B$2:$D$13,11,MATCH($B16,'MOA role matrix'!$B$1:$D$1,0))="Fill","Ms Teh (bank), ","")IF(INDEX('MOA role matrix'!$B$2:$D$13,11,MATCH($B16,'MOA role matrix'!$B$1:$D$1,0))="If finance","Ms Teh (bank) (if finance), ","")IF(INDEX('MOA role matrix'!$B$2:$D$13,11,MATCH($B16,'MOA role matrix'!$B$1:$D$1,0))="Auto","Ms Teh (bank) (auto), ","")IF(INDEX('MOA role matrix'!$B$2:$D$13,12,MATCH($B16,'MOA role matrix'!$B$1:$D$1,0))="Fill","DLCM, ","")IF(INDEX('MOA role matrix'!$B$2:$D$13,12,MATCH($B16,'MOA role matrix'!$B$1:$D$1,0))="If finance","DLCM (if finance), ","")IF(INDEX('MOA role matrix'!$B$2:$D$13,12,MATCH($B16,'MOA role matrix'!$B$1:$D$1,0))="Auto","DLCM (auto), ","")))</f>
        <v/>
      </c>
      <c r="D16" s="5">
        <f>IF($A16="","",IFERROR(INDEX(FILTER('Client contacts'!$B$2:$B$500,('Client contacts'!$A$2:$A$500=$A16)*('Client contacts'!$H$2:$H$500="Y"),""),1),""))</f>
        <v/>
      </c>
      <c r="E16" s="5">
        <f>IF($A16="","",IFERROR(INDEX(FILTER('Client contacts'!$C$2:$C$500,('Client contacts'!$A$2:$A$500=$A16)*('Client contacts'!$H$2:$H$500="Y"),""),1),""))</f>
        <v/>
      </c>
      <c r="F16" s="5">
        <f>IF($A16="","",IFERROR(INDEX(FILTER('Client contacts'!$B$2:$B$500,('Client contacts'!$A$2:$A$500=$A16)*('Client contacts'!$G$2:$G$500="Y"),""),1),""))</f>
        <v/>
      </c>
      <c r="G16" s="5">
        <f>IF($A16="","",IFERROR(INDEX(FILTER('Client contacts'!$C$2:$C$500,('Client contacts'!$A$2:$A$500=$A16)*('Client contacts'!$G$2:$G$500="Y"),""),1),""))</f>
        <v/>
      </c>
      <c r="H16" s="5">
        <f>IF($A16="","",IFERROR(INDEX(FILTER('Client contacts'!$B$2:$B$500,('Client contacts'!$A$2:$A$500=$A16)*('Client contacts'!$G$2:$G$500="Y"),""),2),""))</f>
        <v/>
      </c>
      <c r="I16" s="5">
        <f>IF($A16="","",IFERROR(INDEX(FILTER('Client contacts'!$C$2:$C$500,('Client contacts'!$A$2:$A$500=$A16)*('Client contacts'!$G$2:$G$500="Y"),""),2),""))</f>
        <v/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5">
        <f>IF($A16="","",IFERROR(INDEX(Companies!$I$2:$I$500,MATCH($A16,Companies!$A$2:$A$500,0)),""))</f>
        <v/>
      </c>
      <c r="S16" s="8" t="n"/>
      <c r="T16" s="8" t="n"/>
      <c r="U16" s="8" t="n"/>
      <c r="V16" s="8" t="n"/>
      <c r="W16" s="8" t="n"/>
    </row>
    <row r="17">
      <c r="C17" s="5">
        <f>IF($B17="","",TRIM(IF(INDEX('MOA role matrix'!$B$2:$D$13,1,MATCH($B17,'MOA role matrix'!$B$1:$D$1,0))="Fill","Project initiator, ","")IF(INDEX('MOA role matrix'!$B$2:$D$13,1,MATCH($B17,'MOA role matrix'!$B$1:$D$1,0))="If finance","Project initiator (if finance), ","")IF(INDEX('MOA role matrix'!$B$2:$D$13,1,MATCH($B17,'MOA role matrix'!$B$1:$D$1,0))="Auto","Project initiator (auto), ","")IF(INDEX('MOA role matrix'!$B$2:$D$13,2,MATCH($B17,'MOA role matrix'!$B$1:$D$1,0))="Fill","MOA signers (client), ","")IF(INDEX('MOA role matrix'!$B$2:$D$13,2,MATCH($B17,'MOA role matrix'!$B$1:$D$1,0))="If finance","MOA signers (client) (if finance), ","")IF(INDEX('MOA role matrix'!$B$2:$D$13,2,MATCH($B17,'MOA role matrix'!$B$1:$D$1,0))="Auto","MOA signers (client) (auto), ","")IF(INDEX('MOA role matrix'!$B$2:$D$13,3,MATCH($B17,'MOA role matrix'!$B$1:$D$1,0))="Fill","CFO / Head of Finance, ","")IF(INDEX('MOA role matrix'!$B$2:$D$13,3,MATCH($B17,'MOA role matrix'!$B$1:$D$1,0))="If finance","CFO / Head of Finance (if finance), ","")IF(INDEX('MOA role matrix'!$B$2:$D$13,3,MATCH($B17,'MOA role matrix'!$B$1:$D$1,0))="Auto","CFO / Head of Finance (auto), ","")IF(INDEX('MOA role matrix'!$B$2:$D$13,4,MATCH($B17,'MOA role matrix'!$B$1:$D$1,0))="Fill","CEO / COO / GM, ","")IF(INDEX('MOA role matrix'!$B$2:$D$13,4,MATCH($B17,'MOA role matrix'!$B$1:$D$1,0))="If finance","CEO / COO / GM (if finance), ","")IF(INDEX('MOA role matrix'!$B$2:$D$13,4,MATCH($B17,'MOA role matrix'!$B$1:$D$1,0))="Auto","CEO / COO / GM (auto), ","")IF(INDEX('MOA role matrix'!$B$2:$D$13,5,MATCH($B17,'MOA role matrix'!$B$1:$D$1,0))="Fill","Board member 1, ","")IF(INDEX('MOA role matrix'!$B$2:$D$13,5,MATCH($B17,'MOA role matrix'!$B$1:$D$1,0))="If finance","Board member 1 (if finance), ","")IF(INDEX('MOA role matrix'!$B$2:$D$13,5,MATCH($B17,'MOA role matrix'!$B$1:$D$1,0))="Auto","Board member 1 (auto), ","")IF(INDEX('MOA role matrix'!$B$2:$D$13,6,MATCH($B17,'MOA role matrix'!$B$1:$D$1,0))="Fill","Board member 2, ","")IF(INDEX('MOA role matrix'!$B$2:$D$13,6,MATCH($B17,'MOA role matrix'!$B$1:$D$1,0))="If finance","Board member 2 (if finance), ","")IF(INDEX('MOA role matrix'!$B$2:$D$13,6,MATCH($B17,'MOA role matrix'!$B$1:$D$1,0))="Auto","Board member 2 (auto), ","")IF(INDEX('MOA role matrix'!$B$2:$D$13,7,MATCH($B17,'MOA role matrix'!$B$1:$D$1,0))="Fill","LOA holder 1, ","")IF(INDEX('MOA role matrix'!$B$2:$D$13,7,MATCH($B17,'MOA role matrix'!$B$1:$D$1,0))="If finance","LOA holder 1 (if finance), ","")IF(INDEX('MOA role matrix'!$B$2:$D$13,7,MATCH($B17,'MOA role matrix'!$B$1:$D$1,0))="Auto","LOA holder 1 (auto), ","")IF(INDEX('MOA role matrix'!$B$2:$D$13,8,MATCH($B17,'MOA role matrix'!$B$1:$D$1,0))="Fill","LOA holder 2, ","")IF(INDEX('MOA role matrix'!$B$2:$D$13,8,MATCH($B17,'MOA role matrix'!$B$1:$D$1,0))="If finance","LOA holder 2 (if finance), ","")IF(INDEX('MOA role matrix'!$B$2:$D$13,8,MATCH($B17,'MOA role matrix'!$B$1:$D$1,0))="Auto","LOA holder 2 (auto), ","")IF(INDEX('MOA role matrix'!$B$2:$D$13,9,MATCH($B17,'MOA role matrix'!$B$1:$D$1,0))="Fill","Senior Manager CoSec, ","")IF(INDEX('MOA role matrix'!$B$2:$D$13,9,MATCH($B17,'MOA role matrix'!$B$1:$D$1,0))="If finance","Senior Manager CoSec (if finance), ","")IF(INDEX('MOA role matrix'!$B$2:$D$13,9,MATCH($B17,'MOA role matrix'!$B$1:$D$1,0))="Auto","Senior Manager CoSec (auto), ","")IF(INDEX('MOA role matrix'!$B$2:$D$13,10,MATCH($B17,'MOA role matrix'!$B$1:$D$1,0))="Fill","Division MOI managers, ","")IF(INDEX('MOA role matrix'!$B$2:$D$13,10,MATCH($B17,'MOA role matrix'!$B$1:$D$1,0))="If finance","Division MOI managers (if finance), ","")IF(INDEX('MOA role matrix'!$B$2:$D$13,10,MATCH($B17,'MOA role matrix'!$B$1:$D$1,0))="Auto","Division MOI managers (auto), ","")IF(INDEX('MOA role matrix'!$B$2:$D$13,11,MATCH($B17,'MOA role matrix'!$B$1:$D$1,0))="Fill","Ms Teh (bank), ","")IF(INDEX('MOA role matrix'!$B$2:$D$13,11,MATCH($B17,'MOA role matrix'!$B$1:$D$1,0))="If finance","Ms Teh (bank) (if finance), ","")IF(INDEX('MOA role matrix'!$B$2:$D$13,11,MATCH($B17,'MOA role matrix'!$B$1:$D$1,0))="Auto","Ms Teh (bank) (auto), ","")IF(INDEX('MOA role matrix'!$B$2:$D$13,12,MATCH($B17,'MOA role matrix'!$B$1:$D$1,0))="Fill","DLCM, ","")IF(INDEX('MOA role matrix'!$B$2:$D$13,12,MATCH($B17,'MOA role matrix'!$B$1:$D$1,0))="If finance","DLCM (if finance), ","")IF(INDEX('MOA role matrix'!$B$2:$D$13,12,MATCH($B17,'MOA role matrix'!$B$1:$D$1,0))="Auto","DLCM (auto), ","")))</f>
        <v/>
      </c>
      <c r="D17" s="5">
        <f>IF($A17="","",IFERROR(INDEX(FILTER('Client contacts'!$B$2:$B$500,('Client contacts'!$A$2:$A$500=$A17)*('Client contacts'!$H$2:$H$500="Y"),""),1),""))</f>
        <v/>
      </c>
      <c r="E17" s="5">
        <f>IF($A17="","",IFERROR(INDEX(FILTER('Client contacts'!$C$2:$C$500,('Client contacts'!$A$2:$A$500=$A17)*('Client contacts'!$H$2:$H$500="Y"),""),1),""))</f>
        <v/>
      </c>
      <c r="F17" s="5">
        <f>IF($A17="","",IFERROR(INDEX(FILTER('Client contacts'!$B$2:$B$500,('Client contacts'!$A$2:$A$500=$A17)*('Client contacts'!$G$2:$G$500="Y"),""),1),""))</f>
        <v/>
      </c>
      <c r="G17" s="5">
        <f>IF($A17="","",IFERROR(INDEX(FILTER('Client contacts'!$C$2:$C$500,('Client contacts'!$A$2:$A$500=$A17)*('Client contacts'!$G$2:$G$500="Y"),""),1),""))</f>
        <v/>
      </c>
      <c r="H17" s="5">
        <f>IF($A17="","",IFERROR(INDEX(FILTER('Client contacts'!$B$2:$B$500,('Client contacts'!$A$2:$A$500=$A17)*('Client contacts'!$G$2:$G$500="Y"),""),2),""))</f>
        <v/>
      </c>
      <c r="I17" s="5">
        <f>IF($A17="","",IFERROR(INDEX(FILTER('Client contacts'!$C$2:$C$500,('Client contacts'!$A$2:$A$500=$A17)*('Client contacts'!$G$2:$G$500="Y"),""),2),""))</f>
        <v/>
      </c>
      <c r="J17" s="8" t="n"/>
      <c r="K17" s="8" t="n"/>
      <c r="L17" s="8" t="n"/>
      <c r="M17" s="8" t="n"/>
      <c r="N17" s="8" t="n"/>
      <c r="O17" s="8" t="n"/>
      <c r="P17" s="8" t="n"/>
      <c r="Q17" s="8" t="n"/>
      <c r="R17" s="5">
        <f>IF($A17="","",IFERROR(INDEX(Companies!$I$2:$I$500,MATCH($A17,Companies!$A$2:$A$500,0)),""))</f>
        <v/>
      </c>
      <c r="S17" s="8" t="n"/>
      <c r="T17" s="8" t="n"/>
      <c r="U17" s="8" t="n"/>
      <c r="V17" s="8" t="n"/>
      <c r="W17" s="8" t="n"/>
    </row>
    <row r="18">
      <c r="C18" s="5">
        <f>IF($B18="","",TRIM(IF(INDEX('MOA role matrix'!$B$2:$D$13,1,MATCH($B18,'MOA role matrix'!$B$1:$D$1,0))="Fill","Project initiator, ","")IF(INDEX('MOA role matrix'!$B$2:$D$13,1,MATCH($B18,'MOA role matrix'!$B$1:$D$1,0))="If finance","Project initiator (if finance), ","")IF(INDEX('MOA role matrix'!$B$2:$D$13,1,MATCH($B18,'MOA role matrix'!$B$1:$D$1,0))="Auto","Project initiator (auto), ","")IF(INDEX('MOA role matrix'!$B$2:$D$13,2,MATCH($B18,'MOA role matrix'!$B$1:$D$1,0))="Fill","MOA signers (client), ","")IF(INDEX('MOA role matrix'!$B$2:$D$13,2,MATCH($B18,'MOA role matrix'!$B$1:$D$1,0))="If finance","MOA signers (client) (if finance), ","")IF(INDEX('MOA role matrix'!$B$2:$D$13,2,MATCH($B18,'MOA role matrix'!$B$1:$D$1,0))="Auto","MOA signers (client) (auto), ","")IF(INDEX('MOA role matrix'!$B$2:$D$13,3,MATCH($B18,'MOA role matrix'!$B$1:$D$1,0))="Fill","CFO / Head of Finance, ","")IF(INDEX('MOA role matrix'!$B$2:$D$13,3,MATCH($B18,'MOA role matrix'!$B$1:$D$1,0))="If finance","CFO / Head of Finance (if finance), ","")IF(INDEX('MOA role matrix'!$B$2:$D$13,3,MATCH($B18,'MOA role matrix'!$B$1:$D$1,0))="Auto","CFO / Head of Finance (auto), ","")IF(INDEX('MOA role matrix'!$B$2:$D$13,4,MATCH($B18,'MOA role matrix'!$B$1:$D$1,0))="Fill","CEO / COO / GM, ","")IF(INDEX('MOA role matrix'!$B$2:$D$13,4,MATCH($B18,'MOA role matrix'!$B$1:$D$1,0))="If finance","CEO / COO / GM (if finance), ","")IF(INDEX('MOA role matrix'!$B$2:$D$13,4,MATCH($B18,'MOA role matrix'!$B$1:$D$1,0))="Auto","CEO / COO / GM (auto), ","")IF(INDEX('MOA role matrix'!$B$2:$D$13,5,MATCH($B18,'MOA role matrix'!$B$1:$D$1,0))="Fill","Board member 1, ","")IF(INDEX('MOA role matrix'!$B$2:$D$13,5,MATCH($B18,'MOA role matrix'!$B$1:$D$1,0))="If finance","Board member 1 (if finance), ","")IF(INDEX('MOA role matrix'!$B$2:$D$13,5,MATCH($B18,'MOA role matrix'!$B$1:$D$1,0))="Auto","Board member 1 (auto), ","")IF(INDEX('MOA role matrix'!$B$2:$D$13,6,MATCH($B18,'MOA role matrix'!$B$1:$D$1,0))="Fill","Board member 2, ","")IF(INDEX('MOA role matrix'!$B$2:$D$13,6,MATCH($B18,'MOA role matrix'!$B$1:$D$1,0))="If finance","Board member 2 (if finance), ","")IF(INDEX('MOA role matrix'!$B$2:$D$13,6,MATCH($B18,'MOA role matrix'!$B$1:$D$1,0))="Auto","Board member 2 (auto), ","")IF(INDEX('MOA role matrix'!$B$2:$D$13,7,MATCH($B18,'MOA role matrix'!$B$1:$D$1,0))="Fill","LOA holder 1, ","")IF(INDEX('MOA role matrix'!$B$2:$D$13,7,MATCH($B18,'MOA role matrix'!$B$1:$D$1,0))="If finance","LOA holder 1 (if finance), ","")IF(INDEX('MOA role matrix'!$B$2:$D$13,7,MATCH($B18,'MOA role matrix'!$B$1:$D$1,0))="Auto","LOA holder 1 (auto), ","")IF(INDEX('MOA role matrix'!$B$2:$D$13,8,MATCH($B18,'MOA role matrix'!$B$1:$D$1,0))="Fill","LOA holder 2, ","")IF(INDEX('MOA role matrix'!$B$2:$D$13,8,MATCH($B18,'MOA role matrix'!$B$1:$D$1,0))="If finance","LOA holder 2 (if finance), ","")IF(INDEX('MOA role matrix'!$B$2:$D$13,8,MATCH($B18,'MOA role matrix'!$B$1:$D$1,0))="Auto","LOA holder 2 (auto), ","")IF(INDEX('MOA role matrix'!$B$2:$D$13,9,MATCH($B18,'MOA role matrix'!$B$1:$D$1,0))="Fill","Senior Manager CoSec, ","")IF(INDEX('MOA role matrix'!$B$2:$D$13,9,MATCH($B18,'MOA role matrix'!$B$1:$D$1,0))="If finance","Senior Manager CoSec (if finance), ","")IF(INDEX('MOA role matrix'!$B$2:$D$13,9,MATCH($B18,'MOA role matrix'!$B$1:$D$1,0))="Auto","Senior Manager CoSec (auto), ","")IF(INDEX('MOA role matrix'!$B$2:$D$13,10,MATCH($B18,'MOA role matrix'!$B$1:$D$1,0))="Fill","Division MOI managers, ","")IF(INDEX('MOA role matrix'!$B$2:$D$13,10,MATCH($B18,'MOA role matrix'!$B$1:$D$1,0))="If finance","Division MOI managers (if finance), ","")IF(INDEX('MOA role matrix'!$B$2:$D$13,10,MATCH($B18,'MOA role matrix'!$B$1:$D$1,0))="Auto","Division MOI managers (auto), ","")IF(INDEX('MOA role matrix'!$B$2:$D$13,11,MATCH($B18,'MOA role matrix'!$B$1:$D$1,0))="Fill","Ms Teh (bank), ","")IF(INDEX('MOA role matrix'!$B$2:$D$13,11,MATCH($B18,'MOA role matrix'!$B$1:$D$1,0))="If finance","Ms Teh (bank) (if finance), ","")IF(INDEX('MOA role matrix'!$B$2:$D$13,11,MATCH($B18,'MOA role matrix'!$B$1:$D$1,0))="Auto","Ms Teh (bank) (auto), ","")IF(INDEX('MOA role matrix'!$B$2:$D$13,12,MATCH($B18,'MOA role matrix'!$B$1:$D$1,0))="Fill","DLCM, ","")IF(INDEX('MOA role matrix'!$B$2:$D$13,12,MATCH($B18,'MOA role matrix'!$B$1:$D$1,0))="If finance","DLCM (if finance), ","")IF(INDEX('MOA role matrix'!$B$2:$D$13,12,MATCH($B18,'MOA role matrix'!$B$1:$D$1,0))="Auto","DLCM (auto), ","")))</f>
        <v/>
      </c>
      <c r="D18" s="5">
        <f>IF($A18="","",IFERROR(INDEX(FILTER('Client contacts'!$B$2:$B$500,('Client contacts'!$A$2:$A$500=$A18)*('Client contacts'!$H$2:$H$500="Y"),""),1),""))</f>
        <v/>
      </c>
      <c r="E18" s="5">
        <f>IF($A18="","",IFERROR(INDEX(FILTER('Client contacts'!$C$2:$C$500,('Client contacts'!$A$2:$A$500=$A18)*('Client contacts'!$H$2:$H$500="Y"),""),1),""))</f>
        <v/>
      </c>
      <c r="F18" s="5">
        <f>IF($A18="","",IFERROR(INDEX(FILTER('Client contacts'!$B$2:$B$500,('Client contacts'!$A$2:$A$500=$A18)*('Client contacts'!$G$2:$G$500="Y"),""),1),""))</f>
        <v/>
      </c>
      <c r="G18" s="5">
        <f>IF($A18="","",IFERROR(INDEX(FILTER('Client contacts'!$C$2:$C$500,('Client contacts'!$A$2:$A$500=$A18)*('Client contacts'!$G$2:$G$500="Y"),""),1),""))</f>
        <v/>
      </c>
      <c r="H18" s="5">
        <f>IF($A18="","",IFERROR(INDEX(FILTER('Client contacts'!$B$2:$B$500,('Client contacts'!$A$2:$A$500=$A18)*('Client contacts'!$G$2:$G$500="Y"),""),2),""))</f>
        <v/>
      </c>
      <c r="I18" s="5">
        <f>IF($A18="","",IFERROR(INDEX(FILTER('Client contacts'!$C$2:$C$500,('Client contacts'!$A$2:$A$500=$A18)*('Client contacts'!$G$2:$G$500="Y"),""),2),""))</f>
        <v/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5">
        <f>IF($A18="","",IFERROR(INDEX(Companies!$I$2:$I$500,MATCH($A18,Companies!$A$2:$A$500,0)),""))</f>
        <v/>
      </c>
      <c r="S18" s="8" t="n"/>
      <c r="T18" s="8" t="n"/>
      <c r="U18" s="8" t="n"/>
      <c r="V18" s="8" t="n"/>
      <c r="W18" s="8" t="n"/>
    </row>
    <row r="19">
      <c r="C19" s="5">
        <f>IF($B19="","",TRIM(IF(INDEX('MOA role matrix'!$B$2:$D$13,1,MATCH($B19,'MOA role matrix'!$B$1:$D$1,0))="Fill","Project initiator, ","")IF(INDEX('MOA role matrix'!$B$2:$D$13,1,MATCH($B19,'MOA role matrix'!$B$1:$D$1,0))="If finance","Project initiator (if finance), ","")IF(INDEX('MOA role matrix'!$B$2:$D$13,1,MATCH($B19,'MOA role matrix'!$B$1:$D$1,0))="Auto","Project initiator (auto), ","")IF(INDEX('MOA role matrix'!$B$2:$D$13,2,MATCH($B19,'MOA role matrix'!$B$1:$D$1,0))="Fill","MOA signers (client), ","")IF(INDEX('MOA role matrix'!$B$2:$D$13,2,MATCH($B19,'MOA role matrix'!$B$1:$D$1,0))="If finance","MOA signers (client) (if finance), ","")IF(INDEX('MOA role matrix'!$B$2:$D$13,2,MATCH($B19,'MOA role matrix'!$B$1:$D$1,0))="Auto","MOA signers (client) (auto), ","")IF(INDEX('MOA role matrix'!$B$2:$D$13,3,MATCH($B19,'MOA role matrix'!$B$1:$D$1,0))="Fill","CFO / Head of Finance, ","")IF(INDEX('MOA role matrix'!$B$2:$D$13,3,MATCH($B19,'MOA role matrix'!$B$1:$D$1,0))="If finance","CFO / Head of Finance (if finance), ","")IF(INDEX('MOA role matrix'!$B$2:$D$13,3,MATCH($B19,'MOA role matrix'!$B$1:$D$1,0))="Auto","CFO / Head of Finance (auto), ","")IF(INDEX('MOA role matrix'!$B$2:$D$13,4,MATCH($B19,'MOA role matrix'!$B$1:$D$1,0))="Fill","CEO / COO / GM, ","")IF(INDEX('MOA role matrix'!$B$2:$D$13,4,MATCH($B19,'MOA role matrix'!$B$1:$D$1,0))="If finance","CEO / COO / GM (if finance), ","")IF(INDEX('MOA role matrix'!$B$2:$D$13,4,MATCH($B19,'MOA role matrix'!$B$1:$D$1,0))="Auto","CEO / COO / GM (auto), ","")IF(INDEX('MOA role matrix'!$B$2:$D$13,5,MATCH($B19,'MOA role matrix'!$B$1:$D$1,0))="Fill","Board member 1, ","")IF(INDEX('MOA role matrix'!$B$2:$D$13,5,MATCH($B19,'MOA role matrix'!$B$1:$D$1,0))="If finance","Board member 1 (if finance), ","")IF(INDEX('MOA role matrix'!$B$2:$D$13,5,MATCH($B19,'MOA role matrix'!$B$1:$D$1,0))="Auto","Board member 1 (auto), ","")IF(INDEX('MOA role matrix'!$B$2:$D$13,6,MATCH($B19,'MOA role matrix'!$B$1:$D$1,0))="Fill","Board member 2, ","")IF(INDEX('MOA role matrix'!$B$2:$D$13,6,MATCH($B19,'MOA role matrix'!$B$1:$D$1,0))="If finance","Board member 2 (if finance), ","")IF(INDEX('MOA role matrix'!$B$2:$D$13,6,MATCH($B19,'MOA role matrix'!$B$1:$D$1,0))="Auto","Board member 2 (auto), ","")IF(INDEX('MOA role matrix'!$B$2:$D$13,7,MATCH($B19,'MOA role matrix'!$B$1:$D$1,0))="Fill","LOA holder 1, ","")IF(INDEX('MOA role matrix'!$B$2:$D$13,7,MATCH($B19,'MOA role matrix'!$B$1:$D$1,0))="If finance","LOA holder 1 (if finance), ","")IF(INDEX('MOA role matrix'!$B$2:$D$13,7,MATCH($B19,'MOA role matrix'!$B$1:$D$1,0))="Auto","LOA holder 1 (auto), ","")IF(INDEX('MOA role matrix'!$B$2:$D$13,8,MATCH($B19,'MOA role matrix'!$B$1:$D$1,0))="Fill","LOA holder 2, ","")IF(INDEX('MOA role matrix'!$B$2:$D$13,8,MATCH($B19,'MOA role matrix'!$B$1:$D$1,0))="If finance","LOA holder 2 (if finance), ","")IF(INDEX('MOA role matrix'!$B$2:$D$13,8,MATCH($B19,'MOA role matrix'!$B$1:$D$1,0))="Auto","LOA holder 2 (auto), ","")IF(INDEX('MOA role matrix'!$B$2:$D$13,9,MATCH($B19,'MOA role matrix'!$B$1:$D$1,0))="Fill","Senior Manager CoSec, ","")IF(INDEX('MOA role matrix'!$B$2:$D$13,9,MATCH($B19,'MOA role matrix'!$B$1:$D$1,0))="If finance","Senior Manager CoSec (if finance), ","")IF(INDEX('MOA role matrix'!$B$2:$D$13,9,MATCH($B19,'MOA role matrix'!$B$1:$D$1,0))="Auto","Senior Manager CoSec (auto), ","")IF(INDEX('MOA role matrix'!$B$2:$D$13,10,MATCH($B19,'MOA role matrix'!$B$1:$D$1,0))="Fill","Division MOI managers, ","")IF(INDEX('MOA role matrix'!$B$2:$D$13,10,MATCH($B19,'MOA role matrix'!$B$1:$D$1,0))="If finance","Division MOI managers (if finance), ","")IF(INDEX('MOA role matrix'!$B$2:$D$13,10,MATCH($B19,'MOA role matrix'!$B$1:$D$1,0))="Auto","Division MOI managers (auto), ","")IF(INDEX('MOA role matrix'!$B$2:$D$13,11,MATCH($B19,'MOA role matrix'!$B$1:$D$1,0))="Fill","Ms Teh (bank), ","")IF(INDEX('MOA role matrix'!$B$2:$D$13,11,MATCH($B19,'MOA role matrix'!$B$1:$D$1,0))="If finance","Ms Teh (bank) (if finance), ","")IF(INDEX('MOA role matrix'!$B$2:$D$13,11,MATCH($B19,'MOA role matrix'!$B$1:$D$1,0))="Auto","Ms Teh (bank) (auto), ","")IF(INDEX('MOA role matrix'!$B$2:$D$13,12,MATCH($B19,'MOA role matrix'!$B$1:$D$1,0))="Fill","DLCM, ","")IF(INDEX('MOA role matrix'!$B$2:$D$13,12,MATCH($B19,'MOA role matrix'!$B$1:$D$1,0))="If finance","DLCM (if finance), ","")IF(INDEX('MOA role matrix'!$B$2:$D$13,12,MATCH($B19,'MOA role matrix'!$B$1:$D$1,0))="Auto","DLCM (auto), ","")))</f>
        <v/>
      </c>
      <c r="D19" s="5">
        <f>IF($A19="","",IFERROR(INDEX(FILTER('Client contacts'!$B$2:$B$500,('Client contacts'!$A$2:$A$500=$A19)*('Client contacts'!$H$2:$H$500="Y"),""),1),""))</f>
        <v/>
      </c>
      <c r="E19" s="5">
        <f>IF($A19="","",IFERROR(INDEX(FILTER('Client contacts'!$C$2:$C$500,('Client contacts'!$A$2:$A$500=$A19)*('Client contacts'!$H$2:$H$500="Y"),""),1),""))</f>
        <v/>
      </c>
      <c r="F19" s="5">
        <f>IF($A19="","",IFERROR(INDEX(FILTER('Client contacts'!$B$2:$B$500,('Client contacts'!$A$2:$A$500=$A19)*('Client contacts'!$G$2:$G$500="Y"),""),1),""))</f>
        <v/>
      </c>
      <c r="G19" s="5">
        <f>IF($A19="","",IFERROR(INDEX(FILTER('Client contacts'!$C$2:$C$500,('Client contacts'!$A$2:$A$500=$A19)*('Client contacts'!$G$2:$G$500="Y"),""),1),""))</f>
        <v/>
      </c>
      <c r="H19" s="5">
        <f>IF($A19="","",IFERROR(INDEX(FILTER('Client contacts'!$B$2:$B$500,('Client contacts'!$A$2:$A$500=$A19)*('Client contacts'!$G$2:$G$500="Y"),""),2),""))</f>
        <v/>
      </c>
      <c r="I19" s="5">
        <f>IF($A19="","",IFERROR(INDEX(FILTER('Client contacts'!$C$2:$C$500,('Client contacts'!$A$2:$A$500=$A19)*('Client contacts'!$G$2:$G$500="Y"),""),2),""))</f>
        <v/>
      </c>
      <c r="J19" s="8" t="n"/>
      <c r="K19" s="8" t="n"/>
      <c r="L19" s="8" t="n"/>
      <c r="M19" s="8" t="n"/>
      <c r="N19" s="8" t="n"/>
      <c r="O19" s="8" t="n"/>
      <c r="P19" s="8" t="n"/>
      <c r="Q19" s="8" t="n"/>
      <c r="R19" s="5">
        <f>IF($A19="","",IFERROR(INDEX(Companies!$I$2:$I$500,MATCH($A19,Companies!$A$2:$A$500,0)),""))</f>
        <v/>
      </c>
      <c r="S19" s="8" t="n"/>
      <c r="T19" s="8" t="n"/>
      <c r="U19" s="8" t="n"/>
      <c r="V19" s="8" t="n"/>
      <c r="W19" s="8" t="n"/>
    </row>
    <row r="20">
      <c r="C20" s="5">
        <f>IF($B20="","",TRIM(IF(INDEX('MOA role matrix'!$B$2:$D$13,1,MATCH($B20,'MOA role matrix'!$B$1:$D$1,0))="Fill","Project initiator, ","")IF(INDEX('MOA role matrix'!$B$2:$D$13,1,MATCH($B20,'MOA role matrix'!$B$1:$D$1,0))="If finance","Project initiator (if finance), ","")IF(INDEX('MOA role matrix'!$B$2:$D$13,1,MATCH($B20,'MOA role matrix'!$B$1:$D$1,0))="Auto","Project initiator (auto), ","")IF(INDEX('MOA role matrix'!$B$2:$D$13,2,MATCH($B20,'MOA role matrix'!$B$1:$D$1,0))="Fill","MOA signers (client), ","")IF(INDEX('MOA role matrix'!$B$2:$D$13,2,MATCH($B20,'MOA role matrix'!$B$1:$D$1,0))="If finance","MOA signers (client) (if finance), ","")IF(INDEX('MOA role matrix'!$B$2:$D$13,2,MATCH($B20,'MOA role matrix'!$B$1:$D$1,0))="Auto","MOA signers (client) (auto), ","")IF(INDEX('MOA role matrix'!$B$2:$D$13,3,MATCH($B20,'MOA role matrix'!$B$1:$D$1,0))="Fill","CFO / Head of Finance, ","")IF(INDEX('MOA role matrix'!$B$2:$D$13,3,MATCH($B20,'MOA role matrix'!$B$1:$D$1,0))="If finance","CFO / Head of Finance (if finance), ","")IF(INDEX('MOA role matrix'!$B$2:$D$13,3,MATCH($B20,'MOA role matrix'!$B$1:$D$1,0))="Auto","CFO / Head of Finance (auto), ","")IF(INDEX('MOA role matrix'!$B$2:$D$13,4,MATCH($B20,'MOA role matrix'!$B$1:$D$1,0))="Fill","CEO / COO / GM, ","")IF(INDEX('MOA role matrix'!$B$2:$D$13,4,MATCH($B20,'MOA role matrix'!$B$1:$D$1,0))="If finance","CEO / COO / GM (if finance), ","")IF(INDEX('MOA role matrix'!$B$2:$D$13,4,MATCH($B20,'MOA role matrix'!$B$1:$D$1,0))="Auto","CEO / COO / GM (auto), ","")IF(INDEX('MOA role matrix'!$B$2:$D$13,5,MATCH($B20,'MOA role matrix'!$B$1:$D$1,0))="Fill","Board member 1, ","")IF(INDEX('MOA role matrix'!$B$2:$D$13,5,MATCH($B20,'MOA role matrix'!$B$1:$D$1,0))="If finance","Board member 1 (if finance), ","")IF(INDEX('MOA role matrix'!$B$2:$D$13,5,MATCH($B20,'MOA role matrix'!$B$1:$D$1,0))="Auto","Board member 1 (auto), ","")IF(INDEX('MOA role matrix'!$B$2:$D$13,6,MATCH($B20,'MOA role matrix'!$B$1:$D$1,0))="Fill","Board member 2, ","")IF(INDEX('MOA role matrix'!$B$2:$D$13,6,MATCH($B20,'MOA role matrix'!$B$1:$D$1,0))="If finance","Board member 2 (if finance), ","")IF(INDEX('MOA role matrix'!$B$2:$D$13,6,MATCH($B20,'MOA role matrix'!$B$1:$D$1,0))="Auto","Board member 2 (auto), ","")IF(INDEX('MOA role matrix'!$B$2:$D$13,7,MATCH($B20,'MOA role matrix'!$B$1:$D$1,0))="Fill","LOA holder 1, ","")IF(INDEX('MOA role matrix'!$B$2:$D$13,7,MATCH($B20,'MOA role matrix'!$B$1:$D$1,0))="If finance","LOA holder 1 (if finance), ","")IF(INDEX('MOA role matrix'!$B$2:$D$13,7,MATCH($B20,'MOA role matrix'!$B$1:$D$1,0))="Auto","LOA holder 1 (auto), ","")IF(INDEX('MOA role matrix'!$B$2:$D$13,8,MATCH($B20,'MOA role matrix'!$B$1:$D$1,0))="Fill","LOA holder 2, ","")IF(INDEX('MOA role matrix'!$B$2:$D$13,8,MATCH($B20,'MOA role matrix'!$B$1:$D$1,0))="If finance","LOA holder 2 (if finance), ","")IF(INDEX('MOA role matrix'!$B$2:$D$13,8,MATCH($B20,'MOA role matrix'!$B$1:$D$1,0))="Auto","LOA holder 2 (auto), ","")IF(INDEX('MOA role matrix'!$B$2:$D$13,9,MATCH($B20,'MOA role matrix'!$B$1:$D$1,0))="Fill","Senior Manager CoSec, ","")IF(INDEX('MOA role matrix'!$B$2:$D$13,9,MATCH($B20,'MOA role matrix'!$B$1:$D$1,0))="If finance","Senior Manager CoSec (if finance), ","")IF(INDEX('MOA role matrix'!$B$2:$D$13,9,MATCH($B20,'MOA role matrix'!$B$1:$D$1,0))="Auto","Senior Manager CoSec (auto), ","")IF(INDEX('MOA role matrix'!$B$2:$D$13,10,MATCH($B20,'MOA role matrix'!$B$1:$D$1,0))="Fill","Division MOI managers, ","")IF(INDEX('MOA role matrix'!$B$2:$D$13,10,MATCH($B20,'MOA role matrix'!$B$1:$D$1,0))="If finance","Division MOI managers (if finance), ","")IF(INDEX('MOA role matrix'!$B$2:$D$13,10,MATCH($B20,'MOA role matrix'!$B$1:$D$1,0))="Auto","Division MOI managers (auto), ","")IF(INDEX('MOA role matrix'!$B$2:$D$13,11,MATCH($B20,'MOA role matrix'!$B$1:$D$1,0))="Fill","Ms Teh (bank), ","")IF(INDEX('MOA role matrix'!$B$2:$D$13,11,MATCH($B20,'MOA role matrix'!$B$1:$D$1,0))="If finance","Ms Teh (bank) (if finance), ","")IF(INDEX('MOA role matrix'!$B$2:$D$13,11,MATCH($B20,'MOA role matrix'!$B$1:$D$1,0))="Auto","Ms Teh (bank) (auto), ","")IF(INDEX('MOA role matrix'!$B$2:$D$13,12,MATCH($B20,'MOA role matrix'!$B$1:$D$1,0))="Fill","DLCM, ","")IF(INDEX('MOA role matrix'!$B$2:$D$13,12,MATCH($B20,'MOA role matrix'!$B$1:$D$1,0))="If finance","DLCM (if finance), ","")IF(INDEX('MOA role matrix'!$B$2:$D$13,12,MATCH($B20,'MOA role matrix'!$B$1:$D$1,0))="Auto","DLCM (auto), ","")))</f>
        <v/>
      </c>
      <c r="D20" s="5">
        <f>IF($A20="","",IFERROR(INDEX(FILTER('Client contacts'!$B$2:$B$500,('Client contacts'!$A$2:$A$500=$A20)*('Client contacts'!$H$2:$H$500="Y"),""),1),""))</f>
        <v/>
      </c>
      <c r="E20" s="5">
        <f>IF($A20="","",IFERROR(INDEX(FILTER('Client contacts'!$C$2:$C$500,('Client contacts'!$A$2:$A$500=$A20)*('Client contacts'!$H$2:$H$500="Y"),""),1),""))</f>
        <v/>
      </c>
      <c r="F20" s="5">
        <f>IF($A20="","",IFERROR(INDEX(FILTER('Client contacts'!$B$2:$B$500,('Client contacts'!$A$2:$A$500=$A20)*('Client contacts'!$G$2:$G$500="Y"),""),1),""))</f>
        <v/>
      </c>
      <c r="G20" s="5">
        <f>IF($A20="","",IFERROR(INDEX(FILTER('Client contacts'!$C$2:$C$500,('Client contacts'!$A$2:$A$500=$A20)*('Client contacts'!$G$2:$G$500="Y"),""),1),""))</f>
        <v/>
      </c>
      <c r="H20" s="5">
        <f>IF($A20="","",IFERROR(INDEX(FILTER('Client contacts'!$B$2:$B$500,('Client contacts'!$A$2:$A$500=$A20)*('Client contacts'!$G$2:$G$500="Y"),""),2),""))</f>
        <v/>
      </c>
      <c r="I20" s="5">
        <f>IF($A20="","",IFERROR(INDEX(FILTER('Client contacts'!$C$2:$C$500,('Client contacts'!$A$2:$A$500=$A20)*('Client contacts'!$G$2:$G$500="Y"),""),2),""))</f>
        <v/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5">
        <f>IF($A20="","",IFERROR(INDEX(Companies!$I$2:$I$500,MATCH($A20,Companies!$A$2:$A$500,0)),""))</f>
        <v/>
      </c>
      <c r="S20" s="8" t="n"/>
      <c r="T20" s="8" t="n"/>
      <c r="U20" s="8" t="n"/>
      <c r="V20" s="8" t="n"/>
      <c r="W20" s="8" t="n"/>
    </row>
    <row r="21">
      <c r="C21" s="5">
        <f>IF($B21="","",TRIM(IF(INDEX('MOA role matrix'!$B$2:$D$13,1,MATCH($B21,'MOA role matrix'!$B$1:$D$1,0))="Fill","Project initiator, ","")IF(INDEX('MOA role matrix'!$B$2:$D$13,1,MATCH($B21,'MOA role matrix'!$B$1:$D$1,0))="If finance","Project initiator (if finance), ","")IF(INDEX('MOA role matrix'!$B$2:$D$13,1,MATCH($B21,'MOA role matrix'!$B$1:$D$1,0))="Auto","Project initiator (auto), ","")IF(INDEX('MOA role matrix'!$B$2:$D$13,2,MATCH($B21,'MOA role matrix'!$B$1:$D$1,0))="Fill","MOA signers (client), ","")IF(INDEX('MOA role matrix'!$B$2:$D$13,2,MATCH($B21,'MOA role matrix'!$B$1:$D$1,0))="If finance","MOA signers (client) (if finance), ","")IF(INDEX('MOA role matrix'!$B$2:$D$13,2,MATCH($B21,'MOA role matrix'!$B$1:$D$1,0))="Auto","MOA signers (client) (auto), ","")IF(INDEX('MOA role matrix'!$B$2:$D$13,3,MATCH($B21,'MOA role matrix'!$B$1:$D$1,0))="Fill","CFO / Head of Finance, ","")IF(INDEX('MOA role matrix'!$B$2:$D$13,3,MATCH($B21,'MOA role matrix'!$B$1:$D$1,0))="If finance","CFO / Head of Finance (if finance), ","")IF(INDEX('MOA role matrix'!$B$2:$D$13,3,MATCH($B21,'MOA role matrix'!$B$1:$D$1,0))="Auto","CFO / Head of Finance (auto), ","")IF(INDEX('MOA role matrix'!$B$2:$D$13,4,MATCH($B21,'MOA role matrix'!$B$1:$D$1,0))="Fill","CEO / COO / GM, ","")IF(INDEX('MOA role matrix'!$B$2:$D$13,4,MATCH($B21,'MOA role matrix'!$B$1:$D$1,0))="If finance","CEO / COO / GM (if finance), ","")IF(INDEX('MOA role matrix'!$B$2:$D$13,4,MATCH($B21,'MOA role matrix'!$B$1:$D$1,0))="Auto","CEO / COO / GM (auto), ","")IF(INDEX('MOA role matrix'!$B$2:$D$13,5,MATCH($B21,'MOA role matrix'!$B$1:$D$1,0))="Fill","Board member 1, ","")IF(INDEX('MOA role matrix'!$B$2:$D$13,5,MATCH($B21,'MOA role matrix'!$B$1:$D$1,0))="If finance","Board member 1 (if finance), ","")IF(INDEX('MOA role matrix'!$B$2:$D$13,5,MATCH($B21,'MOA role matrix'!$B$1:$D$1,0))="Auto","Board member 1 (auto), ","")IF(INDEX('MOA role matrix'!$B$2:$D$13,6,MATCH($B21,'MOA role matrix'!$B$1:$D$1,0))="Fill","Board member 2, ","")IF(INDEX('MOA role matrix'!$B$2:$D$13,6,MATCH($B21,'MOA role matrix'!$B$1:$D$1,0))="If finance","Board member 2 (if finance), ","")IF(INDEX('MOA role matrix'!$B$2:$D$13,6,MATCH($B21,'MOA role matrix'!$B$1:$D$1,0))="Auto","Board member 2 (auto), ","")IF(INDEX('MOA role matrix'!$B$2:$D$13,7,MATCH($B21,'MOA role matrix'!$B$1:$D$1,0))="Fill","LOA holder 1, ","")IF(INDEX('MOA role matrix'!$B$2:$D$13,7,MATCH($B21,'MOA role matrix'!$B$1:$D$1,0))="If finance","LOA holder 1 (if finance), ","")IF(INDEX('MOA role matrix'!$B$2:$D$13,7,MATCH($B21,'MOA role matrix'!$B$1:$D$1,0))="Auto","LOA holder 1 (auto), ","")IF(INDEX('MOA role matrix'!$B$2:$D$13,8,MATCH($B21,'MOA role matrix'!$B$1:$D$1,0))="Fill","LOA holder 2, ","")IF(INDEX('MOA role matrix'!$B$2:$D$13,8,MATCH($B21,'MOA role matrix'!$B$1:$D$1,0))="If finance","LOA holder 2 (if finance), ","")IF(INDEX('MOA role matrix'!$B$2:$D$13,8,MATCH($B21,'MOA role matrix'!$B$1:$D$1,0))="Auto","LOA holder 2 (auto), ","")IF(INDEX('MOA role matrix'!$B$2:$D$13,9,MATCH($B21,'MOA role matrix'!$B$1:$D$1,0))="Fill","Senior Manager CoSec, ","")IF(INDEX('MOA role matrix'!$B$2:$D$13,9,MATCH($B21,'MOA role matrix'!$B$1:$D$1,0))="If finance","Senior Manager CoSec (if finance), ","")IF(INDEX('MOA role matrix'!$B$2:$D$13,9,MATCH($B21,'MOA role matrix'!$B$1:$D$1,0))="Auto","Senior Manager CoSec (auto), ","")IF(INDEX('MOA role matrix'!$B$2:$D$13,10,MATCH($B21,'MOA role matrix'!$B$1:$D$1,0))="Fill","Division MOI managers, ","")IF(INDEX('MOA role matrix'!$B$2:$D$13,10,MATCH($B21,'MOA role matrix'!$B$1:$D$1,0))="If finance","Division MOI managers (if finance), ","")IF(INDEX('MOA role matrix'!$B$2:$D$13,10,MATCH($B21,'MOA role matrix'!$B$1:$D$1,0))="Auto","Division MOI managers (auto), ","")IF(INDEX('MOA role matrix'!$B$2:$D$13,11,MATCH($B21,'MOA role matrix'!$B$1:$D$1,0))="Fill","Ms Teh (bank), ","")IF(INDEX('MOA role matrix'!$B$2:$D$13,11,MATCH($B21,'MOA role matrix'!$B$1:$D$1,0))="If finance","Ms Teh (bank) (if finance), ","")IF(INDEX('MOA role matrix'!$B$2:$D$13,11,MATCH($B21,'MOA role matrix'!$B$1:$D$1,0))="Auto","Ms Teh (bank) (auto), ","")IF(INDEX('MOA role matrix'!$B$2:$D$13,12,MATCH($B21,'MOA role matrix'!$B$1:$D$1,0))="Fill","DLCM, ","")IF(INDEX('MOA role matrix'!$B$2:$D$13,12,MATCH($B21,'MOA role matrix'!$B$1:$D$1,0))="If finance","DLCM (if finance), ","")IF(INDEX('MOA role matrix'!$B$2:$D$13,12,MATCH($B21,'MOA role matrix'!$B$1:$D$1,0))="Auto","DLCM (auto), ","")))</f>
        <v/>
      </c>
      <c r="D21" s="5">
        <f>IF($A21="","",IFERROR(INDEX(FILTER('Client contacts'!$B$2:$B$500,('Client contacts'!$A$2:$A$500=$A21)*('Client contacts'!$H$2:$H$500="Y"),""),1),""))</f>
        <v/>
      </c>
      <c r="E21" s="5">
        <f>IF($A21="","",IFERROR(INDEX(FILTER('Client contacts'!$C$2:$C$500,('Client contacts'!$A$2:$A$500=$A21)*('Client contacts'!$H$2:$H$500="Y"),""),1),""))</f>
        <v/>
      </c>
      <c r="F21" s="5">
        <f>IF($A21="","",IFERROR(INDEX(FILTER('Client contacts'!$B$2:$B$500,('Client contacts'!$A$2:$A$500=$A21)*('Client contacts'!$G$2:$G$500="Y"),""),1),""))</f>
        <v/>
      </c>
      <c r="G21" s="5">
        <f>IF($A21="","",IFERROR(INDEX(FILTER('Client contacts'!$C$2:$C$500,('Client contacts'!$A$2:$A$500=$A21)*('Client contacts'!$G$2:$G$500="Y"),""),1),""))</f>
        <v/>
      </c>
      <c r="H21" s="5">
        <f>IF($A21="","",IFERROR(INDEX(FILTER('Client contacts'!$B$2:$B$500,('Client contacts'!$A$2:$A$500=$A21)*('Client contacts'!$G$2:$G$500="Y"),""),2),""))</f>
        <v/>
      </c>
      <c r="I21" s="5">
        <f>IF($A21="","",IFERROR(INDEX(FILTER('Client contacts'!$C$2:$C$500,('Client contacts'!$A$2:$A$500=$A21)*('Client contacts'!$G$2:$G$500="Y"),""),2),""))</f>
        <v/>
      </c>
      <c r="J21" s="8" t="n"/>
      <c r="K21" s="8" t="n"/>
      <c r="L21" s="8" t="n"/>
      <c r="M21" s="8" t="n"/>
      <c r="N21" s="8" t="n"/>
      <c r="O21" s="8" t="n"/>
      <c r="P21" s="8" t="n"/>
      <c r="Q21" s="8" t="n"/>
      <c r="R21" s="5">
        <f>IF($A21="","",IFERROR(INDEX(Companies!$I$2:$I$500,MATCH($A21,Companies!$A$2:$A$500,0)),""))</f>
        <v/>
      </c>
      <c r="S21" s="8" t="n"/>
      <c r="T21" s="8" t="n"/>
      <c r="U21" s="8" t="n"/>
      <c r="V21" s="8" t="n"/>
      <c r="W21" s="8" t="n"/>
    </row>
    <row r="22">
      <c r="C22" s="5">
        <f>IF($B22="","",TRIM(IF(INDEX('MOA role matrix'!$B$2:$D$13,1,MATCH($B22,'MOA role matrix'!$B$1:$D$1,0))="Fill","Project initiator, ","")IF(INDEX('MOA role matrix'!$B$2:$D$13,1,MATCH($B22,'MOA role matrix'!$B$1:$D$1,0))="If finance","Project initiator (if finance), ","")IF(INDEX('MOA role matrix'!$B$2:$D$13,1,MATCH($B22,'MOA role matrix'!$B$1:$D$1,0))="Auto","Project initiator (auto), ","")IF(INDEX('MOA role matrix'!$B$2:$D$13,2,MATCH($B22,'MOA role matrix'!$B$1:$D$1,0))="Fill","MOA signers (client), ","")IF(INDEX('MOA role matrix'!$B$2:$D$13,2,MATCH($B22,'MOA role matrix'!$B$1:$D$1,0))="If finance","MOA signers (client) (if finance), ","")IF(INDEX('MOA role matrix'!$B$2:$D$13,2,MATCH($B22,'MOA role matrix'!$B$1:$D$1,0))="Auto","MOA signers (client) (auto), ","")IF(INDEX('MOA role matrix'!$B$2:$D$13,3,MATCH($B22,'MOA role matrix'!$B$1:$D$1,0))="Fill","CFO / Head of Finance, ","")IF(INDEX('MOA role matrix'!$B$2:$D$13,3,MATCH($B22,'MOA role matrix'!$B$1:$D$1,0))="If finance","CFO / Head of Finance (if finance), ","")IF(INDEX('MOA role matrix'!$B$2:$D$13,3,MATCH($B22,'MOA role matrix'!$B$1:$D$1,0))="Auto","CFO / Head of Finance (auto), ","")IF(INDEX('MOA role matrix'!$B$2:$D$13,4,MATCH($B22,'MOA role matrix'!$B$1:$D$1,0))="Fill","CEO / COO / GM, ","")IF(INDEX('MOA role matrix'!$B$2:$D$13,4,MATCH($B22,'MOA role matrix'!$B$1:$D$1,0))="If finance","CEO / COO / GM (if finance), ","")IF(INDEX('MOA role matrix'!$B$2:$D$13,4,MATCH($B22,'MOA role matrix'!$B$1:$D$1,0))="Auto","CEO / COO / GM (auto), ","")IF(INDEX('MOA role matrix'!$B$2:$D$13,5,MATCH($B22,'MOA role matrix'!$B$1:$D$1,0))="Fill","Board member 1, ","")IF(INDEX('MOA role matrix'!$B$2:$D$13,5,MATCH($B22,'MOA role matrix'!$B$1:$D$1,0))="If finance","Board member 1 (if finance), ","")IF(INDEX('MOA role matrix'!$B$2:$D$13,5,MATCH($B22,'MOA role matrix'!$B$1:$D$1,0))="Auto","Board member 1 (auto), ","")IF(INDEX('MOA role matrix'!$B$2:$D$13,6,MATCH($B22,'MOA role matrix'!$B$1:$D$1,0))="Fill","Board member 2, ","")IF(INDEX('MOA role matrix'!$B$2:$D$13,6,MATCH($B22,'MOA role matrix'!$B$1:$D$1,0))="If finance","Board member 2 (if finance), ","")IF(INDEX('MOA role matrix'!$B$2:$D$13,6,MATCH($B22,'MOA role matrix'!$B$1:$D$1,0))="Auto","Board member 2 (auto), ","")IF(INDEX('MOA role matrix'!$B$2:$D$13,7,MATCH($B22,'MOA role matrix'!$B$1:$D$1,0))="Fill","LOA holder 1, ","")IF(INDEX('MOA role matrix'!$B$2:$D$13,7,MATCH($B22,'MOA role matrix'!$B$1:$D$1,0))="If finance","LOA holder 1 (if finance), ","")IF(INDEX('MOA role matrix'!$B$2:$D$13,7,MATCH($B22,'MOA role matrix'!$B$1:$D$1,0))="Auto","LOA holder 1 (auto), ","")IF(INDEX('MOA role matrix'!$B$2:$D$13,8,MATCH($B22,'MOA role matrix'!$B$1:$D$1,0))="Fill","LOA holder 2, ","")IF(INDEX('MOA role matrix'!$B$2:$D$13,8,MATCH($B22,'MOA role matrix'!$B$1:$D$1,0))="If finance","LOA holder 2 (if finance), ","")IF(INDEX('MOA role matrix'!$B$2:$D$13,8,MATCH($B22,'MOA role matrix'!$B$1:$D$1,0))="Auto","LOA holder 2 (auto), ","")IF(INDEX('MOA role matrix'!$B$2:$D$13,9,MATCH($B22,'MOA role matrix'!$B$1:$D$1,0))="Fill","Senior Manager CoSec, ","")IF(INDEX('MOA role matrix'!$B$2:$D$13,9,MATCH($B22,'MOA role matrix'!$B$1:$D$1,0))="If finance","Senior Manager CoSec (if finance), ","")IF(INDEX('MOA role matrix'!$B$2:$D$13,9,MATCH($B22,'MOA role matrix'!$B$1:$D$1,0))="Auto","Senior Manager CoSec (auto), ","")IF(INDEX('MOA role matrix'!$B$2:$D$13,10,MATCH($B22,'MOA role matrix'!$B$1:$D$1,0))="Fill","Division MOI managers, ","")IF(INDEX('MOA role matrix'!$B$2:$D$13,10,MATCH($B22,'MOA role matrix'!$B$1:$D$1,0))="If finance","Division MOI managers (if finance), ","")IF(INDEX('MOA role matrix'!$B$2:$D$13,10,MATCH($B22,'MOA role matrix'!$B$1:$D$1,0))="Auto","Division MOI managers (auto), ","")IF(INDEX('MOA role matrix'!$B$2:$D$13,11,MATCH($B22,'MOA role matrix'!$B$1:$D$1,0))="Fill","Ms Teh (bank), ","")IF(INDEX('MOA role matrix'!$B$2:$D$13,11,MATCH($B22,'MOA role matrix'!$B$1:$D$1,0))="If finance","Ms Teh (bank) (if finance), ","")IF(INDEX('MOA role matrix'!$B$2:$D$13,11,MATCH($B22,'MOA role matrix'!$B$1:$D$1,0))="Auto","Ms Teh (bank) (auto), ","")IF(INDEX('MOA role matrix'!$B$2:$D$13,12,MATCH($B22,'MOA role matrix'!$B$1:$D$1,0))="Fill","DLCM, ","")IF(INDEX('MOA role matrix'!$B$2:$D$13,12,MATCH($B22,'MOA role matrix'!$B$1:$D$1,0))="If finance","DLCM (if finance), ","")IF(INDEX('MOA role matrix'!$B$2:$D$13,12,MATCH($B22,'MOA role matrix'!$B$1:$D$1,0))="Auto","DLCM (auto), ","")))</f>
        <v/>
      </c>
      <c r="D22" s="5">
        <f>IF($A22="","",IFERROR(INDEX(FILTER('Client contacts'!$B$2:$B$500,('Client contacts'!$A$2:$A$500=$A22)*('Client contacts'!$H$2:$H$500="Y"),""),1),""))</f>
        <v/>
      </c>
      <c r="E22" s="5">
        <f>IF($A22="","",IFERROR(INDEX(FILTER('Client contacts'!$C$2:$C$500,('Client contacts'!$A$2:$A$500=$A22)*('Client contacts'!$H$2:$H$500="Y"),""),1),""))</f>
        <v/>
      </c>
      <c r="F22" s="5">
        <f>IF($A22="","",IFERROR(INDEX(FILTER('Client contacts'!$B$2:$B$500,('Client contacts'!$A$2:$A$500=$A22)*('Client contacts'!$G$2:$G$500="Y"),""),1),""))</f>
        <v/>
      </c>
      <c r="G22" s="5">
        <f>IF($A22="","",IFERROR(INDEX(FILTER('Client contacts'!$C$2:$C$500,('Client contacts'!$A$2:$A$500=$A22)*('Client contacts'!$G$2:$G$500="Y"),""),1),""))</f>
        <v/>
      </c>
      <c r="H22" s="5">
        <f>IF($A22="","",IFERROR(INDEX(FILTER('Client contacts'!$B$2:$B$500,('Client contacts'!$A$2:$A$500=$A22)*('Client contacts'!$G$2:$G$500="Y"),""),2),""))</f>
        <v/>
      </c>
      <c r="I22" s="5">
        <f>IF($A22="","",IFERROR(INDEX(FILTER('Client contacts'!$C$2:$C$500,('Client contacts'!$A$2:$A$500=$A22)*('Client contacts'!$G$2:$G$500="Y"),""),2),""))</f>
        <v/>
      </c>
      <c r="J22" s="8" t="n"/>
      <c r="K22" s="8" t="n"/>
      <c r="L22" s="8" t="n"/>
      <c r="M22" s="8" t="n"/>
      <c r="N22" s="8" t="n"/>
      <c r="O22" s="8" t="n"/>
      <c r="P22" s="8" t="n"/>
      <c r="Q22" s="8" t="n"/>
      <c r="R22" s="5">
        <f>IF($A22="","",IFERROR(INDEX(Companies!$I$2:$I$500,MATCH($A22,Companies!$A$2:$A$500,0)),""))</f>
        <v/>
      </c>
      <c r="S22" s="8" t="n"/>
      <c r="T22" s="8" t="n"/>
      <c r="U22" s="8" t="n"/>
      <c r="V22" s="8" t="n"/>
      <c r="W22" s="8" t="n"/>
    </row>
    <row r="23">
      <c r="C23" s="5">
        <f>IF($B23="","",TRIM(IF(INDEX('MOA role matrix'!$B$2:$D$13,1,MATCH($B23,'MOA role matrix'!$B$1:$D$1,0))="Fill","Project initiator, ","")IF(INDEX('MOA role matrix'!$B$2:$D$13,1,MATCH($B23,'MOA role matrix'!$B$1:$D$1,0))="If finance","Project initiator (if finance), ","")IF(INDEX('MOA role matrix'!$B$2:$D$13,1,MATCH($B23,'MOA role matrix'!$B$1:$D$1,0))="Auto","Project initiator (auto), ","")IF(INDEX('MOA role matrix'!$B$2:$D$13,2,MATCH($B23,'MOA role matrix'!$B$1:$D$1,0))="Fill","MOA signers (client), ","")IF(INDEX('MOA role matrix'!$B$2:$D$13,2,MATCH($B23,'MOA role matrix'!$B$1:$D$1,0))="If finance","MOA signers (client) (if finance), ","")IF(INDEX('MOA role matrix'!$B$2:$D$13,2,MATCH($B23,'MOA role matrix'!$B$1:$D$1,0))="Auto","MOA signers (client) (auto), ","")IF(INDEX('MOA role matrix'!$B$2:$D$13,3,MATCH($B23,'MOA role matrix'!$B$1:$D$1,0))="Fill","CFO / Head of Finance, ","")IF(INDEX('MOA role matrix'!$B$2:$D$13,3,MATCH($B23,'MOA role matrix'!$B$1:$D$1,0))="If finance","CFO / Head of Finance (if finance), ","")IF(INDEX('MOA role matrix'!$B$2:$D$13,3,MATCH($B23,'MOA role matrix'!$B$1:$D$1,0))="Auto","CFO / Head of Finance (auto), ","")IF(INDEX('MOA role matrix'!$B$2:$D$13,4,MATCH($B23,'MOA role matrix'!$B$1:$D$1,0))="Fill","CEO / COO / GM, ","")IF(INDEX('MOA role matrix'!$B$2:$D$13,4,MATCH($B23,'MOA role matrix'!$B$1:$D$1,0))="If finance","CEO / COO / GM (if finance), ","")IF(INDEX('MOA role matrix'!$B$2:$D$13,4,MATCH($B23,'MOA role matrix'!$B$1:$D$1,0))="Auto","CEO / COO / GM (auto), ","")IF(INDEX('MOA role matrix'!$B$2:$D$13,5,MATCH($B23,'MOA role matrix'!$B$1:$D$1,0))="Fill","Board member 1, ","")IF(INDEX('MOA role matrix'!$B$2:$D$13,5,MATCH($B23,'MOA role matrix'!$B$1:$D$1,0))="If finance","Board member 1 (if finance), ","")IF(INDEX('MOA role matrix'!$B$2:$D$13,5,MATCH($B23,'MOA role matrix'!$B$1:$D$1,0))="Auto","Board member 1 (auto), ","")IF(INDEX('MOA role matrix'!$B$2:$D$13,6,MATCH($B23,'MOA role matrix'!$B$1:$D$1,0))="Fill","Board member 2, ","")IF(INDEX('MOA role matrix'!$B$2:$D$13,6,MATCH($B23,'MOA role matrix'!$B$1:$D$1,0))="If finance","Board member 2 (if finance), ","")IF(INDEX('MOA role matrix'!$B$2:$D$13,6,MATCH($B23,'MOA role matrix'!$B$1:$D$1,0))="Auto","Board member 2 (auto), ","")IF(INDEX('MOA role matrix'!$B$2:$D$13,7,MATCH($B23,'MOA role matrix'!$B$1:$D$1,0))="Fill","LOA holder 1, ","")IF(INDEX('MOA role matrix'!$B$2:$D$13,7,MATCH($B23,'MOA role matrix'!$B$1:$D$1,0))="If finance","LOA holder 1 (if finance), ","")IF(INDEX('MOA role matrix'!$B$2:$D$13,7,MATCH($B23,'MOA role matrix'!$B$1:$D$1,0))="Auto","LOA holder 1 (auto), ","")IF(INDEX('MOA role matrix'!$B$2:$D$13,8,MATCH($B23,'MOA role matrix'!$B$1:$D$1,0))="Fill","LOA holder 2, ","")IF(INDEX('MOA role matrix'!$B$2:$D$13,8,MATCH($B23,'MOA role matrix'!$B$1:$D$1,0))="If finance","LOA holder 2 (if finance), ","")IF(INDEX('MOA role matrix'!$B$2:$D$13,8,MATCH($B23,'MOA role matrix'!$B$1:$D$1,0))="Auto","LOA holder 2 (auto), ","")IF(INDEX('MOA role matrix'!$B$2:$D$13,9,MATCH($B23,'MOA role matrix'!$B$1:$D$1,0))="Fill","Senior Manager CoSec, ","")IF(INDEX('MOA role matrix'!$B$2:$D$13,9,MATCH($B23,'MOA role matrix'!$B$1:$D$1,0))="If finance","Senior Manager CoSec (if finance), ","")IF(INDEX('MOA role matrix'!$B$2:$D$13,9,MATCH($B23,'MOA role matrix'!$B$1:$D$1,0))="Auto","Senior Manager CoSec (auto), ","")IF(INDEX('MOA role matrix'!$B$2:$D$13,10,MATCH($B23,'MOA role matrix'!$B$1:$D$1,0))="Fill","Division MOI managers, ","")IF(INDEX('MOA role matrix'!$B$2:$D$13,10,MATCH($B23,'MOA role matrix'!$B$1:$D$1,0))="If finance","Division MOI managers (if finance), ","")IF(INDEX('MOA role matrix'!$B$2:$D$13,10,MATCH($B23,'MOA role matrix'!$B$1:$D$1,0))="Auto","Division MOI managers (auto), ","")IF(INDEX('MOA role matrix'!$B$2:$D$13,11,MATCH($B23,'MOA role matrix'!$B$1:$D$1,0))="Fill","Ms Teh (bank), ","")IF(INDEX('MOA role matrix'!$B$2:$D$13,11,MATCH($B23,'MOA role matrix'!$B$1:$D$1,0))="If finance","Ms Teh (bank) (if finance), ","")IF(INDEX('MOA role matrix'!$B$2:$D$13,11,MATCH($B23,'MOA role matrix'!$B$1:$D$1,0))="Auto","Ms Teh (bank) (auto), ","")IF(INDEX('MOA role matrix'!$B$2:$D$13,12,MATCH($B23,'MOA role matrix'!$B$1:$D$1,0))="Fill","DLCM, ","")IF(INDEX('MOA role matrix'!$B$2:$D$13,12,MATCH($B23,'MOA role matrix'!$B$1:$D$1,0))="If finance","DLCM (if finance), ","")IF(INDEX('MOA role matrix'!$B$2:$D$13,12,MATCH($B23,'MOA role matrix'!$B$1:$D$1,0))="Auto","DLCM (auto), ","")))</f>
        <v/>
      </c>
      <c r="D23" s="5">
        <f>IF($A23="","",IFERROR(INDEX(FILTER('Client contacts'!$B$2:$B$500,('Client contacts'!$A$2:$A$500=$A23)*('Client contacts'!$H$2:$H$500="Y"),""),1),""))</f>
        <v/>
      </c>
      <c r="E23" s="5">
        <f>IF($A23="","",IFERROR(INDEX(FILTER('Client contacts'!$C$2:$C$500,('Client contacts'!$A$2:$A$500=$A23)*('Client contacts'!$H$2:$H$500="Y"),""),1),""))</f>
        <v/>
      </c>
      <c r="F23" s="5">
        <f>IF($A23="","",IFERROR(INDEX(FILTER('Client contacts'!$B$2:$B$500,('Client contacts'!$A$2:$A$500=$A23)*('Client contacts'!$G$2:$G$500="Y"),""),1),""))</f>
        <v/>
      </c>
      <c r="G23" s="5">
        <f>IF($A23="","",IFERROR(INDEX(FILTER('Client contacts'!$C$2:$C$500,('Client contacts'!$A$2:$A$500=$A23)*('Client contacts'!$G$2:$G$500="Y"),""),1),""))</f>
        <v/>
      </c>
      <c r="H23" s="5">
        <f>IF($A23="","",IFERROR(INDEX(FILTER('Client contacts'!$B$2:$B$500,('Client contacts'!$A$2:$A$500=$A23)*('Client contacts'!$G$2:$G$500="Y"),""),2),""))</f>
        <v/>
      </c>
      <c r="I23" s="5">
        <f>IF($A23="","",IFERROR(INDEX(FILTER('Client contacts'!$C$2:$C$500,('Client contacts'!$A$2:$A$500=$A23)*('Client contacts'!$G$2:$G$500="Y"),""),2),""))</f>
        <v/>
      </c>
      <c r="J23" s="8" t="n"/>
      <c r="K23" s="8" t="n"/>
      <c r="L23" s="8" t="n"/>
      <c r="M23" s="8" t="n"/>
      <c r="N23" s="8" t="n"/>
      <c r="O23" s="8" t="n"/>
      <c r="P23" s="8" t="n"/>
      <c r="Q23" s="8" t="n"/>
      <c r="R23" s="5">
        <f>IF($A23="","",IFERROR(INDEX(Companies!$I$2:$I$500,MATCH($A23,Companies!$A$2:$A$500,0)),""))</f>
        <v/>
      </c>
      <c r="S23" s="8" t="n"/>
      <c r="T23" s="8" t="n"/>
      <c r="U23" s="8" t="n"/>
      <c r="V23" s="8" t="n"/>
      <c r="W23" s="8" t="n"/>
    </row>
    <row r="24">
      <c r="C24" s="5">
        <f>IF($B24="","",TRIM(IF(INDEX('MOA role matrix'!$B$2:$D$13,1,MATCH($B24,'MOA role matrix'!$B$1:$D$1,0))="Fill","Project initiator, ","")IF(INDEX('MOA role matrix'!$B$2:$D$13,1,MATCH($B24,'MOA role matrix'!$B$1:$D$1,0))="If finance","Project initiator (if finance), ","")IF(INDEX('MOA role matrix'!$B$2:$D$13,1,MATCH($B24,'MOA role matrix'!$B$1:$D$1,0))="Auto","Project initiator (auto), ","")IF(INDEX('MOA role matrix'!$B$2:$D$13,2,MATCH($B24,'MOA role matrix'!$B$1:$D$1,0))="Fill","MOA signers (client), ","")IF(INDEX('MOA role matrix'!$B$2:$D$13,2,MATCH($B24,'MOA role matrix'!$B$1:$D$1,0))="If finance","MOA signers (client) (if finance), ","")IF(INDEX('MOA role matrix'!$B$2:$D$13,2,MATCH($B24,'MOA role matrix'!$B$1:$D$1,0))="Auto","MOA signers (client) (auto), ","")IF(INDEX('MOA role matrix'!$B$2:$D$13,3,MATCH($B24,'MOA role matrix'!$B$1:$D$1,0))="Fill","CFO / Head of Finance, ","")IF(INDEX('MOA role matrix'!$B$2:$D$13,3,MATCH($B24,'MOA role matrix'!$B$1:$D$1,0))="If finance","CFO / Head of Finance (if finance), ","")IF(INDEX('MOA role matrix'!$B$2:$D$13,3,MATCH($B24,'MOA role matrix'!$B$1:$D$1,0))="Auto","CFO / Head of Finance (auto), ","")IF(INDEX('MOA role matrix'!$B$2:$D$13,4,MATCH($B24,'MOA role matrix'!$B$1:$D$1,0))="Fill","CEO / COO / GM, ","")IF(INDEX('MOA role matrix'!$B$2:$D$13,4,MATCH($B24,'MOA role matrix'!$B$1:$D$1,0))="If finance","CEO / COO / GM (if finance), ","")IF(INDEX('MOA role matrix'!$B$2:$D$13,4,MATCH($B24,'MOA role matrix'!$B$1:$D$1,0))="Auto","CEO / COO / GM (auto), ","")IF(INDEX('MOA role matrix'!$B$2:$D$13,5,MATCH($B24,'MOA role matrix'!$B$1:$D$1,0))="Fill","Board member 1, ","")IF(INDEX('MOA role matrix'!$B$2:$D$13,5,MATCH($B24,'MOA role matrix'!$B$1:$D$1,0))="If finance","Board member 1 (if finance), ","")IF(INDEX('MOA role matrix'!$B$2:$D$13,5,MATCH($B24,'MOA role matrix'!$B$1:$D$1,0))="Auto","Board member 1 (auto), ","")IF(INDEX('MOA role matrix'!$B$2:$D$13,6,MATCH($B24,'MOA role matrix'!$B$1:$D$1,0))="Fill","Board member 2, ","")IF(INDEX('MOA role matrix'!$B$2:$D$13,6,MATCH($B24,'MOA role matrix'!$B$1:$D$1,0))="If finance","Board member 2 (if finance), ","")IF(INDEX('MOA role matrix'!$B$2:$D$13,6,MATCH($B24,'MOA role matrix'!$B$1:$D$1,0))="Auto","Board member 2 (auto), ","")IF(INDEX('MOA role matrix'!$B$2:$D$13,7,MATCH($B24,'MOA role matrix'!$B$1:$D$1,0))="Fill","LOA holder 1, ","")IF(INDEX('MOA role matrix'!$B$2:$D$13,7,MATCH($B24,'MOA role matrix'!$B$1:$D$1,0))="If finance","LOA holder 1 (if finance), ","")IF(INDEX('MOA role matrix'!$B$2:$D$13,7,MATCH($B24,'MOA role matrix'!$B$1:$D$1,0))="Auto","LOA holder 1 (auto), ","")IF(INDEX('MOA role matrix'!$B$2:$D$13,8,MATCH($B24,'MOA role matrix'!$B$1:$D$1,0))="Fill","LOA holder 2, ","")IF(INDEX('MOA role matrix'!$B$2:$D$13,8,MATCH($B24,'MOA role matrix'!$B$1:$D$1,0))="If finance","LOA holder 2 (if finance), ","")IF(INDEX('MOA role matrix'!$B$2:$D$13,8,MATCH($B24,'MOA role matrix'!$B$1:$D$1,0))="Auto","LOA holder 2 (auto), ","")IF(INDEX('MOA role matrix'!$B$2:$D$13,9,MATCH($B24,'MOA role matrix'!$B$1:$D$1,0))="Fill","Senior Manager CoSec, ","")IF(INDEX('MOA role matrix'!$B$2:$D$13,9,MATCH($B24,'MOA role matrix'!$B$1:$D$1,0))="If finance","Senior Manager CoSec (if finance), ","")IF(INDEX('MOA role matrix'!$B$2:$D$13,9,MATCH($B24,'MOA role matrix'!$B$1:$D$1,0))="Auto","Senior Manager CoSec (auto), ","")IF(INDEX('MOA role matrix'!$B$2:$D$13,10,MATCH($B24,'MOA role matrix'!$B$1:$D$1,0))="Fill","Division MOI managers, ","")IF(INDEX('MOA role matrix'!$B$2:$D$13,10,MATCH($B24,'MOA role matrix'!$B$1:$D$1,0))="If finance","Division MOI managers (if finance), ","")IF(INDEX('MOA role matrix'!$B$2:$D$13,10,MATCH($B24,'MOA role matrix'!$B$1:$D$1,0))="Auto","Division MOI managers (auto), ","")IF(INDEX('MOA role matrix'!$B$2:$D$13,11,MATCH($B24,'MOA role matrix'!$B$1:$D$1,0))="Fill","Ms Teh (bank), ","")IF(INDEX('MOA role matrix'!$B$2:$D$13,11,MATCH($B24,'MOA role matrix'!$B$1:$D$1,0))="If finance","Ms Teh (bank) (if finance), ","")IF(INDEX('MOA role matrix'!$B$2:$D$13,11,MATCH($B24,'MOA role matrix'!$B$1:$D$1,0))="Auto","Ms Teh (bank) (auto), ","")IF(INDEX('MOA role matrix'!$B$2:$D$13,12,MATCH($B24,'MOA role matrix'!$B$1:$D$1,0))="Fill","DLCM, ","")IF(INDEX('MOA role matrix'!$B$2:$D$13,12,MATCH($B24,'MOA role matrix'!$B$1:$D$1,0))="If finance","DLCM (if finance), ","")IF(INDEX('MOA role matrix'!$B$2:$D$13,12,MATCH($B24,'MOA role matrix'!$B$1:$D$1,0))="Auto","DLCM (auto), ","")))</f>
        <v/>
      </c>
      <c r="D24" s="5">
        <f>IF($A24="","",IFERROR(INDEX(FILTER('Client contacts'!$B$2:$B$500,('Client contacts'!$A$2:$A$500=$A24)*('Client contacts'!$H$2:$H$500="Y"),""),1),""))</f>
        <v/>
      </c>
      <c r="E24" s="5">
        <f>IF($A24="","",IFERROR(INDEX(FILTER('Client contacts'!$C$2:$C$500,('Client contacts'!$A$2:$A$500=$A24)*('Client contacts'!$H$2:$H$500="Y"),""),1),""))</f>
        <v/>
      </c>
      <c r="F24" s="5">
        <f>IF($A24="","",IFERROR(INDEX(FILTER('Client contacts'!$B$2:$B$500,('Client contacts'!$A$2:$A$500=$A24)*('Client contacts'!$G$2:$G$500="Y"),""),1),""))</f>
        <v/>
      </c>
      <c r="G24" s="5">
        <f>IF($A24="","",IFERROR(INDEX(FILTER('Client contacts'!$C$2:$C$500,('Client contacts'!$A$2:$A$500=$A24)*('Client contacts'!$G$2:$G$500="Y"),""),1),""))</f>
        <v/>
      </c>
      <c r="H24" s="5">
        <f>IF($A24="","",IFERROR(INDEX(FILTER('Client contacts'!$B$2:$B$500,('Client contacts'!$A$2:$A$500=$A24)*('Client contacts'!$G$2:$G$500="Y"),""),2),""))</f>
        <v/>
      </c>
      <c r="I24" s="5">
        <f>IF($A24="","",IFERROR(INDEX(FILTER('Client contacts'!$C$2:$C$500,('Client contacts'!$A$2:$A$500=$A24)*('Client contacts'!$G$2:$G$500="Y"),""),2),""))</f>
        <v/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5">
        <f>IF($A24="","",IFERROR(INDEX(Companies!$I$2:$I$500,MATCH($A24,Companies!$A$2:$A$500,0)),""))</f>
        <v/>
      </c>
      <c r="S24" s="8" t="n"/>
      <c r="T24" s="8" t="n"/>
      <c r="U24" s="8" t="n"/>
      <c r="V24" s="8" t="n"/>
      <c r="W24" s="8" t="n"/>
    </row>
    <row r="25">
      <c r="C25" s="5">
        <f>IF($B25="","",TRIM(IF(INDEX('MOA role matrix'!$B$2:$D$13,1,MATCH($B25,'MOA role matrix'!$B$1:$D$1,0))="Fill","Project initiator, ","")IF(INDEX('MOA role matrix'!$B$2:$D$13,1,MATCH($B25,'MOA role matrix'!$B$1:$D$1,0))="If finance","Project initiator (if finance), ","")IF(INDEX('MOA role matrix'!$B$2:$D$13,1,MATCH($B25,'MOA role matrix'!$B$1:$D$1,0))="Auto","Project initiator (auto), ","")IF(INDEX('MOA role matrix'!$B$2:$D$13,2,MATCH($B25,'MOA role matrix'!$B$1:$D$1,0))="Fill","MOA signers (client), ","")IF(INDEX('MOA role matrix'!$B$2:$D$13,2,MATCH($B25,'MOA role matrix'!$B$1:$D$1,0))="If finance","MOA signers (client) (if finance), ","")IF(INDEX('MOA role matrix'!$B$2:$D$13,2,MATCH($B25,'MOA role matrix'!$B$1:$D$1,0))="Auto","MOA signers (client) (auto), ","")IF(INDEX('MOA role matrix'!$B$2:$D$13,3,MATCH($B25,'MOA role matrix'!$B$1:$D$1,0))="Fill","CFO / Head of Finance, ","")IF(INDEX('MOA role matrix'!$B$2:$D$13,3,MATCH($B25,'MOA role matrix'!$B$1:$D$1,0))="If finance","CFO / Head of Finance (if finance), ","")IF(INDEX('MOA role matrix'!$B$2:$D$13,3,MATCH($B25,'MOA role matrix'!$B$1:$D$1,0))="Auto","CFO / Head of Finance (auto), ","")IF(INDEX('MOA role matrix'!$B$2:$D$13,4,MATCH($B25,'MOA role matrix'!$B$1:$D$1,0))="Fill","CEO / COO / GM, ","")IF(INDEX('MOA role matrix'!$B$2:$D$13,4,MATCH($B25,'MOA role matrix'!$B$1:$D$1,0))="If finance","CEO / COO / GM (if finance), ","")IF(INDEX('MOA role matrix'!$B$2:$D$13,4,MATCH($B25,'MOA role matrix'!$B$1:$D$1,0))="Auto","CEO / COO / GM (auto), ","")IF(INDEX('MOA role matrix'!$B$2:$D$13,5,MATCH($B25,'MOA role matrix'!$B$1:$D$1,0))="Fill","Board member 1, ","")IF(INDEX('MOA role matrix'!$B$2:$D$13,5,MATCH($B25,'MOA role matrix'!$B$1:$D$1,0))="If finance","Board member 1 (if finance), ","")IF(INDEX('MOA role matrix'!$B$2:$D$13,5,MATCH($B25,'MOA role matrix'!$B$1:$D$1,0))="Auto","Board member 1 (auto), ","")IF(INDEX('MOA role matrix'!$B$2:$D$13,6,MATCH($B25,'MOA role matrix'!$B$1:$D$1,0))="Fill","Board member 2, ","")IF(INDEX('MOA role matrix'!$B$2:$D$13,6,MATCH($B25,'MOA role matrix'!$B$1:$D$1,0))="If finance","Board member 2 (if finance), ","")IF(INDEX('MOA role matrix'!$B$2:$D$13,6,MATCH($B25,'MOA role matrix'!$B$1:$D$1,0))="Auto","Board member 2 (auto), ","")IF(INDEX('MOA role matrix'!$B$2:$D$13,7,MATCH($B25,'MOA role matrix'!$B$1:$D$1,0))="Fill","LOA holder 1, ","")IF(INDEX('MOA role matrix'!$B$2:$D$13,7,MATCH($B25,'MOA role matrix'!$B$1:$D$1,0))="If finance","LOA holder 1 (if finance), ","")IF(INDEX('MOA role matrix'!$B$2:$D$13,7,MATCH($B25,'MOA role matrix'!$B$1:$D$1,0))="Auto","LOA holder 1 (auto), ","")IF(INDEX('MOA role matrix'!$B$2:$D$13,8,MATCH($B25,'MOA role matrix'!$B$1:$D$1,0))="Fill","LOA holder 2, ","")IF(INDEX('MOA role matrix'!$B$2:$D$13,8,MATCH($B25,'MOA role matrix'!$B$1:$D$1,0))="If finance","LOA holder 2 (if finance), ","")IF(INDEX('MOA role matrix'!$B$2:$D$13,8,MATCH($B25,'MOA role matrix'!$B$1:$D$1,0))="Auto","LOA holder 2 (auto), ","")IF(INDEX('MOA role matrix'!$B$2:$D$13,9,MATCH($B25,'MOA role matrix'!$B$1:$D$1,0))="Fill","Senior Manager CoSec, ","")IF(INDEX('MOA role matrix'!$B$2:$D$13,9,MATCH($B25,'MOA role matrix'!$B$1:$D$1,0))="If finance","Senior Manager CoSec (if finance), ","")IF(INDEX('MOA role matrix'!$B$2:$D$13,9,MATCH($B25,'MOA role matrix'!$B$1:$D$1,0))="Auto","Senior Manager CoSec (auto), ","")IF(INDEX('MOA role matrix'!$B$2:$D$13,10,MATCH($B25,'MOA role matrix'!$B$1:$D$1,0))="Fill","Division MOI managers, ","")IF(INDEX('MOA role matrix'!$B$2:$D$13,10,MATCH($B25,'MOA role matrix'!$B$1:$D$1,0))="If finance","Division MOI managers (if finance), ","")IF(INDEX('MOA role matrix'!$B$2:$D$13,10,MATCH($B25,'MOA role matrix'!$B$1:$D$1,0))="Auto","Division MOI managers (auto), ","")IF(INDEX('MOA role matrix'!$B$2:$D$13,11,MATCH($B25,'MOA role matrix'!$B$1:$D$1,0))="Fill","Ms Teh (bank), ","")IF(INDEX('MOA role matrix'!$B$2:$D$13,11,MATCH($B25,'MOA role matrix'!$B$1:$D$1,0))="If finance","Ms Teh (bank) (if finance), ","")IF(INDEX('MOA role matrix'!$B$2:$D$13,11,MATCH($B25,'MOA role matrix'!$B$1:$D$1,0))="Auto","Ms Teh (bank) (auto), ","")IF(INDEX('MOA role matrix'!$B$2:$D$13,12,MATCH($B25,'MOA role matrix'!$B$1:$D$1,0))="Fill","DLCM, ","")IF(INDEX('MOA role matrix'!$B$2:$D$13,12,MATCH($B25,'MOA role matrix'!$B$1:$D$1,0))="If finance","DLCM (if finance), ","")IF(INDEX('MOA role matrix'!$B$2:$D$13,12,MATCH($B25,'MOA role matrix'!$B$1:$D$1,0))="Auto","DLCM (auto), ","")))</f>
        <v/>
      </c>
      <c r="D25" s="5">
        <f>IF($A25="","",IFERROR(INDEX(FILTER('Client contacts'!$B$2:$B$500,('Client contacts'!$A$2:$A$500=$A25)*('Client contacts'!$H$2:$H$500="Y"),""),1),""))</f>
        <v/>
      </c>
      <c r="E25" s="5">
        <f>IF($A25="","",IFERROR(INDEX(FILTER('Client contacts'!$C$2:$C$500,('Client contacts'!$A$2:$A$500=$A25)*('Client contacts'!$H$2:$H$500="Y"),""),1),""))</f>
        <v/>
      </c>
      <c r="F25" s="5">
        <f>IF($A25="","",IFERROR(INDEX(FILTER('Client contacts'!$B$2:$B$500,('Client contacts'!$A$2:$A$500=$A25)*('Client contacts'!$G$2:$G$500="Y"),""),1),""))</f>
        <v/>
      </c>
      <c r="G25" s="5">
        <f>IF($A25="","",IFERROR(INDEX(FILTER('Client contacts'!$C$2:$C$500,('Client contacts'!$A$2:$A$500=$A25)*('Client contacts'!$G$2:$G$500="Y"),""),1),""))</f>
        <v/>
      </c>
      <c r="H25" s="5">
        <f>IF($A25="","",IFERROR(INDEX(FILTER('Client contacts'!$B$2:$B$500,('Client contacts'!$A$2:$A$500=$A25)*('Client contacts'!$G$2:$G$500="Y"),""),2),""))</f>
        <v/>
      </c>
      <c r="I25" s="5">
        <f>IF($A25="","",IFERROR(INDEX(FILTER('Client contacts'!$C$2:$C$500,('Client contacts'!$A$2:$A$500=$A25)*('Client contacts'!$G$2:$G$500="Y"),""),2),""))</f>
        <v/>
      </c>
      <c r="J25" s="8" t="n"/>
      <c r="K25" s="8" t="n"/>
      <c r="L25" s="8" t="n"/>
      <c r="M25" s="8" t="n"/>
      <c r="N25" s="8" t="n"/>
      <c r="O25" s="8" t="n"/>
      <c r="P25" s="8" t="n"/>
      <c r="Q25" s="8" t="n"/>
      <c r="R25" s="5">
        <f>IF($A25="","",IFERROR(INDEX(Companies!$I$2:$I$500,MATCH($A25,Companies!$A$2:$A$500,0)),""))</f>
        <v/>
      </c>
      <c r="S25" s="8" t="n"/>
      <c r="T25" s="8" t="n"/>
      <c r="U25" s="8" t="n"/>
      <c r="V25" s="8" t="n"/>
      <c r="W25" s="8" t="n"/>
    </row>
    <row r="26">
      <c r="C26" s="5">
        <f>IF($B26="","",TRIM(IF(INDEX('MOA role matrix'!$B$2:$D$13,1,MATCH($B26,'MOA role matrix'!$B$1:$D$1,0))="Fill","Project initiator, ","")IF(INDEX('MOA role matrix'!$B$2:$D$13,1,MATCH($B26,'MOA role matrix'!$B$1:$D$1,0))="If finance","Project initiator (if finance), ","")IF(INDEX('MOA role matrix'!$B$2:$D$13,1,MATCH($B26,'MOA role matrix'!$B$1:$D$1,0))="Auto","Project initiator (auto), ","")IF(INDEX('MOA role matrix'!$B$2:$D$13,2,MATCH($B26,'MOA role matrix'!$B$1:$D$1,0))="Fill","MOA signers (client), ","")IF(INDEX('MOA role matrix'!$B$2:$D$13,2,MATCH($B26,'MOA role matrix'!$B$1:$D$1,0))="If finance","MOA signers (client) (if finance), ","")IF(INDEX('MOA role matrix'!$B$2:$D$13,2,MATCH($B26,'MOA role matrix'!$B$1:$D$1,0))="Auto","MOA signers (client) (auto), ","")IF(INDEX('MOA role matrix'!$B$2:$D$13,3,MATCH($B26,'MOA role matrix'!$B$1:$D$1,0))="Fill","CFO / Head of Finance, ","")IF(INDEX('MOA role matrix'!$B$2:$D$13,3,MATCH($B26,'MOA role matrix'!$B$1:$D$1,0))="If finance","CFO / Head of Finance (if finance), ","")IF(INDEX('MOA role matrix'!$B$2:$D$13,3,MATCH($B26,'MOA role matrix'!$B$1:$D$1,0))="Auto","CFO / Head of Finance (auto), ","")IF(INDEX('MOA role matrix'!$B$2:$D$13,4,MATCH($B26,'MOA role matrix'!$B$1:$D$1,0))="Fill","CEO / COO / GM, ","")IF(INDEX('MOA role matrix'!$B$2:$D$13,4,MATCH($B26,'MOA role matrix'!$B$1:$D$1,0))="If finance","CEO / COO / GM (if finance), ","")IF(INDEX('MOA role matrix'!$B$2:$D$13,4,MATCH($B26,'MOA role matrix'!$B$1:$D$1,0))="Auto","CEO / COO / GM (auto), ","")IF(INDEX('MOA role matrix'!$B$2:$D$13,5,MATCH($B26,'MOA role matrix'!$B$1:$D$1,0))="Fill","Board member 1, ","")IF(INDEX('MOA role matrix'!$B$2:$D$13,5,MATCH($B26,'MOA role matrix'!$B$1:$D$1,0))="If finance","Board member 1 (if finance), ","")IF(INDEX('MOA role matrix'!$B$2:$D$13,5,MATCH($B26,'MOA role matrix'!$B$1:$D$1,0))="Auto","Board member 1 (auto), ","")IF(INDEX('MOA role matrix'!$B$2:$D$13,6,MATCH($B26,'MOA role matrix'!$B$1:$D$1,0))="Fill","Board member 2, ","")IF(INDEX('MOA role matrix'!$B$2:$D$13,6,MATCH($B26,'MOA role matrix'!$B$1:$D$1,0))="If finance","Board member 2 (if finance), ","")IF(INDEX('MOA role matrix'!$B$2:$D$13,6,MATCH($B26,'MOA role matrix'!$B$1:$D$1,0))="Auto","Board member 2 (auto), ","")IF(INDEX('MOA role matrix'!$B$2:$D$13,7,MATCH($B26,'MOA role matrix'!$B$1:$D$1,0))="Fill","LOA holder 1, ","")IF(INDEX('MOA role matrix'!$B$2:$D$13,7,MATCH($B26,'MOA role matrix'!$B$1:$D$1,0))="If finance","LOA holder 1 (if finance), ","")IF(INDEX('MOA role matrix'!$B$2:$D$13,7,MATCH($B26,'MOA role matrix'!$B$1:$D$1,0))="Auto","LOA holder 1 (auto), ","")IF(INDEX('MOA role matrix'!$B$2:$D$13,8,MATCH($B26,'MOA role matrix'!$B$1:$D$1,0))="Fill","LOA holder 2, ","")IF(INDEX('MOA role matrix'!$B$2:$D$13,8,MATCH($B26,'MOA role matrix'!$B$1:$D$1,0))="If finance","LOA holder 2 (if finance), ","")IF(INDEX('MOA role matrix'!$B$2:$D$13,8,MATCH($B26,'MOA role matrix'!$B$1:$D$1,0))="Auto","LOA holder 2 (auto), ","")IF(INDEX('MOA role matrix'!$B$2:$D$13,9,MATCH($B26,'MOA role matrix'!$B$1:$D$1,0))="Fill","Senior Manager CoSec, ","")IF(INDEX('MOA role matrix'!$B$2:$D$13,9,MATCH($B26,'MOA role matrix'!$B$1:$D$1,0))="If finance","Senior Manager CoSec (if finance), ","")IF(INDEX('MOA role matrix'!$B$2:$D$13,9,MATCH($B26,'MOA role matrix'!$B$1:$D$1,0))="Auto","Senior Manager CoSec (auto), ","")IF(INDEX('MOA role matrix'!$B$2:$D$13,10,MATCH($B26,'MOA role matrix'!$B$1:$D$1,0))="Fill","Division MOI managers, ","")IF(INDEX('MOA role matrix'!$B$2:$D$13,10,MATCH($B26,'MOA role matrix'!$B$1:$D$1,0))="If finance","Division MOI managers (if finance), ","")IF(INDEX('MOA role matrix'!$B$2:$D$13,10,MATCH($B26,'MOA role matrix'!$B$1:$D$1,0))="Auto","Division MOI managers (auto), ","")IF(INDEX('MOA role matrix'!$B$2:$D$13,11,MATCH($B26,'MOA role matrix'!$B$1:$D$1,0))="Fill","Ms Teh (bank), ","")IF(INDEX('MOA role matrix'!$B$2:$D$13,11,MATCH($B26,'MOA role matrix'!$B$1:$D$1,0))="If finance","Ms Teh (bank) (if finance), ","")IF(INDEX('MOA role matrix'!$B$2:$D$13,11,MATCH($B26,'MOA role matrix'!$B$1:$D$1,0))="Auto","Ms Teh (bank) (auto), ","")IF(INDEX('MOA role matrix'!$B$2:$D$13,12,MATCH($B26,'MOA role matrix'!$B$1:$D$1,0))="Fill","DLCM, ","")IF(INDEX('MOA role matrix'!$B$2:$D$13,12,MATCH($B26,'MOA role matrix'!$B$1:$D$1,0))="If finance","DLCM (if finance), ","")IF(INDEX('MOA role matrix'!$B$2:$D$13,12,MATCH($B26,'MOA role matrix'!$B$1:$D$1,0))="Auto","DLCM (auto), ","")))</f>
        <v/>
      </c>
      <c r="D26" s="5">
        <f>IF($A26="","",IFERROR(INDEX(FILTER('Client contacts'!$B$2:$B$500,('Client contacts'!$A$2:$A$500=$A26)*('Client contacts'!$H$2:$H$500="Y"),""),1),""))</f>
        <v/>
      </c>
      <c r="E26" s="5">
        <f>IF($A26="","",IFERROR(INDEX(FILTER('Client contacts'!$C$2:$C$500,('Client contacts'!$A$2:$A$500=$A26)*('Client contacts'!$H$2:$H$500="Y"),""),1),""))</f>
        <v/>
      </c>
      <c r="F26" s="5">
        <f>IF($A26="","",IFERROR(INDEX(FILTER('Client contacts'!$B$2:$B$500,('Client contacts'!$A$2:$A$500=$A26)*('Client contacts'!$G$2:$G$500="Y"),""),1),""))</f>
        <v/>
      </c>
      <c r="G26" s="5">
        <f>IF($A26="","",IFERROR(INDEX(FILTER('Client contacts'!$C$2:$C$500,('Client contacts'!$A$2:$A$500=$A26)*('Client contacts'!$G$2:$G$500="Y"),""),1),""))</f>
        <v/>
      </c>
      <c r="H26" s="5">
        <f>IF($A26="","",IFERROR(INDEX(FILTER('Client contacts'!$B$2:$B$500,('Client contacts'!$A$2:$A$500=$A26)*('Client contacts'!$G$2:$G$500="Y"),""),2),""))</f>
        <v/>
      </c>
      <c r="I26" s="5">
        <f>IF($A26="","",IFERROR(INDEX(FILTER('Client contacts'!$C$2:$C$500,('Client contacts'!$A$2:$A$500=$A26)*('Client contacts'!$G$2:$G$500="Y"),""),2),""))</f>
        <v/>
      </c>
      <c r="J26" s="8" t="n"/>
      <c r="K26" s="8" t="n"/>
      <c r="L26" s="8" t="n"/>
      <c r="M26" s="8" t="n"/>
      <c r="N26" s="8" t="n"/>
      <c r="O26" s="8" t="n"/>
      <c r="P26" s="8" t="n"/>
      <c r="Q26" s="8" t="n"/>
      <c r="R26" s="5">
        <f>IF($A26="","",IFERROR(INDEX(Companies!$I$2:$I$500,MATCH($A26,Companies!$A$2:$A$500,0)),""))</f>
        <v/>
      </c>
      <c r="S26" s="8" t="n"/>
      <c r="T26" s="8" t="n"/>
      <c r="U26" s="8" t="n"/>
      <c r="V26" s="8" t="n"/>
      <c r="W26" s="8" t="n"/>
    </row>
    <row r="27">
      <c r="C27" s="5">
        <f>IF($B27="","",TRIM(IF(INDEX('MOA role matrix'!$B$2:$D$13,1,MATCH($B27,'MOA role matrix'!$B$1:$D$1,0))="Fill","Project initiator, ","")IF(INDEX('MOA role matrix'!$B$2:$D$13,1,MATCH($B27,'MOA role matrix'!$B$1:$D$1,0))="If finance","Project initiator (if finance), ","")IF(INDEX('MOA role matrix'!$B$2:$D$13,1,MATCH($B27,'MOA role matrix'!$B$1:$D$1,0))="Auto","Project initiator (auto), ","")IF(INDEX('MOA role matrix'!$B$2:$D$13,2,MATCH($B27,'MOA role matrix'!$B$1:$D$1,0))="Fill","MOA signers (client), ","")IF(INDEX('MOA role matrix'!$B$2:$D$13,2,MATCH($B27,'MOA role matrix'!$B$1:$D$1,0))="If finance","MOA signers (client) (if finance), ","")IF(INDEX('MOA role matrix'!$B$2:$D$13,2,MATCH($B27,'MOA role matrix'!$B$1:$D$1,0))="Auto","MOA signers (client) (auto), ","")IF(INDEX('MOA role matrix'!$B$2:$D$13,3,MATCH($B27,'MOA role matrix'!$B$1:$D$1,0))="Fill","CFO / Head of Finance, ","")IF(INDEX('MOA role matrix'!$B$2:$D$13,3,MATCH($B27,'MOA role matrix'!$B$1:$D$1,0))="If finance","CFO / Head of Finance (if finance), ","")IF(INDEX('MOA role matrix'!$B$2:$D$13,3,MATCH($B27,'MOA role matrix'!$B$1:$D$1,0))="Auto","CFO / Head of Finance (auto), ","")IF(INDEX('MOA role matrix'!$B$2:$D$13,4,MATCH($B27,'MOA role matrix'!$B$1:$D$1,0))="Fill","CEO / COO / GM, ","")IF(INDEX('MOA role matrix'!$B$2:$D$13,4,MATCH($B27,'MOA role matrix'!$B$1:$D$1,0))="If finance","CEO / COO / GM (if finance), ","")IF(INDEX('MOA role matrix'!$B$2:$D$13,4,MATCH($B27,'MOA role matrix'!$B$1:$D$1,0))="Auto","CEO / COO / GM (auto), ","")IF(INDEX('MOA role matrix'!$B$2:$D$13,5,MATCH($B27,'MOA role matrix'!$B$1:$D$1,0))="Fill","Board member 1, ","")IF(INDEX('MOA role matrix'!$B$2:$D$13,5,MATCH($B27,'MOA role matrix'!$B$1:$D$1,0))="If finance","Board member 1 (if finance), ","")IF(INDEX('MOA role matrix'!$B$2:$D$13,5,MATCH($B27,'MOA role matrix'!$B$1:$D$1,0))="Auto","Board member 1 (auto), ","")IF(INDEX('MOA role matrix'!$B$2:$D$13,6,MATCH($B27,'MOA role matrix'!$B$1:$D$1,0))="Fill","Board member 2, ","")IF(INDEX('MOA role matrix'!$B$2:$D$13,6,MATCH($B27,'MOA role matrix'!$B$1:$D$1,0))="If finance","Board member 2 (if finance), ","")IF(INDEX('MOA role matrix'!$B$2:$D$13,6,MATCH($B27,'MOA role matrix'!$B$1:$D$1,0))="Auto","Board member 2 (auto), ","")IF(INDEX('MOA role matrix'!$B$2:$D$13,7,MATCH($B27,'MOA role matrix'!$B$1:$D$1,0))="Fill","LOA holder 1, ","")IF(INDEX('MOA role matrix'!$B$2:$D$13,7,MATCH($B27,'MOA role matrix'!$B$1:$D$1,0))="If finance","LOA holder 1 (if finance), ","")IF(INDEX('MOA role matrix'!$B$2:$D$13,7,MATCH($B27,'MOA role matrix'!$B$1:$D$1,0))="Auto","LOA holder 1 (auto), ","")IF(INDEX('MOA role matrix'!$B$2:$D$13,8,MATCH($B27,'MOA role matrix'!$B$1:$D$1,0))="Fill","LOA holder 2, ","")IF(INDEX('MOA role matrix'!$B$2:$D$13,8,MATCH($B27,'MOA role matrix'!$B$1:$D$1,0))="If finance","LOA holder 2 (if finance), ","")IF(INDEX('MOA role matrix'!$B$2:$D$13,8,MATCH($B27,'MOA role matrix'!$B$1:$D$1,0))="Auto","LOA holder 2 (auto), ","")IF(INDEX('MOA role matrix'!$B$2:$D$13,9,MATCH($B27,'MOA role matrix'!$B$1:$D$1,0))="Fill","Senior Manager CoSec, ","")IF(INDEX('MOA role matrix'!$B$2:$D$13,9,MATCH($B27,'MOA role matrix'!$B$1:$D$1,0))="If finance","Senior Manager CoSec (if finance), ","")IF(INDEX('MOA role matrix'!$B$2:$D$13,9,MATCH($B27,'MOA role matrix'!$B$1:$D$1,0))="Auto","Senior Manager CoSec (auto), ","")IF(INDEX('MOA role matrix'!$B$2:$D$13,10,MATCH($B27,'MOA role matrix'!$B$1:$D$1,0))="Fill","Division MOI managers, ","")IF(INDEX('MOA role matrix'!$B$2:$D$13,10,MATCH($B27,'MOA role matrix'!$B$1:$D$1,0))="If finance","Division MOI managers (if finance), ","")IF(INDEX('MOA role matrix'!$B$2:$D$13,10,MATCH($B27,'MOA role matrix'!$B$1:$D$1,0))="Auto","Division MOI managers (auto), ","")IF(INDEX('MOA role matrix'!$B$2:$D$13,11,MATCH($B27,'MOA role matrix'!$B$1:$D$1,0))="Fill","Ms Teh (bank), ","")IF(INDEX('MOA role matrix'!$B$2:$D$13,11,MATCH($B27,'MOA role matrix'!$B$1:$D$1,0))="If finance","Ms Teh (bank) (if finance), ","")IF(INDEX('MOA role matrix'!$B$2:$D$13,11,MATCH($B27,'MOA role matrix'!$B$1:$D$1,0))="Auto","Ms Teh (bank) (auto), ","")IF(INDEX('MOA role matrix'!$B$2:$D$13,12,MATCH($B27,'MOA role matrix'!$B$1:$D$1,0))="Fill","DLCM, ","")IF(INDEX('MOA role matrix'!$B$2:$D$13,12,MATCH($B27,'MOA role matrix'!$B$1:$D$1,0))="If finance","DLCM (if finance), ","")IF(INDEX('MOA role matrix'!$B$2:$D$13,12,MATCH($B27,'MOA role matrix'!$B$1:$D$1,0))="Auto","DLCM (auto), ","")))</f>
        <v/>
      </c>
      <c r="D27" s="5">
        <f>IF($A27="","",IFERROR(INDEX(FILTER('Client contacts'!$B$2:$B$500,('Client contacts'!$A$2:$A$500=$A27)*('Client contacts'!$H$2:$H$500="Y"),""),1),""))</f>
        <v/>
      </c>
      <c r="E27" s="5">
        <f>IF($A27="","",IFERROR(INDEX(FILTER('Client contacts'!$C$2:$C$500,('Client contacts'!$A$2:$A$500=$A27)*('Client contacts'!$H$2:$H$500="Y"),""),1),""))</f>
        <v/>
      </c>
      <c r="F27" s="5">
        <f>IF($A27="","",IFERROR(INDEX(FILTER('Client contacts'!$B$2:$B$500,('Client contacts'!$A$2:$A$500=$A27)*('Client contacts'!$G$2:$G$500="Y"),""),1),""))</f>
        <v/>
      </c>
      <c r="G27" s="5">
        <f>IF($A27="","",IFERROR(INDEX(FILTER('Client contacts'!$C$2:$C$500,('Client contacts'!$A$2:$A$500=$A27)*('Client contacts'!$G$2:$G$500="Y"),""),1),""))</f>
        <v/>
      </c>
      <c r="H27" s="5">
        <f>IF($A27="","",IFERROR(INDEX(FILTER('Client contacts'!$B$2:$B$500,('Client contacts'!$A$2:$A$500=$A27)*('Client contacts'!$G$2:$G$500="Y"),""),2),""))</f>
        <v/>
      </c>
      <c r="I27" s="5">
        <f>IF($A27="","",IFERROR(INDEX(FILTER('Client contacts'!$C$2:$C$500,('Client contacts'!$A$2:$A$500=$A27)*('Client contacts'!$G$2:$G$500="Y"),""),2),""))</f>
        <v/>
      </c>
      <c r="J27" s="8" t="n"/>
      <c r="K27" s="8" t="n"/>
      <c r="L27" s="8" t="n"/>
      <c r="M27" s="8" t="n"/>
      <c r="N27" s="8" t="n"/>
      <c r="O27" s="8" t="n"/>
      <c r="P27" s="8" t="n"/>
      <c r="Q27" s="8" t="n"/>
      <c r="R27" s="5">
        <f>IF($A27="","",IFERROR(INDEX(Companies!$I$2:$I$500,MATCH($A27,Companies!$A$2:$A$500,0)),""))</f>
        <v/>
      </c>
      <c r="S27" s="8" t="n"/>
      <c r="T27" s="8" t="n"/>
      <c r="U27" s="8" t="n"/>
      <c r="V27" s="8" t="n"/>
      <c r="W27" s="8" t="n"/>
    </row>
    <row r="28">
      <c r="C28" s="5">
        <f>IF($B28="","",TRIM(IF(INDEX('MOA role matrix'!$B$2:$D$13,1,MATCH($B28,'MOA role matrix'!$B$1:$D$1,0))="Fill","Project initiator, ","")IF(INDEX('MOA role matrix'!$B$2:$D$13,1,MATCH($B28,'MOA role matrix'!$B$1:$D$1,0))="If finance","Project initiator (if finance), ","")IF(INDEX('MOA role matrix'!$B$2:$D$13,1,MATCH($B28,'MOA role matrix'!$B$1:$D$1,0))="Auto","Project initiator (auto), ","")IF(INDEX('MOA role matrix'!$B$2:$D$13,2,MATCH($B28,'MOA role matrix'!$B$1:$D$1,0))="Fill","MOA signers (client), ","")IF(INDEX('MOA role matrix'!$B$2:$D$13,2,MATCH($B28,'MOA role matrix'!$B$1:$D$1,0))="If finance","MOA signers (client) (if finance), ","")IF(INDEX('MOA role matrix'!$B$2:$D$13,2,MATCH($B28,'MOA role matrix'!$B$1:$D$1,0))="Auto","MOA signers (client) (auto), ","")IF(INDEX('MOA role matrix'!$B$2:$D$13,3,MATCH($B28,'MOA role matrix'!$B$1:$D$1,0))="Fill","CFO / Head of Finance, ","")IF(INDEX('MOA role matrix'!$B$2:$D$13,3,MATCH($B28,'MOA role matrix'!$B$1:$D$1,0))="If finance","CFO / Head of Finance (if finance), ","")IF(INDEX('MOA role matrix'!$B$2:$D$13,3,MATCH($B28,'MOA role matrix'!$B$1:$D$1,0))="Auto","CFO / Head of Finance (auto), ","")IF(INDEX('MOA role matrix'!$B$2:$D$13,4,MATCH($B28,'MOA role matrix'!$B$1:$D$1,0))="Fill","CEO / COO / GM, ","")IF(INDEX('MOA role matrix'!$B$2:$D$13,4,MATCH($B28,'MOA role matrix'!$B$1:$D$1,0))="If finance","CEO / COO / GM (if finance), ","")IF(INDEX('MOA role matrix'!$B$2:$D$13,4,MATCH($B28,'MOA role matrix'!$B$1:$D$1,0))="Auto","CEO / COO / GM (auto), ","")IF(INDEX('MOA role matrix'!$B$2:$D$13,5,MATCH($B28,'MOA role matrix'!$B$1:$D$1,0))="Fill","Board member 1, ","")IF(INDEX('MOA role matrix'!$B$2:$D$13,5,MATCH($B28,'MOA role matrix'!$B$1:$D$1,0))="If finance","Board member 1 (if finance), ","")IF(INDEX('MOA role matrix'!$B$2:$D$13,5,MATCH($B28,'MOA role matrix'!$B$1:$D$1,0))="Auto","Board member 1 (auto), ","")IF(INDEX('MOA role matrix'!$B$2:$D$13,6,MATCH($B28,'MOA role matrix'!$B$1:$D$1,0))="Fill","Board member 2, ","")IF(INDEX('MOA role matrix'!$B$2:$D$13,6,MATCH($B28,'MOA role matrix'!$B$1:$D$1,0))="If finance","Board member 2 (if finance), ","")IF(INDEX('MOA role matrix'!$B$2:$D$13,6,MATCH($B28,'MOA role matrix'!$B$1:$D$1,0))="Auto","Board member 2 (auto), ","")IF(INDEX('MOA role matrix'!$B$2:$D$13,7,MATCH($B28,'MOA role matrix'!$B$1:$D$1,0))="Fill","LOA holder 1, ","")IF(INDEX('MOA role matrix'!$B$2:$D$13,7,MATCH($B28,'MOA role matrix'!$B$1:$D$1,0))="If finance","LOA holder 1 (if finance), ","")IF(INDEX('MOA role matrix'!$B$2:$D$13,7,MATCH($B28,'MOA role matrix'!$B$1:$D$1,0))="Auto","LOA holder 1 (auto), ","")IF(INDEX('MOA role matrix'!$B$2:$D$13,8,MATCH($B28,'MOA role matrix'!$B$1:$D$1,0))="Fill","LOA holder 2, ","")IF(INDEX('MOA role matrix'!$B$2:$D$13,8,MATCH($B28,'MOA role matrix'!$B$1:$D$1,0))="If finance","LOA holder 2 (if finance), ","")IF(INDEX('MOA role matrix'!$B$2:$D$13,8,MATCH($B28,'MOA role matrix'!$B$1:$D$1,0))="Auto","LOA holder 2 (auto), ","")IF(INDEX('MOA role matrix'!$B$2:$D$13,9,MATCH($B28,'MOA role matrix'!$B$1:$D$1,0))="Fill","Senior Manager CoSec, ","")IF(INDEX('MOA role matrix'!$B$2:$D$13,9,MATCH($B28,'MOA role matrix'!$B$1:$D$1,0))="If finance","Senior Manager CoSec (if finance), ","")IF(INDEX('MOA role matrix'!$B$2:$D$13,9,MATCH($B28,'MOA role matrix'!$B$1:$D$1,0))="Auto","Senior Manager CoSec (auto), ","")IF(INDEX('MOA role matrix'!$B$2:$D$13,10,MATCH($B28,'MOA role matrix'!$B$1:$D$1,0))="Fill","Division MOI managers, ","")IF(INDEX('MOA role matrix'!$B$2:$D$13,10,MATCH($B28,'MOA role matrix'!$B$1:$D$1,0))="If finance","Division MOI managers (if finance), ","")IF(INDEX('MOA role matrix'!$B$2:$D$13,10,MATCH($B28,'MOA role matrix'!$B$1:$D$1,0))="Auto","Division MOI managers (auto), ","")IF(INDEX('MOA role matrix'!$B$2:$D$13,11,MATCH($B28,'MOA role matrix'!$B$1:$D$1,0))="Fill","Ms Teh (bank), ","")IF(INDEX('MOA role matrix'!$B$2:$D$13,11,MATCH($B28,'MOA role matrix'!$B$1:$D$1,0))="If finance","Ms Teh (bank) (if finance), ","")IF(INDEX('MOA role matrix'!$B$2:$D$13,11,MATCH($B28,'MOA role matrix'!$B$1:$D$1,0))="Auto","Ms Teh (bank) (auto), ","")IF(INDEX('MOA role matrix'!$B$2:$D$13,12,MATCH($B28,'MOA role matrix'!$B$1:$D$1,0))="Fill","DLCM, ","")IF(INDEX('MOA role matrix'!$B$2:$D$13,12,MATCH($B28,'MOA role matrix'!$B$1:$D$1,0))="If finance","DLCM (if finance), ","")IF(INDEX('MOA role matrix'!$B$2:$D$13,12,MATCH($B28,'MOA role matrix'!$B$1:$D$1,0))="Auto","DLCM (auto), ","")))</f>
        <v/>
      </c>
      <c r="D28" s="5">
        <f>IF($A28="","",IFERROR(INDEX(FILTER('Client contacts'!$B$2:$B$500,('Client contacts'!$A$2:$A$500=$A28)*('Client contacts'!$H$2:$H$500="Y"),""),1),""))</f>
        <v/>
      </c>
      <c r="E28" s="5">
        <f>IF($A28="","",IFERROR(INDEX(FILTER('Client contacts'!$C$2:$C$500,('Client contacts'!$A$2:$A$500=$A28)*('Client contacts'!$H$2:$H$500="Y"),""),1),""))</f>
        <v/>
      </c>
      <c r="F28" s="5">
        <f>IF($A28="","",IFERROR(INDEX(FILTER('Client contacts'!$B$2:$B$500,('Client contacts'!$A$2:$A$500=$A28)*('Client contacts'!$G$2:$G$500="Y"),""),1),""))</f>
        <v/>
      </c>
      <c r="G28" s="5">
        <f>IF($A28="","",IFERROR(INDEX(FILTER('Client contacts'!$C$2:$C$500,('Client contacts'!$A$2:$A$500=$A28)*('Client contacts'!$G$2:$G$500="Y"),""),1),""))</f>
        <v/>
      </c>
      <c r="H28" s="5">
        <f>IF($A28="","",IFERROR(INDEX(FILTER('Client contacts'!$B$2:$B$500,('Client contacts'!$A$2:$A$500=$A28)*('Client contacts'!$G$2:$G$500="Y"),""),2),""))</f>
        <v/>
      </c>
      <c r="I28" s="5">
        <f>IF($A28="","",IFERROR(INDEX(FILTER('Client contacts'!$C$2:$C$500,('Client contacts'!$A$2:$A$500=$A28)*('Client contacts'!$G$2:$G$500="Y"),""),2),""))</f>
        <v/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5">
        <f>IF($A28="","",IFERROR(INDEX(Companies!$I$2:$I$500,MATCH($A28,Companies!$A$2:$A$500,0)),""))</f>
        <v/>
      </c>
      <c r="S28" s="8" t="n"/>
      <c r="T28" s="8" t="n"/>
      <c r="U28" s="8" t="n"/>
      <c r="V28" s="8" t="n"/>
      <c r="W28" s="8" t="n"/>
    </row>
    <row r="29">
      <c r="C29" s="5">
        <f>IF($B29="","",TRIM(IF(INDEX('MOA role matrix'!$B$2:$D$13,1,MATCH($B29,'MOA role matrix'!$B$1:$D$1,0))="Fill","Project initiator, ","")IF(INDEX('MOA role matrix'!$B$2:$D$13,1,MATCH($B29,'MOA role matrix'!$B$1:$D$1,0))="If finance","Project initiator (if finance), ","")IF(INDEX('MOA role matrix'!$B$2:$D$13,1,MATCH($B29,'MOA role matrix'!$B$1:$D$1,0))="Auto","Project initiator (auto), ","")IF(INDEX('MOA role matrix'!$B$2:$D$13,2,MATCH($B29,'MOA role matrix'!$B$1:$D$1,0))="Fill","MOA signers (client), ","")IF(INDEX('MOA role matrix'!$B$2:$D$13,2,MATCH($B29,'MOA role matrix'!$B$1:$D$1,0))="If finance","MOA signers (client) (if finance), ","")IF(INDEX('MOA role matrix'!$B$2:$D$13,2,MATCH($B29,'MOA role matrix'!$B$1:$D$1,0))="Auto","MOA signers (client) (auto), ","")IF(INDEX('MOA role matrix'!$B$2:$D$13,3,MATCH($B29,'MOA role matrix'!$B$1:$D$1,0))="Fill","CFO / Head of Finance, ","")IF(INDEX('MOA role matrix'!$B$2:$D$13,3,MATCH($B29,'MOA role matrix'!$B$1:$D$1,0))="If finance","CFO / Head of Finance (if finance), ","")IF(INDEX('MOA role matrix'!$B$2:$D$13,3,MATCH($B29,'MOA role matrix'!$B$1:$D$1,0))="Auto","CFO / Head of Finance (auto), ","")IF(INDEX('MOA role matrix'!$B$2:$D$13,4,MATCH($B29,'MOA role matrix'!$B$1:$D$1,0))="Fill","CEO / COO / GM, ","")IF(INDEX('MOA role matrix'!$B$2:$D$13,4,MATCH($B29,'MOA role matrix'!$B$1:$D$1,0))="If finance","CEO / COO / GM (if finance), ","")IF(INDEX('MOA role matrix'!$B$2:$D$13,4,MATCH($B29,'MOA role matrix'!$B$1:$D$1,0))="Auto","CEO / COO / GM (auto), ","")IF(INDEX('MOA role matrix'!$B$2:$D$13,5,MATCH($B29,'MOA role matrix'!$B$1:$D$1,0))="Fill","Board member 1, ","")IF(INDEX('MOA role matrix'!$B$2:$D$13,5,MATCH($B29,'MOA role matrix'!$B$1:$D$1,0))="If finance","Board member 1 (if finance), ","")IF(INDEX('MOA role matrix'!$B$2:$D$13,5,MATCH($B29,'MOA role matrix'!$B$1:$D$1,0))="Auto","Board member 1 (auto), ","")IF(INDEX('MOA role matrix'!$B$2:$D$13,6,MATCH($B29,'MOA role matrix'!$B$1:$D$1,0))="Fill","Board member 2, ","")IF(INDEX('MOA role matrix'!$B$2:$D$13,6,MATCH($B29,'MOA role matrix'!$B$1:$D$1,0))="If finance","Board member 2 (if finance), ","")IF(INDEX('MOA role matrix'!$B$2:$D$13,6,MATCH($B29,'MOA role matrix'!$B$1:$D$1,0))="Auto","Board member 2 (auto), ","")IF(INDEX('MOA role matrix'!$B$2:$D$13,7,MATCH($B29,'MOA role matrix'!$B$1:$D$1,0))="Fill","LOA holder 1, ","")IF(INDEX('MOA role matrix'!$B$2:$D$13,7,MATCH($B29,'MOA role matrix'!$B$1:$D$1,0))="If finance","LOA holder 1 (if finance), ","")IF(INDEX('MOA role matrix'!$B$2:$D$13,7,MATCH($B29,'MOA role matrix'!$B$1:$D$1,0))="Auto","LOA holder 1 (auto), ","")IF(INDEX('MOA role matrix'!$B$2:$D$13,8,MATCH($B29,'MOA role matrix'!$B$1:$D$1,0))="Fill","LOA holder 2, ","")IF(INDEX('MOA role matrix'!$B$2:$D$13,8,MATCH($B29,'MOA role matrix'!$B$1:$D$1,0))="If finance","LOA holder 2 (if finance), ","")IF(INDEX('MOA role matrix'!$B$2:$D$13,8,MATCH($B29,'MOA role matrix'!$B$1:$D$1,0))="Auto","LOA holder 2 (auto), ","")IF(INDEX('MOA role matrix'!$B$2:$D$13,9,MATCH($B29,'MOA role matrix'!$B$1:$D$1,0))="Fill","Senior Manager CoSec, ","")IF(INDEX('MOA role matrix'!$B$2:$D$13,9,MATCH($B29,'MOA role matrix'!$B$1:$D$1,0))="If finance","Senior Manager CoSec (if finance), ","")IF(INDEX('MOA role matrix'!$B$2:$D$13,9,MATCH($B29,'MOA role matrix'!$B$1:$D$1,0))="Auto","Senior Manager CoSec (auto), ","")IF(INDEX('MOA role matrix'!$B$2:$D$13,10,MATCH($B29,'MOA role matrix'!$B$1:$D$1,0))="Fill","Division MOI managers, ","")IF(INDEX('MOA role matrix'!$B$2:$D$13,10,MATCH($B29,'MOA role matrix'!$B$1:$D$1,0))="If finance","Division MOI managers (if finance), ","")IF(INDEX('MOA role matrix'!$B$2:$D$13,10,MATCH($B29,'MOA role matrix'!$B$1:$D$1,0))="Auto","Division MOI managers (auto), ","")IF(INDEX('MOA role matrix'!$B$2:$D$13,11,MATCH($B29,'MOA role matrix'!$B$1:$D$1,0))="Fill","Ms Teh (bank), ","")IF(INDEX('MOA role matrix'!$B$2:$D$13,11,MATCH($B29,'MOA role matrix'!$B$1:$D$1,0))="If finance","Ms Teh (bank) (if finance), ","")IF(INDEX('MOA role matrix'!$B$2:$D$13,11,MATCH($B29,'MOA role matrix'!$B$1:$D$1,0))="Auto","Ms Teh (bank) (auto), ","")IF(INDEX('MOA role matrix'!$B$2:$D$13,12,MATCH($B29,'MOA role matrix'!$B$1:$D$1,0))="Fill","DLCM, ","")IF(INDEX('MOA role matrix'!$B$2:$D$13,12,MATCH($B29,'MOA role matrix'!$B$1:$D$1,0))="If finance","DLCM (if finance), ","")IF(INDEX('MOA role matrix'!$B$2:$D$13,12,MATCH($B29,'MOA role matrix'!$B$1:$D$1,0))="Auto","DLCM (auto), ","")))</f>
        <v/>
      </c>
      <c r="D29" s="5">
        <f>IF($A29="","",IFERROR(INDEX(FILTER('Client contacts'!$B$2:$B$500,('Client contacts'!$A$2:$A$500=$A29)*('Client contacts'!$H$2:$H$500="Y"),""),1),""))</f>
        <v/>
      </c>
      <c r="E29" s="5">
        <f>IF($A29="","",IFERROR(INDEX(FILTER('Client contacts'!$C$2:$C$500,('Client contacts'!$A$2:$A$500=$A29)*('Client contacts'!$H$2:$H$500="Y"),""),1),""))</f>
        <v/>
      </c>
      <c r="F29" s="5">
        <f>IF($A29="","",IFERROR(INDEX(FILTER('Client contacts'!$B$2:$B$500,('Client contacts'!$A$2:$A$500=$A29)*('Client contacts'!$G$2:$G$500="Y"),""),1),""))</f>
        <v/>
      </c>
      <c r="G29" s="5">
        <f>IF($A29="","",IFERROR(INDEX(FILTER('Client contacts'!$C$2:$C$500,('Client contacts'!$A$2:$A$500=$A29)*('Client contacts'!$G$2:$G$500="Y"),""),1),""))</f>
        <v/>
      </c>
      <c r="H29" s="5">
        <f>IF($A29="","",IFERROR(INDEX(FILTER('Client contacts'!$B$2:$B$500,('Client contacts'!$A$2:$A$500=$A29)*('Client contacts'!$G$2:$G$500="Y"),""),2),""))</f>
        <v/>
      </c>
      <c r="I29" s="5">
        <f>IF($A29="","",IFERROR(INDEX(FILTER('Client contacts'!$C$2:$C$500,('Client contacts'!$A$2:$A$500=$A29)*('Client contacts'!$G$2:$G$500="Y"),""),2),""))</f>
        <v/>
      </c>
      <c r="J29" s="8" t="n"/>
      <c r="K29" s="8" t="n"/>
      <c r="L29" s="8" t="n"/>
      <c r="M29" s="8" t="n"/>
      <c r="N29" s="8" t="n"/>
      <c r="O29" s="8" t="n"/>
      <c r="P29" s="8" t="n"/>
      <c r="Q29" s="8" t="n"/>
      <c r="R29" s="5">
        <f>IF($A29="","",IFERROR(INDEX(Companies!$I$2:$I$500,MATCH($A29,Companies!$A$2:$A$500,0)),""))</f>
        <v/>
      </c>
      <c r="S29" s="8" t="n"/>
      <c r="T29" s="8" t="n"/>
      <c r="U29" s="8" t="n"/>
      <c r="V29" s="8" t="n"/>
      <c r="W29" s="8" t="n"/>
    </row>
    <row r="30">
      <c r="C30" s="5">
        <f>IF($B30="","",TRIM(IF(INDEX('MOA role matrix'!$B$2:$D$13,1,MATCH($B30,'MOA role matrix'!$B$1:$D$1,0))="Fill","Project initiator, ","")IF(INDEX('MOA role matrix'!$B$2:$D$13,1,MATCH($B30,'MOA role matrix'!$B$1:$D$1,0))="If finance","Project initiator (if finance), ","")IF(INDEX('MOA role matrix'!$B$2:$D$13,1,MATCH($B30,'MOA role matrix'!$B$1:$D$1,0))="Auto","Project initiator (auto), ","")IF(INDEX('MOA role matrix'!$B$2:$D$13,2,MATCH($B30,'MOA role matrix'!$B$1:$D$1,0))="Fill","MOA signers (client), ","")IF(INDEX('MOA role matrix'!$B$2:$D$13,2,MATCH($B30,'MOA role matrix'!$B$1:$D$1,0))="If finance","MOA signers (client) (if finance), ","")IF(INDEX('MOA role matrix'!$B$2:$D$13,2,MATCH($B30,'MOA role matrix'!$B$1:$D$1,0))="Auto","MOA signers (client) (auto), ","")IF(INDEX('MOA role matrix'!$B$2:$D$13,3,MATCH($B30,'MOA role matrix'!$B$1:$D$1,0))="Fill","CFO / Head of Finance, ","")IF(INDEX('MOA role matrix'!$B$2:$D$13,3,MATCH($B30,'MOA role matrix'!$B$1:$D$1,0))="If finance","CFO / Head of Finance (if finance), ","")IF(INDEX('MOA role matrix'!$B$2:$D$13,3,MATCH($B30,'MOA role matrix'!$B$1:$D$1,0))="Auto","CFO / Head of Finance (auto), ","")IF(INDEX('MOA role matrix'!$B$2:$D$13,4,MATCH($B30,'MOA role matrix'!$B$1:$D$1,0))="Fill","CEO / COO / GM, ","")IF(INDEX('MOA role matrix'!$B$2:$D$13,4,MATCH($B30,'MOA role matrix'!$B$1:$D$1,0))="If finance","CEO / COO / GM (if finance), ","")IF(INDEX('MOA role matrix'!$B$2:$D$13,4,MATCH($B30,'MOA role matrix'!$B$1:$D$1,0))="Auto","CEO / COO / GM (auto), ","")IF(INDEX('MOA role matrix'!$B$2:$D$13,5,MATCH($B30,'MOA role matrix'!$B$1:$D$1,0))="Fill","Board member 1, ","")IF(INDEX('MOA role matrix'!$B$2:$D$13,5,MATCH($B30,'MOA role matrix'!$B$1:$D$1,0))="If finance","Board member 1 (if finance), ","")IF(INDEX('MOA role matrix'!$B$2:$D$13,5,MATCH($B30,'MOA role matrix'!$B$1:$D$1,0))="Auto","Board member 1 (auto), ","")IF(INDEX('MOA role matrix'!$B$2:$D$13,6,MATCH($B30,'MOA role matrix'!$B$1:$D$1,0))="Fill","Board member 2, ","")IF(INDEX('MOA role matrix'!$B$2:$D$13,6,MATCH($B30,'MOA role matrix'!$B$1:$D$1,0))="If finance","Board member 2 (if finance), ","")IF(INDEX('MOA role matrix'!$B$2:$D$13,6,MATCH($B30,'MOA role matrix'!$B$1:$D$1,0))="Auto","Board member 2 (auto), ","")IF(INDEX('MOA role matrix'!$B$2:$D$13,7,MATCH($B30,'MOA role matrix'!$B$1:$D$1,0))="Fill","LOA holder 1, ","")IF(INDEX('MOA role matrix'!$B$2:$D$13,7,MATCH($B30,'MOA role matrix'!$B$1:$D$1,0))="If finance","LOA holder 1 (if finance), ","")IF(INDEX('MOA role matrix'!$B$2:$D$13,7,MATCH($B30,'MOA role matrix'!$B$1:$D$1,0))="Auto","LOA holder 1 (auto), ","")IF(INDEX('MOA role matrix'!$B$2:$D$13,8,MATCH($B30,'MOA role matrix'!$B$1:$D$1,0))="Fill","LOA holder 2, ","")IF(INDEX('MOA role matrix'!$B$2:$D$13,8,MATCH($B30,'MOA role matrix'!$B$1:$D$1,0))="If finance","LOA holder 2 (if finance), ","")IF(INDEX('MOA role matrix'!$B$2:$D$13,8,MATCH($B30,'MOA role matrix'!$B$1:$D$1,0))="Auto","LOA holder 2 (auto), ","")IF(INDEX('MOA role matrix'!$B$2:$D$13,9,MATCH($B30,'MOA role matrix'!$B$1:$D$1,0))="Fill","Senior Manager CoSec, ","")IF(INDEX('MOA role matrix'!$B$2:$D$13,9,MATCH($B30,'MOA role matrix'!$B$1:$D$1,0))="If finance","Senior Manager CoSec (if finance), ","")IF(INDEX('MOA role matrix'!$B$2:$D$13,9,MATCH($B30,'MOA role matrix'!$B$1:$D$1,0))="Auto","Senior Manager CoSec (auto), ","")IF(INDEX('MOA role matrix'!$B$2:$D$13,10,MATCH($B30,'MOA role matrix'!$B$1:$D$1,0))="Fill","Division MOI managers, ","")IF(INDEX('MOA role matrix'!$B$2:$D$13,10,MATCH($B30,'MOA role matrix'!$B$1:$D$1,0))="If finance","Division MOI managers (if finance), ","")IF(INDEX('MOA role matrix'!$B$2:$D$13,10,MATCH($B30,'MOA role matrix'!$B$1:$D$1,0))="Auto","Division MOI managers (auto), ","")IF(INDEX('MOA role matrix'!$B$2:$D$13,11,MATCH($B30,'MOA role matrix'!$B$1:$D$1,0))="Fill","Ms Teh (bank), ","")IF(INDEX('MOA role matrix'!$B$2:$D$13,11,MATCH($B30,'MOA role matrix'!$B$1:$D$1,0))="If finance","Ms Teh (bank) (if finance), ","")IF(INDEX('MOA role matrix'!$B$2:$D$13,11,MATCH($B30,'MOA role matrix'!$B$1:$D$1,0))="Auto","Ms Teh (bank) (auto), ","")IF(INDEX('MOA role matrix'!$B$2:$D$13,12,MATCH($B30,'MOA role matrix'!$B$1:$D$1,0))="Fill","DLCM, ","")IF(INDEX('MOA role matrix'!$B$2:$D$13,12,MATCH($B30,'MOA role matrix'!$B$1:$D$1,0))="If finance","DLCM (if finance), ","")IF(INDEX('MOA role matrix'!$B$2:$D$13,12,MATCH($B30,'MOA role matrix'!$B$1:$D$1,0))="Auto","DLCM (auto), ","")))</f>
        <v/>
      </c>
      <c r="D30" s="5">
        <f>IF($A30="","",IFERROR(INDEX(FILTER('Client contacts'!$B$2:$B$500,('Client contacts'!$A$2:$A$500=$A30)*('Client contacts'!$H$2:$H$500="Y"),""),1),""))</f>
        <v/>
      </c>
      <c r="E30" s="5">
        <f>IF($A30="","",IFERROR(INDEX(FILTER('Client contacts'!$C$2:$C$500,('Client contacts'!$A$2:$A$500=$A30)*('Client contacts'!$H$2:$H$500="Y"),""),1),""))</f>
        <v/>
      </c>
      <c r="F30" s="5">
        <f>IF($A30="","",IFERROR(INDEX(FILTER('Client contacts'!$B$2:$B$500,('Client contacts'!$A$2:$A$500=$A30)*('Client contacts'!$G$2:$G$500="Y"),""),1),""))</f>
        <v/>
      </c>
      <c r="G30" s="5">
        <f>IF($A30="","",IFERROR(INDEX(FILTER('Client contacts'!$C$2:$C$500,('Client contacts'!$A$2:$A$500=$A30)*('Client contacts'!$G$2:$G$500="Y"),""),1),""))</f>
        <v/>
      </c>
      <c r="H30" s="5">
        <f>IF($A30="","",IFERROR(INDEX(FILTER('Client contacts'!$B$2:$B$500,('Client contacts'!$A$2:$A$500=$A30)*('Client contacts'!$G$2:$G$500="Y"),""),2),""))</f>
        <v/>
      </c>
      <c r="I30" s="5">
        <f>IF($A30="","",IFERROR(INDEX(FILTER('Client contacts'!$C$2:$C$500,('Client contacts'!$A$2:$A$500=$A30)*('Client contacts'!$G$2:$G$500="Y"),""),2),""))</f>
        <v/>
      </c>
      <c r="J30" s="8" t="n"/>
      <c r="K30" s="8" t="n"/>
      <c r="L30" s="8" t="n"/>
      <c r="M30" s="8" t="n"/>
      <c r="N30" s="8" t="n"/>
      <c r="O30" s="8" t="n"/>
      <c r="P30" s="8" t="n"/>
      <c r="Q30" s="8" t="n"/>
      <c r="R30" s="5">
        <f>IF($A30="","",IFERROR(INDEX(Companies!$I$2:$I$500,MATCH($A30,Companies!$A$2:$A$500,0)),""))</f>
        <v/>
      </c>
      <c r="S30" s="8" t="n"/>
      <c r="T30" s="8" t="n"/>
      <c r="U30" s="8" t="n"/>
      <c r="V30" s="8" t="n"/>
      <c r="W30" s="8" t="n"/>
    </row>
    <row r="31">
      <c r="C31" s="5">
        <f>IF($B31="","",TRIM(IF(INDEX('MOA role matrix'!$B$2:$D$13,1,MATCH($B31,'MOA role matrix'!$B$1:$D$1,0))="Fill","Project initiator, ","")IF(INDEX('MOA role matrix'!$B$2:$D$13,1,MATCH($B31,'MOA role matrix'!$B$1:$D$1,0))="If finance","Project initiator (if finance), ","")IF(INDEX('MOA role matrix'!$B$2:$D$13,1,MATCH($B31,'MOA role matrix'!$B$1:$D$1,0))="Auto","Project initiator (auto), ","")IF(INDEX('MOA role matrix'!$B$2:$D$13,2,MATCH($B31,'MOA role matrix'!$B$1:$D$1,0))="Fill","MOA signers (client), ","")IF(INDEX('MOA role matrix'!$B$2:$D$13,2,MATCH($B31,'MOA role matrix'!$B$1:$D$1,0))="If finance","MOA signers (client) (if finance), ","")IF(INDEX('MOA role matrix'!$B$2:$D$13,2,MATCH($B31,'MOA role matrix'!$B$1:$D$1,0))="Auto","MOA signers (client) (auto), ","")IF(INDEX('MOA role matrix'!$B$2:$D$13,3,MATCH($B31,'MOA role matrix'!$B$1:$D$1,0))="Fill","CFO / Head of Finance, ","")IF(INDEX('MOA role matrix'!$B$2:$D$13,3,MATCH($B31,'MOA role matrix'!$B$1:$D$1,0))="If finance","CFO / Head of Finance (if finance), ","")IF(INDEX('MOA role matrix'!$B$2:$D$13,3,MATCH($B31,'MOA role matrix'!$B$1:$D$1,0))="Auto","CFO / Head of Finance (auto), ","")IF(INDEX('MOA role matrix'!$B$2:$D$13,4,MATCH($B31,'MOA role matrix'!$B$1:$D$1,0))="Fill","CEO / COO / GM, ","")IF(INDEX('MOA role matrix'!$B$2:$D$13,4,MATCH($B31,'MOA role matrix'!$B$1:$D$1,0))="If finance","CEO / COO / GM (if finance), ","")IF(INDEX('MOA role matrix'!$B$2:$D$13,4,MATCH($B31,'MOA role matrix'!$B$1:$D$1,0))="Auto","CEO / COO / GM (auto), ","")IF(INDEX('MOA role matrix'!$B$2:$D$13,5,MATCH($B31,'MOA role matrix'!$B$1:$D$1,0))="Fill","Board member 1, ","")IF(INDEX('MOA role matrix'!$B$2:$D$13,5,MATCH($B31,'MOA role matrix'!$B$1:$D$1,0))="If finance","Board member 1 (if finance), ","")IF(INDEX('MOA role matrix'!$B$2:$D$13,5,MATCH($B31,'MOA role matrix'!$B$1:$D$1,0))="Auto","Board member 1 (auto), ","")IF(INDEX('MOA role matrix'!$B$2:$D$13,6,MATCH($B31,'MOA role matrix'!$B$1:$D$1,0))="Fill","Board member 2, ","")IF(INDEX('MOA role matrix'!$B$2:$D$13,6,MATCH($B31,'MOA role matrix'!$B$1:$D$1,0))="If finance","Board member 2 (if finance), ","")IF(INDEX('MOA role matrix'!$B$2:$D$13,6,MATCH($B31,'MOA role matrix'!$B$1:$D$1,0))="Auto","Board member 2 (auto), ","")IF(INDEX('MOA role matrix'!$B$2:$D$13,7,MATCH($B31,'MOA role matrix'!$B$1:$D$1,0))="Fill","LOA holder 1, ","")IF(INDEX('MOA role matrix'!$B$2:$D$13,7,MATCH($B31,'MOA role matrix'!$B$1:$D$1,0))="If finance","LOA holder 1 (if finance), ","")IF(INDEX('MOA role matrix'!$B$2:$D$13,7,MATCH($B31,'MOA role matrix'!$B$1:$D$1,0))="Auto","LOA holder 1 (auto), ","")IF(INDEX('MOA role matrix'!$B$2:$D$13,8,MATCH($B31,'MOA role matrix'!$B$1:$D$1,0))="Fill","LOA holder 2, ","")IF(INDEX('MOA role matrix'!$B$2:$D$13,8,MATCH($B31,'MOA role matrix'!$B$1:$D$1,0))="If finance","LOA holder 2 (if finance), ","")IF(INDEX('MOA role matrix'!$B$2:$D$13,8,MATCH($B31,'MOA role matrix'!$B$1:$D$1,0))="Auto","LOA holder 2 (auto), ","")IF(INDEX('MOA role matrix'!$B$2:$D$13,9,MATCH($B31,'MOA role matrix'!$B$1:$D$1,0))="Fill","Senior Manager CoSec, ","")IF(INDEX('MOA role matrix'!$B$2:$D$13,9,MATCH($B31,'MOA role matrix'!$B$1:$D$1,0))="If finance","Senior Manager CoSec (if finance), ","")IF(INDEX('MOA role matrix'!$B$2:$D$13,9,MATCH($B31,'MOA role matrix'!$B$1:$D$1,0))="Auto","Senior Manager CoSec (auto), ","")IF(INDEX('MOA role matrix'!$B$2:$D$13,10,MATCH($B31,'MOA role matrix'!$B$1:$D$1,0))="Fill","Division MOI managers, ","")IF(INDEX('MOA role matrix'!$B$2:$D$13,10,MATCH($B31,'MOA role matrix'!$B$1:$D$1,0))="If finance","Division MOI managers (if finance), ","")IF(INDEX('MOA role matrix'!$B$2:$D$13,10,MATCH($B31,'MOA role matrix'!$B$1:$D$1,0))="Auto","Division MOI managers (auto), ","")IF(INDEX('MOA role matrix'!$B$2:$D$13,11,MATCH($B31,'MOA role matrix'!$B$1:$D$1,0))="Fill","Ms Teh (bank), ","")IF(INDEX('MOA role matrix'!$B$2:$D$13,11,MATCH($B31,'MOA role matrix'!$B$1:$D$1,0))="If finance","Ms Teh (bank) (if finance), ","")IF(INDEX('MOA role matrix'!$B$2:$D$13,11,MATCH($B31,'MOA role matrix'!$B$1:$D$1,0))="Auto","Ms Teh (bank) (auto), ","")IF(INDEX('MOA role matrix'!$B$2:$D$13,12,MATCH($B31,'MOA role matrix'!$B$1:$D$1,0))="Fill","DLCM, ","")IF(INDEX('MOA role matrix'!$B$2:$D$13,12,MATCH($B31,'MOA role matrix'!$B$1:$D$1,0))="If finance","DLCM (if finance), ","")IF(INDEX('MOA role matrix'!$B$2:$D$13,12,MATCH($B31,'MOA role matrix'!$B$1:$D$1,0))="Auto","DLCM (auto), ","")))</f>
        <v/>
      </c>
      <c r="D31" s="5">
        <f>IF($A31="","",IFERROR(INDEX(FILTER('Client contacts'!$B$2:$B$500,('Client contacts'!$A$2:$A$500=$A31)*('Client contacts'!$H$2:$H$500="Y"),""),1),""))</f>
        <v/>
      </c>
      <c r="E31" s="5">
        <f>IF($A31="","",IFERROR(INDEX(FILTER('Client contacts'!$C$2:$C$500,('Client contacts'!$A$2:$A$500=$A31)*('Client contacts'!$H$2:$H$500="Y"),""),1),""))</f>
        <v/>
      </c>
      <c r="F31" s="5">
        <f>IF($A31="","",IFERROR(INDEX(FILTER('Client contacts'!$B$2:$B$500,('Client contacts'!$A$2:$A$500=$A31)*('Client contacts'!$G$2:$G$500="Y"),""),1),""))</f>
        <v/>
      </c>
      <c r="G31" s="5">
        <f>IF($A31="","",IFERROR(INDEX(FILTER('Client contacts'!$C$2:$C$500,('Client contacts'!$A$2:$A$500=$A31)*('Client contacts'!$G$2:$G$500="Y"),""),1),""))</f>
        <v/>
      </c>
      <c r="H31" s="5">
        <f>IF($A31="","",IFERROR(INDEX(FILTER('Client contacts'!$B$2:$B$500,('Client contacts'!$A$2:$A$500=$A31)*('Client contacts'!$G$2:$G$500="Y"),""),2),""))</f>
        <v/>
      </c>
      <c r="I31" s="5">
        <f>IF($A31="","",IFERROR(INDEX(FILTER('Client contacts'!$C$2:$C$500,('Client contacts'!$A$2:$A$500=$A31)*('Client contacts'!$G$2:$G$500="Y"),""),2),""))</f>
        <v/>
      </c>
      <c r="J31" s="8" t="n"/>
      <c r="K31" s="8" t="n"/>
      <c r="L31" s="8" t="n"/>
      <c r="M31" s="8" t="n"/>
      <c r="N31" s="8" t="n"/>
      <c r="O31" s="8" t="n"/>
      <c r="P31" s="8" t="n"/>
      <c r="Q31" s="8" t="n"/>
      <c r="R31" s="5">
        <f>IF($A31="","",IFERROR(INDEX(Companies!$I$2:$I$500,MATCH($A31,Companies!$A$2:$A$500,0)),""))</f>
        <v/>
      </c>
      <c r="S31" s="8" t="n"/>
      <c r="T31" s="8" t="n"/>
      <c r="U31" s="8" t="n"/>
      <c r="V31" s="8" t="n"/>
      <c r="W31" s="8" t="n"/>
    </row>
    <row r="32">
      <c r="C32" s="5">
        <f>IF($B32="","",TRIM(IF(INDEX('MOA role matrix'!$B$2:$D$13,1,MATCH($B32,'MOA role matrix'!$B$1:$D$1,0))="Fill","Project initiator, ","")IF(INDEX('MOA role matrix'!$B$2:$D$13,1,MATCH($B32,'MOA role matrix'!$B$1:$D$1,0))="If finance","Project initiator (if finance), ","")IF(INDEX('MOA role matrix'!$B$2:$D$13,1,MATCH($B32,'MOA role matrix'!$B$1:$D$1,0))="Auto","Project initiator (auto), ","")IF(INDEX('MOA role matrix'!$B$2:$D$13,2,MATCH($B32,'MOA role matrix'!$B$1:$D$1,0))="Fill","MOA signers (client), ","")IF(INDEX('MOA role matrix'!$B$2:$D$13,2,MATCH($B32,'MOA role matrix'!$B$1:$D$1,0))="If finance","MOA signers (client) (if finance), ","")IF(INDEX('MOA role matrix'!$B$2:$D$13,2,MATCH($B32,'MOA role matrix'!$B$1:$D$1,0))="Auto","MOA signers (client) (auto), ","")IF(INDEX('MOA role matrix'!$B$2:$D$13,3,MATCH($B32,'MOA role matrix'!$B$1:$D$1,0))="Fill","CFO / Head of Finance, ","")IF(INDEX('MOA role matrix'!$B$2:$D$13,3,MATCH($B32,'MOA role matrix'!$B$1:$D$1,0))="If finance","CFO / Head of Finance (if finance), ","")IF(INDEX('MOA role matrix'!$B$2:$D$13,3,MATCH($B32,'MOA role matrix'!$B$1:$D$1,0))="Auto","CFO / Head of Finance (auto), ","")IF(INDEX('MOA role matrix'!$B$2:$D$13,4,MATCH($B32,'MOA role matrix'!$B$1:$D$1,0))="Fill","CEO / COO / GM, ","")IF(INDEX('MOA role matrix'!$B$2:$D$13,4,MATCH($B32,'MOA role matrix'!$B$1:$D$1,0))="If finance","CEO / COO / GM (if finance), ","")IF(INDEX('MOA role matrix'!$B$2:$D$13,4,MATCH($B32,'MOA role matrix'!$B$1:$D$1,0))="Auto","CEO / COO / GM (auto), ","")IF(INDEX('MOA role matrix'!$B$2:$D$13,5,MATCH($B32,'MOA role matrix'!$B$1:$D$1,0))="Fill","Board member 1, ","")IF(INDEX('MOA role matrix'!$B$2:$D$13,5,MATCH($B32,'MOA role matrix'!$B$1:$D$1,0))="If finance","Board member 1 (if finance), ","")IF(INDEX('MOA role matrix'!$B$2:$D$13,5,MATCH($B32,'MOA role matrix'!$B$1:$D$1,0))="Auto","Board member 1 (auto), ","")IF(INDEX('MOA role matrix'!$B$2:$D$13,6,MATCH($B32,'MOA role matrix'!$B$1:$D$1,0))="Fill","Board member 2, ","")IF(INDEX('MOA role matrix'!$B$2:$D$13,6,MATCH($B32,'MOA role matrix'!$B$1:$D$1,0))="If finance","Board member 2 (if finance), ","")IF(INDEX('MOA role matrix'!$B$2:$D$13,6,MATCH($B32,'MOA role matrix'!$B$1:$D$1,0))="Auto","Board member 2 (auto), ","")IF(INDEX('MOA role matrix'!$B$2:$D$13,7,MATCH($B32,'MOA role matrix'!$B$1:$D$1,0))="Fill","LOA holder 1, ","")IF(INDEX('MOA role matrix'!$B$2:$D$13,7,MATCH($B32,'MOA role matrix'!$B$1:$D$1,0))="If finance","LOA holder 1 (if finance), ","")IF(INDEX('MOA role matrix'!$B$2:$D$13,7,MATCH($B32,'MOA role matrix'!$B$1:$D$1,0))="Auto","LOA holder 1 (auto), ","")IF(INDEX('MOA role matrix'!$B$2:$D$13,8,MATCH($B32,'MOA role matrix'!$B$1:$D$1,0))="Fill","LOA holder 2, ","")IF(INDEX('MOA role matrix'!$B$2:$D$13,8,MATCH($B32,'MOA role matrix'!$B$1:$D$1,0))="If finance","LOA holder 2 (if finance), ","")IF(INDEX('MOA role matrix'!$B$2:$D$13,8,MATCH($B32,'MOA role matrix'!$B$1:$D$1,0))="Auto","LOA holder 2 (auto), ","")IF(INDEX('MOA role matrix'!$B$2:$D$13,9,MATCH($B32,'MOA role matrix'!$B$1:$D$1,0))="Fill","Senior Manager CoSec, ","")IF(INDEX('MOA role matrix'!$B$2:$D$13,9,MATCH($B32,'MOA role matrix'!$B$1:$D$1,0))="If finance","Senior Manager CoSec (if finance), ","")IF(INDEX('MOA role matrix'!$B$2:$D$13,9,MATCH($B32,'MOA role matrix'!$B$1:$D$1,0))="Auto","Senior Manager CoSec (auto), ","")IF(INDEX('MOA role matrix'!$B$2:$D$13,10,MATCH($B32,'MOA role matrix'!$B$1:$D$1,0))="Fill","Division MOI managers, ","")IF(INDEX('MOA role matrix'!$B$2:$D$13,10,MATCH($B32,'MOA role matrix'!$B$1:$D$1,0))="If finance","Division MOI managers (if finance), ","")IF(INDEX('MOA role matrix'!$B$2:$D$13,10,MATCH($B32,'MOA role matrix'!$B$1:$D$1,0))="Auto","Division MOI managers (auto), ","")IF(INDEX('MOA role matrix'!$B$2:$D$13,11,MATCH($B32,'MOA role matrix'!$B$1:$D$1,0))="Fill","Ms Teh (bank), ","")IF(INDEX('MOA role matrix'!$B$2:$D$13,11,MATCH($B32,'MOA role matrix'!$B$1:$D$1,0))="If finance","Ms Teh (bank) (if finance), ","")IF(INDEX('MOA role matrix'!$B$2:$D$13,11,MATCH($B32,'MOA role matrix'!$B$1:$D$1,0))="Auto","Ms Teh (bank) (auto), ","")IF(INDEX('MOA role matrix'!$B$2:$D$13,12,MATCH($B32,'MOA role matrix'!$B$1:$D$1,0))="Fill","DLCM, ","")IF(INDEX('MOA role matrix'!$B$2:$D$13,12,MATCH($B32,'MOA role matrix'!$B$1:$D$1,0))="If finance","DLCM (if finance), ","")IF(INDEX('MOA role matrix'!$B$2:$D$13,12,MATCH($B32,'MOA role matrix'!$B$1:$D$1,0))="Auto","DLCM (auto), ","")))</f>
        <v/>
      </c>
      <c r="D32" s="5">
        <f>IF($A32="","",IFERROR(INDEX(FILTER('Client contacts'!$B$2:$B$500,('Client contacts'!$A$2:$A$500=$A32)*('Client contacts'!$H$2:$H$500="Y"),""),1),""))</f>
        <v/>
      </c>
      <c r="E32" s="5">
        <f>IF($A32="","",IFERROR(INDEX(FILTER('Client contacts'!$C$2:$C$500,('Client contacts'!$A$2:$A$500=$A32)*('Client contacts'!$H$2:$H$500="Y"),""),1),""))</f>
        <v/>
      </c>
      <c r="F32" s="5">
        <f>IF($A32="","",IFERROR(INDEX(FILTER('Client contacts'!$B$2:$B$500,('Client contacts'!$A$2:$A$500=$A32)*('Client contacts'!$G$2:$G$500="Y"),""),1),""))</f>
        <v/>
      </c>
      <c r="G32" s="5">
        <f>IF($A32="","",IFERROR(INDEX(FILTER('Client contacts'!$C$2:$C$500,('Client contacts'!$A$2:$A$500=$A32)*('Client contacts'!$G$2:$G$500="Y"),""),1),""))</f>
        <v/>
      </c>
      <c r="H32" s="5">
        <f>IF($A32="","",IFERROR(INDEX(FILTER('Client contacts'!$B$2:$B$500,('Client contacts'!$A$2:$A$500=$A32)*('Client contacts'!$G$2:$G$500="Y"),""),2),""))</f>
        <v/>
      </c>
      <c r="I32" s="5">
        <f>IF($A32="","",IFERROR(INDEX(FILTER('Client contacts'!$C$2:$C$500,('Client contacts'!$A$2:$A$500=$A32)*('Client contacts'!$G$2:$G$500="Y"),""),2),""))</f>
        <v/>
      </c>
      <c r="J32" s="8" t="n"/>
      <c r="K32" s="8" t="n"/>
      <c r="L32" s="8" t="n"/>
      <c r="M32" s="8" t="n"/>
      <c r="N32" s="8" t="n"/>
      <c r="O32" s="8" t="n"/>
      <c r="P32" s="8" t="n"/>
      <c r="Q32" s="8" t="n"/>
      <c r="R32" s="5">
        <f>IF($A32="","",IFERROR(INDEX(Companies!$I$2:$I$500,MATCH($A32,Companies!$A$2:$A$500,0)),""))</f>
        <v/>
      </c>
      <c r="S32" s="8" t="n"/>
      <c r="T32" s="8" t="n"/>
      <c r="U32" s="8" t="n"/>
      <c r="V32" s="8" t="n"/>
      <c r="W32" s="8" t="n"/>
    </row>
    <row r="33">
      <c r="C33" s="5">
        <f>IF($B33="","",TRIM(IF(INDEX('MOA role matrix'!$B$2:$D$13,1,MATCH($B33,'MOA role matrix'!$B$1:$D$1,0))="Fill","Project initiator, ","")IF(INDEX('MOA role matrix'!$B$2:$D$13,1,MATCH($B33,'MOA role matrix'!$B$1:$D$1,0))="If finance","Project initiator (if finance), ","")IF(INDEX('MOA role matrix'!$B$2:$D$13,1,MATCH($B33,'MOA role matrix'!$B$1:$D$1,0))="Auto","Project initiator (auto), ","")IF(INDEX('MOA role matrix'!$B$2:$D$13,2,MATCH($B33,'MOA role matrix'!$B$1:$D$1,0))="Fill","MOA signers (client), ","")IF(INDEX('MOA role matrix'!$B$2:$D$13,2,MATCH($B33,'MOA role matrix'!$B$1:$D$1,0))="If finance","MOA signers (client) (if finance), ","")IF(INDEX('MOA role matrix'!$B$2:$D$13,2,MATCH($B33,'MOA role matrix'!$B$1:$D$1,0))="Auto","MOA signers (client) (auto), ","")IF(INDEX('MOA role matrix'!$B$2:$D$13,3,MATCH($B33,'MOA role matrix'!$B$1:$D$1,0))="Fill","CFO / Head of Finance, ","")IF(INDEX('MOA role matrix'!$B$2:$D$13,3,MATCH($B33,'MOA role matrix'!$B$1:$D$1,0))="If finance","CFO / Head of Finance (if finance), ","")IF(INDEX('MOA role matrix'!$B$2:$D$13,3,MATCH($B33,'MOA role matrix'!$B$1:$D$1,0))="Auto","CFO / Head of Finance (auto), ","")IF(INDEX('MOA role matrix'!$B$2:$D$13,4,MATCH($B33,'MOA role matrix'!$B$1:$D$1,0))="Fill","CEO / COO / GM, ","")IF(INDEX('MOA role matrix'!$B$2:$D$13,4,MATCH($B33,'MOA role matrix'!$B$1:$D$1,0))="If finance","CEO / COO / GM (if finance), ","")IF(INDEX('MOA role matrix'!$B$2:$D$13,4,MATCH($B33,'MOA role matrix'!$B$1:$D$1,0))="Auto","CEO / COO / GM (auto), ","")IF(INDEX('MOA role matrix'!$B$2:$D$13,5,MATCH($B33,'MOA role matrix'!$B$1:$D$1,0))="Fill","Board member 1, ","")IF(INDEX('MOA role matrix'!$B$2:$D$13,5,MATCH($B33,'MOA role matrix'!$B$1:$D$1,0))="If finance","Board member 1 (if finance), ","")IF(INDEX('MOA role matrix'!$B$2:$D$13,5,MATCH($B33,'MOA role matrix'!$B$1:$D$1,0))="Auto","Board member 1 (auto), ","")IF(INDEX('MOA role matrix'!$B$2:$D$13,6,MATCH($B33,'MOA role matrix'!$B$1:$D$1,0))="Fill","Board member 2, ","")IF(INDEX('MOA role matrix'!$B$2:$D$13,6,MATCH($B33,'MOA role matrix'!$B$1:$D$1,0))="If finance","Board member 2 (if finance), ","")IF(INDEX('MOA role matrix'!$B$2:$D$13,6,MATCH($B33,'MOA role matrix'!$B$1:$D$1,0))="Auto","Board member 2 (auto), ","")IF(INDEX('MOA role matrix'!$B$2:$D$13,7,MATCH($B33,'MOA role matrix'!$B$1:$D$1,0))="Fill","LOA holder 1, ","")IF(INDEX('MOA role matrix'!$B$2:$D$13,7,MATCH($B33,'MOA role matrix'!$B$1:$D$1,0))="If finance","LOA holder 1 (if finance), ","")IF(INDEX('MOA role matrix'!$B$2:$D$13,7,MATCH($B33,'MOA role matrix'!$B$1:$D$1,0))="Auto","LOA holder 1 (auto), ","")IF(INDEX('MOA role matrix'!$B$2:$D$13,8,MATCH($B33,'MOA role matrix'!$B$1:$D$1,0))="Fill","LOA holder 2, ","")IF(INDEX('MOA role matrix'!$B$2:$D$13,8,MATCH($B33,'MOA role matrix'!$B$1:$D$1,0))="If finance","LOA holder 2 (if finance), ","")IF(INDEX('MOA role matrix'!$B$2:$D$13,8,MATCH($B33,'MOA role matrix'!$B$1:$D$1,0))="Auto","LOA holder 2 (auto), ","")IF(INDEX('MOA role matrix'!$B$2:$D$13,9,MATCH($B33,'MOA role matrix'!$B$1:$D$1,0))="Fill","Senior Manager CoSec, ","")IF(INDEX('MOA role matrix'!$B$2:$D$13,9,MATCH($B33,'MOA role matrix'!$B$1:$D$1,0))="If finance","Senior Manager CoSec (if finance), ","")IF(INDEX('MOA role matrix'!$B$2:$D$13,9,MATCH($B33,'MOA role matrix'!$B$1:$D$1,0))="Auto","Senior Manager CoSec (auto), ","")IF(INDEX('MOA role matrix'!$B$2:$D$13,10,MATCH($B33,'MOA role matrix'!$B$1:$D$1,0))="Fill","Division MOI managers, ","")IF(INDEX('MOA role matrix'!$B$2:$D$13,10,MATCH($B33,'MOA role matrix'!$B$1:$D$1,0))="If finance","Division MOI managers (if finance), ","")IF(INDEX('MOA role matrix'!$B$2:$D$13,10,MATCH($B33,'MOA role matrix'!$B$1:$D$1,0))="Auto","Division MOI managers (auto), ","")IF(INDEX('MOA role matrix'!$B$2:$D$13,11,MATCH($B33,'MOA role matrix'!$B$1:$D$1,0))="Fill","Ms Teh (bank), ","")IF(INDEX('MOA role matrix'!$B$2:$D$13,11,MATCH($B33,'MOA role matrix'!$B$1:$D$1,0))="If finance","Ms Teh (bank) (if finance), ","")IF(INDEX('MOA role matrix'!$B$2:$D$13,11,MATCH($B33,'MOA role matrix'!$B$1:$D$1,0))="Auto","Ms Teh (bank) (auto), ","")IF(INDEX('MOA role matrix'!$B$2:$D$13,12,MATCH($B33,'MOA role matrix'!$B$1:$D$1,0))="Fill","DLCM, ","")IF(INDEX('MOA role matrix'!$B$2:$D$13,12,MATCH($B33,'MOA role matrix'!$B$1:$D$1,0))="If finance","DLCM (if finance), ","")IF(INDEX('MOA role matrix'!$B$2:$D$13,12,MATCH($B33,'MOA role matrix'!$B$1:$D$1,0))="Auto","DLCM (auto), ","")))</f>
        <v/>
      </c>
      <c r="D33" s="5">
        <f>IF($A33="","",IFERROR(INDEX(FILTER('Client contacts'!$B$2:$B$500,('Client contacts'!$A$2:$A$500=$A33)*('Client contacts'!$H$2:$H$500="Y"),""),1),""))</f>
        <v/>
      </c>
      <c r="E33" s="5">
        <f>IF($A33="","",IFERROR(INDEX(FILTER('Client contacts'!$C$2:$C$500,('Client contacts'!$A$2:$A$500=$A33)*('Client contacts'!$H$2:$H$500="Y"),""),1),""))</f>
        <v/>
      </c>
      <c r="F33" s="5">
        <f>IF($A33="","",IFERROR(INDEX(FILTER('Client contacts'!$B$2:$B$500,('Client contacts'!$A$2:$A$500=$A33)*('Client contacts'!$G$2:$G$500="Y"),""),1),""))</f>
        <v/>
      </c>
      <c r="G33" s="5">
        <f>IF($A33="","",IFERROR(INDEX(FILTER('Client contacts'!$C$2:$C$500,('Client contacts'!$A$2:$A$500=$A33)*('Client contacts'!$G$2:$G$500="Y"),""),1),""))</f>
        <v/>
      </c>
      <c r="H33" s="5">
        <f>IF($A33="","",IFERROR(INDEX(FILTER('Client contacts'!$B$2:$B$500,('Client contacts'!$A$2:$A$500=$A33)*('Client contacts'!$G$2:$G$500="Y"),""),2),""))</f>
        <v/>
      </c>
      <c r="I33" s="5">
        <f>IF($A33="","",IFERROR(INDEX(FILTER('Client contacts'!$C$2:$C$500,('Client contacts'!$A$2:$A$500=$A33)*('Client contacts'!$G$2:$G$500="Y"),""),2),""))</f>
        <v/>
      </c>
      <c r="J33" s="8" t="n"/>
      <c r="K33" s="8" t="n"/>
      <c r="L33" s="8" t="n"/>
      <c r="M33" s="8" t="n"/>
      <c r="N33" s="8" t="n"/>
      <c r="O33" s="8" t="n"/>
      <c r="P33" s="8" t="n"/>
      <c r="Q33" s="8" t="n"/>
      <c r="R33" s="5">
        <f>IF($A33="","",IFERROR(INDEX(Companies!$I$2:$I$500,MATCH($A33,Companies!$A$2:$A$500,0)),""))</f>
        <v/>
      </c>
      <c r="S33" s="8" t="n"/>
      <c r="T33" s="8" t="n"/>
      <c r="U33" s="8" t="n"/>
      <c r="V33" s="8" t="n"/>
      <c r="W33" s="8" t="n"/>
    </row>
    <row r="34">
      <c r="C34" s="5">
        <f>IF($B34="","",TRIM(IF(INDEX('MOA role matrix'!$B$2:$D$13,1,MATCH($B34,'MOA role matrix'!$B$1:$D$1,0))="Fill","Project initiator, ","")IF(INDEX('MOA role matrix'!$B$2:$D$13,1,MATCH($B34,'MOA role matrix'!$B$1:$D$1,0))="If finance","Project initiator (if finance), ","")IF(INDEX('MOA role matrix'!$B$2:$D$13,1,MATCH($B34,'MOA role matrix'!$B$1:$D$1,0))="Auto","Project initiator (auto), ","")IF(INDEX('MOA role matrix'!$B$2:$D$13,2,MATCH($B34,'MOA role matrix'!$B$1:$D$1,0))="Fill","MOA signers (client), ","")IF(INDEX('MOA role matrix'!$B$2:$D$13,2,MATCH($B34,'MOA role matrix'!$B$1:$D$1,0))="If finance","MOA signers (client) (if finance), ","")IF(INDEX('MOA role matrix'!$B$2:$D$13,2,MATCH($B34,'MOA role matrix'!$B$1:$D$1,0))="Auto","MOA signers (client) (auto), ","")IF(INDEX('MOA role matrix'!$B$2:$D$13,3,MATCH($B34,'MOA role matrix'!$B$1:$D$1,0))="Fill","CFO / Head of Finance, ","")IF(INDEX('MOA role matrix'!$B$2:$D$13,3,MATCH($B34,'MOA role matrix'!$B$1:$D$1,0))="If finance","CFO / Head of Finance (if finance), ","")IF(INDEX('MOA role matrix'!$B$2:$D$13,3,MATCH($B34,'MOA role matrix'!$B$1:$D$1,0))="Auto","CFO / Head of Finance (auto), ","")IF(INDEX('MOA role matrix'!$B$2:$D$13,4,MATCH($B34,'MOA role matrix'!$B$1:$D$1,0))="Fill","CEO / COO / GM, ","")IF(INDEX('MOA role matrix'!$B$2:$D$13,4,MATCH($B34,'MOA role matrix'!$B$1:$D$1,0))="If finance","CEO / COO / GM (if finance), ","")IF(INDEX('MOA role matrix'!$B$2:$D$13,4,MATCH($B34,'MOA role matrix'!$B$1:$D$1,0))="Auto","CEO / COO / GM (auto), ","")IF(INDEX('MOA role matrix'!$B$2:$D$13,5,MATCH($B34,'MOA role matrix'!$B$1:$D$1,0))="Fill","Board member 1, ","")IF(INDEX('MOA role matrix'!$B$2:$D$13,5,MATCH($B34,'MOA role matrix'!$B$1:$D$1,0))="If finance","Board member 1 (if finance), ","")IF(INDEX('MOA role matrix'!$B$2:$D$13,5,MATCH($B34,'MOA role matrix'!$B$1:$D$1,0))="Auto","Board member 1 (auto), ","")IF(INDEX('MOA role matrix'!$B$2:$D$13,6,MATCH($B34,'MOA role matrix'!$B$1:$D$1,0))="Fill","Board member 2, ","")IF(INDEX('MOA role matrix'!$B$2:$D$13,6,MATCH($B34,'MOA role matrix'!$B$1:$D$1,0))="If finance","Board member 2 (if finance), ","")IF(INDEX('MOA role matrix'!$B$2:$D$13,6,MATCH($B34,'MOA role matrix'!$B$1:$D$1,0))="Auto","Board member 2 (auto), ","")IF(INDEX('MOA role matrix'!$B$2:$D$13,7,MATCH($B34,'MOA role matrix'!$B$1:$D$1,0))="Fill","LOA holder 1, ","")IF(INDEX('MOA role matrix'!$B$2:$D$13,7,MATCH($B34,'MOA role matrix'!$B$1:$D$1,0))="If finance","LOA holder 1 (if finance), ","")IF(INDEX('MOA role matrix'!$B$2:$D$13,7,MATCH($B34,'MOA role matrix'!$B$1:$D$1,0))="Auto","LOA holder 1 (auto), ","")IF(INDEX('MOA role matrix'!$B$2:$D$13,8,MATCH($B34,'MOA role matrix'!$B$1:$D$1,0))="Fill","LOA holder 2, ","")IF(INDEX('MOA role matrix'!$B$2:$D$13,8,MATCH($B34,'MOA role matrix'!$B$1:$D$1,0))="If finance","LOA holder 2 (if finance), ","")IF(INDEX('MOA role matrix'!$B$2:$D$13,8,MATCH($B34,'MOA role matrix'!$B$1:$D$1,0))="Auto","LOA holder 2 (auto), ","")IF(INDEX('MOA role matrix'!$B$2:$D$13,9,MATCH($B34,'MOA role matrix'!$B$1:$D$1,0))="Fill","Senior Manager CoSec, ","")IF(INDEX('MOA role matrix'!$B$2:$D$13,9,MATCH($B34,'MOA role matrix'!$B$1:$D$1,0))="If finance","Senior Manager CoSec (if finance), ","")IF(INDEX('MOA role matrix'!$B$2:$D$13,9,MATCH($B34,'MOA role matrix'!$B$1:$D$1,0))="Auto","Senior Manager CoSec (auto), ","")IF(INDEX('MOA role matrix'!$B$2:$D$13,10,MATCH($B34,'MOA role matrix'!$B$1:$D$1,0))="Fill","Division MOI managers, ","")IF(INDEX('MOA role matrix'!$B$2:$D$13,10,MATCH($B34,'MOA role matrix'!$B$1:$D$1,0))="If finance","Division MOI managers (if finance), ","")IF(INDEX('MOA role matrix'!$B$2:$D$13,10,MATCH($B34,'MOA role matrix'!$B$1:$D$1,0))="Auto","Division MOI managers (auto), ","")IF(INDEX('MOA role matrix'!$B$2:$D$13,11,MATCH($B34,'MOA role matrix'!$B$1:$D$1,0))="Fill","Ms Teh (bank), ","")IF(INDEX('MOA role matrix'!$B$2:$D$13,11,MATCH($B34,'MOA role matrix'!$B$1:$D$1,0))="If finance","Ms Teh (bank) (if finance), ","")IF(INDEX('MOA role matrix'!$B$2:$D$13,11,MATCH($B34,'MOA role matrix'!$B$1:$D$1,0))="Auto","Ms Teh (bank) (auto), ","")IF(INDEX('MOA role matrix'!$B$2:$D$13,12,MATCH($B34,'MOA role matrix'!$B$1:$D$1,0))="Fill","DLCM, ","")IF(INDEX('MOA role matrix'!$B$2:$D$13,12,MATCH($B34,'MOA role matrix'!$B$1:$D$1,0))="If finance","DLCM (if finance), ","")IF(INDEX('MOA role matrix'!$B$2:$D$13,12,MATCH($B34,'MOA role matrix'!$B$1:$D$1,0))="Auto","DLCM (auto), ","")))</f>
        <v/>
      </c>
      <c r="D34" s="5">
        <f>IF($A34="","",IFERROR(INDEX(FILTER('Client contacts'!$B$2:$B$500,('Client contacts'!$A$2:$A$500=$A34)*('Client contacts'!$H$2:$H$500="Y"),""),1),""))</f>
        <v/>
      </c>
      <c r="E34" s="5">
        <f>IF($A34="","",IFERROR(INDEX(FILTER('Client contacts'!$C$2:$C$500,('Client contacts'!$A$2:$A$500=$A34)*('Client contacts'!$H$2:$H$500="Y"),""),1),""))</f>
        <v/>
      </c>
      <c r="F34" s="5">
        <f>IF($A34="","",IFERROR(INDEX(FILTER('Client contacts'!$B$2:$B$500,('Client contacts'!$A$2:$A$500=$A34)*('Client contacts'!$G$2:$G$500="Y"),""),1),""))</f>
        <v/>
      </c>
      <c r="G34" s="5">
        <f>IF($A34="","",IFERROR(INDEX(FILTER('Client contacts'!$C$2:$C$500,('Client contacts'!$A$2:$A$500=$A34)*('Client contacts'!$G$2:$G$500="Y"),""),1),""))</f>
        <v/>
      </c>
      <c r="H34" s="5">
        <f>IF($A34="","",IFERROR(INDEX(FILTER('Client contacts'!$B$2:$B$500,('Client contacts'!$A$2:$A$500=$A34)*('Client contacts'!$G$2:$G$500="Y"),""),2),""))</f>
        <v/>
      </c>
      <c r="I34" s="5">
        <f>IF($A34="","",IFERROR(INDEX(FILTER('Client contacts'!$C$2:$C$500,('Client contacts'!$A$2:$A$500=$A34)*('Client contacts'!$G$2:$G$500="Y"),""),2),""))</f>
        <v/>
      </c>
      <c r="J34" s="8" t="n"/>
      <c r="K34" s="8" t="n"/>
      <c r="L34" s="8" t="n"/>
      <c r="M34" s="8" t="n"/>
      <c r="N34" s="8" t="n"/>
      <c r="O34" s="8" t="n"/>
      <c r="P34" s="8" t="n"/>
      <c r="Q34" s="8" t="n"/>
      <c r="R34" s="5">
        <f>IF($A34="","",IFERROR(INDEX(Companies!$I$2:$I$500,MATCH($A34,Companies!$A$2:$A$500,0)),""))</f>
        <v/>
      </c>
      <c r="S34" s="8" t="n"/>
      <c r="T34" s="8" t="n"/>
      <c r="U34" s="8" t="n"/>
      <c r="V34" s="8" t="n"/>
      <c r="W34" s="8" t="n"/>
    </row>
    <row r="35">
      <c r="C35" s="5">
        <f>IF($B35="","",TRIM(IF(INDEX('MOA role matrix'!$B$2:$D$13,1,MATCH($B35,'MOA role matrix'!$B$1:$D$1,0))="Fill","Project initiator, ","")IF(INDEX('MOA role matrix'!$B$2:$D$13,1,MATCH($B35,'MOA role matrix'!$B$1:$D$1,0))="If finance","Project initiator (if finance), ","")IF(INDEX('MOA role matrix'!$B$2:$D$13,1,MATCH($B35,'MOA role matrix'!$B$1:$D$1,0))="Auto","Project initiator (auto), ","")IF(INDEX('MOA role matrix'!$B$2:$D$13,2,MATCH($B35,'MOA role matrix'!$B$1:$D$1,0))="Fill","MOA signers (client), ","")IF(INDEX('MOA role matrix'!$B$2:$D$13,2,MATCH($B35,'MOA role matrix'!$B$1:$D$1,0))="If finance","MOA signers (client) (if finance), ","")IF(INDEX('MOA role matrix'!$B$2:$D$13,2,MATCH($B35,'MOA role matrix'!$B$1:$D$1,0))="Auto","MOA signers (client) (auto), ","")IF(INDEX('MOA role matrix'!$B$2:$D$13,3,MATCH($B35,'MOA role matrix'!$B$1:$D$1,0))="Fill","CFO / Head of Finance, ","")IF(INDEX('MOA role matrix'!$B$2:$D$13,3,MATCH($B35,'MOA role matrix'!$B$1:$D$1,0))="If finance","CFO / Head of Finance (if finance), ","")IF(INDEX('MOA role matrix'!$B$2:$D$13,3,MATCH($B35,'MOA role matrix'!$B$1:$D$1,0))="Auto","CFO / Head of Finance (auto), ","")IF(INDEX('MOA role matrix'!$B$2:$D$13,4,MATCH($B35,'MOA role matrix'!$B$1:$D$1,0))="Fill","CEO / COO / GM, ","")IF(INDEX('MOA role matrix'!$B$2:$D$13,4,MATCH($B35,'MOA role matrix'!$B$1:$D$1,0))="If finance","CEO / COO / GM (if finance), ","")IF(INDEX('MOA role matrix'!$B$2:$D$13,4,MATCH($B35,'MOA role matrix'!$B$1:$D$1,0))="Auto","CEO / COO / GM (auto), ","")IF(INDEX('MOA role matrix'!$B$2:$D$13,5,MATCH($B35,'MOA role matrix'!$B$1:$D$1,0))="Fill","Board member 1, ","")IF(INDEX('MOA role matrix'!$B$2:$D$13,5,MATCH($B35,'MOA role matrix'!$B$1:$D$1,0))="If finance","Board member 1 (if finance), ","")IF(INDEX('MOA role matrix'!$B$2:$D$13,5,MATCH($B35,'MOA role matrix'!$B$1:$D$1,0))="Auto","Board member 1 (auto), ","")IF(INDEX('MOA role matrix'!$B$2:$D$13,6,MATCH($B35,'MOA role matrix'!$B$1:$D$1,0))="Fill","Board member 2, ","")IF(INDEX('MOA role matrix'!$B$2:$D$13,6,MATCH($B35,'MOA role matrix'!$B$1:$D$1,0))="If finance","Board member 2 (if finance), ","")IF(INDEX('MOA role matrix'!$B$2:$D$13,6,MATCH($B35,'MOA role matrix'!$B$1:$D$1,0))="Auto","Board member 2 (auto), ","")IF(INDEX('MOA role matrix'!$B$2:$D$13,7,MATCH($B35,'MOA role matrix'!$B$1:$D$1,0))="Fill","LOA holder 1, ","")IF(INDEX('MOA role matrix'!$B$2:$D$13,7,MATCH($B35,'MOA role matrix'!$B$1:$D$1,0))="If finance","LOA holder 1 (if finance), ","")IF(INDEX('MOA role matrix'!$B$2:$D$13,7,MATCH($B35,'MOA role matrix'!$B$1:$D$1,0))="Auto","LOA holder 1 (auto), ","")IF(INDEX('MOA role matrix'!$B$2:$D$13,8,MATCH($B35,'MOA role matrix'!$B$1:$D$1,0))="Fill","LOA holder 2, ","")IF(INDEX('MOA role matrix'!$B$2:$D$13,8,MATCH($B35,'MOA role matrix'!$B$1:$D$1,0))="If finance","LOA holder 2 (if finance), ","")IF(INDEX('MOA role matrix'!$B$2:$D$13,8,MATCH($B35,'MOA role matrix'!$B$1:$D$1,0))="Auto","LOA holder 2 (auto), ","")IF(INDEX('MOA role matrix'!$B$2:$D$13,9,MATCH($B35,'MOA role matrix'!$B$1:$D$1,0))="Fill","Senior Manager CoSec, ","")IF(INDEX('MOA role matrix'!$B$2:$D$13,9,MATCH($B35,'MOA role matrix'!$B$1:$D$1,0))="If finance","Senior Manager CoSec (if finance), ","")IF(INDEX('MOA role matrix'!$B$2:$D$13,9,MATCH($B35,'MOA role matrix'!$B$1:$D$1,0))="Auto","Senior Manager CoSec (auto), ","")IF(INDEX('MOA role matrix'!$B$2:$D$13,10,MATCH($B35,'MOA role matrix'!$B$1:$D$1,0))="Fill","Division MOI managers, ","")IF(INDEX('MOA role matrix'!$B$2:$D$13,10,MATCH($B35,'MOA role matrix'!$B$1:$D$1,0))="If finance","Division MOI managers (if finance), ","")IF(INDEX('MOA role matrix'!$B$2:$D$13,10,MATCH($B35,'MOA role matrix'!$B$1:$D$1,0))="Auto","Division MOI managers (auto), ","")IF(INDEX('MOA role matrix'!$B$2:$D$13,11,MATCH($B35,'MOA role matrix'!$B$1:$D$1,0))="Fill","Ms Teh (bank), ","")IF(INDEX('MOA role matrix'!$B$2:$D$13,11,MATCH($B35,'MOA role matrix'!$B$1:$D$1,0))="If finance","Ms Teh (bank) (if finance), ","")IF(INDEX('MOA role matrix'!$B$2:$D$13,11,MATCH($B35,'MOA role matrix'!$B$1:$D$1,0))="Auto","Ms Teh (bank) (auto), ","")IF(INDEX('MOA role matrix'!$B$2:$D$13,12,MATCH($B35,'MOA role matrix'!$B$1:$D$1,0))="Fill","DLCM, ","")IF(INDEX('MOA role matrix'!$B$2:$D$13,12,MATCH($B35,'MOA role matrix'!$B$1:$D$1,0))="If finance","DLCM (if finance), ","")IF(INDEX('MOA role matrix'!$B$2:$D$13,12,MATCH($B35,'MOA role matrix'!$B$1:$D$1,0))="Auto","DLCM (auto), ","")))</f>
        <v/>
      </c>
      <c r="D35" s="5">
        <f>IF($A35="","",IFERROR(INDEX(FILTER('Client contacts'!$B$2:$B$500,('Client contacts'!$A$2:$A$500=$A35)*('Client contacts'!$H$2:$H$500="Y"),""),1),""))</f>
        <v/>
      </c>
      <c r="E35" s="5">
        <f>IF($A35="","",IFERROR(INDEX(FILTER('Client contacts'!$C$2:$C$500,('Client contacts'!$A$2:$A$500=$A35)*('Client contacts'!$H$2:$H$500="Y"),""),1),""))</f>
        <v/>
      </c>
      <c r="F35" s="5">
        <f>IF($A35="","",IFERROR(INDEX(FILTER('Client contacts'!$B$2:$B$500,('Client contacts'!$A$2:$A$500=$A35)*('Client contacts'!$G$2:$G$500="Y"),""),1),""))</f>
        <v/>
      </c>
      <c r="G35" s="5">
        <f>IF($A35="","",IFERROR(INDEX(FILTER('Client contacts'!$C$2:$C$500,('Client contacts'!$A$2:$A$500=$A35)*('Client contacts'!$G$2:$G$500="Y"),""),1),""))</f>
        <v/>
      </c>
      <c r="H35" s="5">
        <f>IF($A35="","",IFERROR(INDEX(FILTER('Client contacts'!$B$2:$B$500,('Client contacts'!$A$2:$A$500=$A35)*('Client contacts'!$G$2:$G$500="Y"),""),2),""))</f>
        <v/>
      </c>
      <c r="I35" s="5">
        <f>IF($A35="","",IFERROR(INDEX(FILTER('Client contacts'!$C$2:$C$500,('Client contacts'!$A$2:$A$500=$A35)*('Client contacts'!$G$2:$G$500="Y"),""),2),""))</f>
        <v/>
      </c>
      <c r="J35" s="8" t="n"/>
      <c r="K35" s="8" t="n"/>
      <c r="L35" s="8" t="n"/>
      <c r="M35" s="8" t="n"/>
      <c r="N35" s="8" t="n"/>
      <c r="O35" s="8" t="n"/>
      <c r="P35" s="8" t="n"/>
      <c r="Q35" s="8" t="n"/>
      <c r="R35" s="5">
        <f>IF($A35="","",IFERROR(INDEX(Companies!$I$2:$I$500,MATCH($A35,Companies!$A$2:$A$500,0)),""))</f>
        <v/>
      </c>
      <c r="S35" s="8" t="n"/>
      <c r="T35" s="8" t="n"/>
      <c r="U35" s="8" t="n"/>
      <c r="V35" s="8" t="n"/>
      <c r="W35" s="8" t="n"/>
    </row>
    <row r="36">
      <c r="C36" s="5">
        <f>IF($B36="","",TRIM(IF(INDEX('MOA role matrix'!$B$2:$D$13,1,MATCH($B36,'MOA role matrix'!$B$1:$D$1,0))="Fill","Project initiator, ","")IF(INDEX('MOA role matrix'!$B$2:$D$13,1,MATCH($B36,'MOA role matrix'!$B$1:$D$1,0))="If finance","Project initiator (if finance), ","")IF(INDEX('MOA role matrix'!$B$2:$D$13,1,MATCH($B36,'MOA role matrix'!$B$1:$D$1,0))="Auto","Project initiator (auto), ","")IF(INDEX('MOA role matrix'!$B$2:$D$13,2,MATCH($B36,'MOA role matrix'!$B$1:$D$1,0))="Fill","MOA signers (client), ","")IF(INDEX('MOA role matrix'!$B$2:$D$13,2,MATCH($B36,'MOA role matrix'!$B$1:$D$1,0))="If finance","MOA signers (client) (if finance), ","")IF(INDEX('MOA role matrix'!$B$2:$D$13,2,MATCH($B36,'MOA role matrix'!$B$1:$D$1,0))="Auto","MOA signers (client) (auto), ","")IF(INDEX('MOA role matrix'!$B$2:$D$13,3,MATCH($B36,'MOA role matrix'!$B$1:$D$1,0))="Fill","CFO / Head of Finance, ","")IF(INDEX('MOA role matrix'!$B$2:$D$13,3,MATCH($B36,'MOA role matrix'!$B$1:$D$1,0))="If finance","CFO / Head of Finance (if finance), ","")IF(INDEX('MOA role matrix'!$B$2:$D$13,3,MATCH($B36,'MOA role matrix'!$B$1:$D$1,0))="Auto","CFO / Head of Finance (auto), ","")IF(INDEX('MOA role matrix'!$B$2:$D$13,4,MATCH($B36,'MOA role matrix'!$B$1:$D$1,0))="Fill","CEO / COO / GM, ","")IF(INDEX('MOA role matrix'!$B$2:$D$13,4,MATCH($B36,'MOA role matrix'!$B$1:$D$1,0))="If finance","CEO / COO / GM (if finance), ","")IF(INDEX('MOA role matrix'!$B$2:$D$13,4,MATCH($B36,'MOA role matrix'!$B$1:$D$1,0))="Auto","CEO / COO / GM (auto), ","")IF(INDEX('MOA role matrix'!$B$2:$D$13,5,MATCH($B36,'MOA role matrix'!$B$1:$D$1,0))="Fill","Board member 1, ","")IF(INDEX('MOA role matrix'!$B$2:$D$13,5,MATCH($B36,'MOA role matrix'!$B$1:$D$1,0))="If finance","Board member 1 (if finance), ","")IF(INDEX('MOA role matrix'!$B$2:$D$13,5,MATCH($B36,'MOA role matrix'!$B$1:$D$1,0))="Auto","Board member 1 (auto), ","")IF(INDEX('MOA role matrix'!$B$2:$D$13,6,MATCH($B36,'MOA role matrix'!$B$1:$D$1,0))="Fill","Board member 2, ","")IF(INDEX('MOA role matrix'!$B$2:$D$13,6,MATCH($B36,'MOA role matrix'!$B$1:$D$1,0))="If finance","Board member 2 (if finance), ","")IF(INDEX('MOA role matrix'!$B$2:$D$13,6,MATCH($B36,'MOA role matrix'!$B$1:$D$1,0))="Auto","Board member 2 (auto), ","")IF(INDEX('MOA role matrix'!$B$2:$D$13,7,MATCH($B36,'MOA role matrix'!$B$1:$D$1,0))="Fill","LOA holder 1, ","")IF(INDEX('MOA role matrix'!$B$2:$D$13,7,MATCH($B36,'MOA role matrix'!$B$1:$D$1,0))="If finance","LOA holder 1 (if finance), ","")IF(INDEX('MOA role matrix'!$B$2:$D$13,7,MATCH($B36,'MOA role matrix'!$B$1:$D$1,0))="Auto","LOA holder 1 (auto), ","")IF(INDEX('MOA role matrix'!$B$2:$D$13,8,MATCH($B36,'MOA role matrix'!$B$1:$D$1,0))="Fill","LOA holder 2, ","")IF(INDEX('MOA role matrix'!$B$2:$D$13,8,MATCH($B36,'MOA role matrix'!$B$1:$D$1,0))="If finance","LOA holder 2 (if finance), ","")IF(INDEX('MOA role matrix'!$B$2:$D$13,8,MATCH($B36,'MOA role matrix'!$B$1:$D$1,0))="Auto","LOA holder 2 (auto), ","")IF(INDEX('MOA role matrix'!$B$2:$D$13,9,MATCH($B36,'MOA role matrix'!$B$1:$D$1,0))="Fill","Senior Manager CoSec, ","")IF(INDEX('MOA role matrix'!$B$2:$D$13,9,MATCH($B36,'MOA role matrix'!$B$1:$D$1,0))="If finance","Senior Manager CoSec (if finance), ","")IF(INDEX('MOA role matrix'!$B$2:$D$13,9,MATCH($B36,'MOA role matrix'!$B$1:$D$1,0))="Auto","Senior Manager CoSec (auto), ","")IF(INDEX('MOA role matrix'!$B$2:$D$13,10,MATCH($B36,'MOA role matrix'!$B$1:$D$1,0))="Fill","Division MOI managers, ","")IF(INDEX('MOA role matrix'!$B$2:$D$13,10,MATCH($B36,'MOA role matrix'!$B$1:$D$1,0))="If finance","Division MOI managers (if finance), ","")IF(INDEX('MOA role matrix'!$B$2:$D$13,10,MATCH($B36,'MOA role matrix'!$B$1:$D$1,0))="Auto","Division MOI managers (auto), ","")IF(INDEX('MOA role matrix'!$B$2:$D$13,11,MATCH($B36,'MOA role matrix'!$B$1:$D$1,0))="Fill","Ms Teh (bank), ","")IF(INDEX('MOA role matrix'!$B$2:$D$13,11,MATCH($B36,'MOA role matrix'!$B$1:$D$1,0))="If finance","Ms Teh (bank) (if finance), ","")IF(INDEX('MOA role matrix'!$B$2:$D$13,11,MATCH($B36,'MOA role matrix'!$B$1:$D$1,0))="Auto","Ms Teh (bank) (auto), ","")IF(INDEX('MOA role matrix'!$B$2:$D$13,12,MATCH($B36,'MOA role matrix'!$B$1:$D$1,0))="Fill","DLCM, ","")IF(INDEX('MOA role matrix'!$B$2:$D$13,12,MATCH($B36,'MOA role matrix'!$B$1:$D$1,0))="If finance","DLCM (if finance), ","")IF(INDEX('MOA role matrix'!$B$2:$D$13,12,MATCH($B36,'MOA role matrix'!$B$1:$D$1,0))="Auto","DLCM (auto), ","")))</f>
        <v/>
      </c>
      <c r="D36" s="5">
        <f>IF($A36="","",IFERROR(INDEX(FILTER('Client contacts'!$B$2:$B$500,('Client contacts'!$A$2:$A$500=$A36)*('Client contacts'!$H$2:$H$500="Y"),""),1),""))</f>
        <v/>
      </c>
      <c r="E36" s="5">
        <f>IF($A36="","",IFERROR(INDEX(FILTER('Client contacts'!$C$2:$C$500,('Client contacts'!$A$2:$A$500=$A36)*('Client contacts'!$H$2:$H$500="Y"),""),1),""))</f>
        <v/>
      </c>
      <c r="F36" s="5">
        <f>IF($A36="","",IFERROR(INDEX(FILTER('Client contacts'!$B$2:$B$500,('Client contacts'!$A$2:$A$500=$A36)*('Client contacts'!$G$2:$G$500="Y"),""),1),""))</f>
        <v/>
      </c>
      <c r="G36" s="5">
        <f>IF($A36="","",IFERROR(INDEX(FILTER('Client contacts'!$C$2:$C$500,('Client contacts'!$A$2:$A$500=$A36)*('Client contacts'!$G$2:$G$500="Y"),""),1),""))</f>
        <v/>
      </c>
      <c r="H36" s="5">
        <f>IF($A36="","",IFERROR(INDEX(FILTER('Client contacts'!$B$2:$B$500,('Client contacts'!$A$2:$A$500=$A36)*('Client contacts'!$G$2:$G$500="Y"),""),2),""))</f>
        <v/>
      </c>
      <c r="I36" s="5">
        <f>IF($A36="","",IFERROR(INDEX(FILTER('Client contacts'!$C$2:$C$500,('Client contacts'!$A$2:$A$500=$A36)*('Client contacts'!$G$2:$G$500="Y"),""),2),""))</f>
        <v/>
      </c>
      <c r="J36" s="8" t="n"/>
      <c r="K36" s="8" t="n"/>
      <c r="L36" s="8" t="n"/>
      <c r="M36" s="8" t="n"/>
      <c r="N36" s="8" t="n"/>
      <c r="O36" s="8" t="n"/>
      <c r="P36" s="8" t="n"/>
      <c r="Q36" s="8" t="n"/>
      <c r="R36" s="5">
        <f>IF($A36="","",IFERROR(INDEX(Companies!$I$2:$I$500,MATCH($A36,Companies!$A$2:$A$500,0)),""))</f>
        <v/>
      </c>
      <c r="S36" s="8" t="n"/>
      <c r="T36" s="8" t="n"/>
      <c r="U36" s="8" t="n"/>
      <c r="V36" s="8" t="n"/>
      <c r="W36" s="8" t="n"/>
    </row>
    <row r="37">
      <c r="C37" s="5">
        <f>IF($B37="","",TRIM(IF(INDEX('MOA role matrix'!$B$2:$D$13,1,MATCH($B37,'MOA role matrix'!$B$1:$D$1,0))="Fill","Project initiator, ","")IF(INDEX('MOA role matrix'!$B$2:$D$13,1,MATCH($B37,'MOA role matrix'!$B$1:$D$1,0))="If finance","Project initiator (if finance), ","")IF(INDEX('MOA role matrix'!$B$2:$D$13,1,MATCH($B37,'MOA role matrix'!$B$1:$D$1,0))="Auto","Project initiator (auto), ","")IF(INDEX('MOA role matrix'!$B$2:$D$13,2,MATCH($B37,'MOA role matrix'!$B$1:$D$1,0))="Fill","MOA signers (client), ","")IF(INDEX('MOA role matrix'!$B$2:$D$13,2,MATCH($B37,'MOA role matrix'!$B$1:$D$1,0))="If finance","MOA signers (client) (if finance), ","")IF(INDEX('MOA role matrix'!$B$2:$D$13,2,MATCH($B37,'MOA role matrix'!$B$1:$D$1,0))="Auto","MOA signers (client) (auto), ","")IF(INDEX('MOA role matrix'!$B$2:$D$13,3,MATCH($B37,'MOA role matrix'!$B$1:$D$1,0))="Fill","CFO / Head of Finance, ","")IF(INDEX('MOA role matrix'!$B$2:$D$13,3,MATCH($B37,'MOA role matrix'!$B$1:$D$1,0))="If finance","CFO / Head of Finance (if finance), ","")IF(INDEX('MOA role matrix'!$B$2:$D$13,3,MATCH($B37,'MOA role matrix'!$B$1:$D$1,0))="Auto","CFO / Head of Finance (auto), ","")IF(INDEX('MOA role matrix'!$B$2:$D$13,4,MATCH($B37,'MOA role matrix'!$B$1:$D$1,0))="Fill","CEO / COO / GM, ","")IF(INDEX('MOA role matrix'!$B$2:$D$13,4,MATCH($B37,'MOA role matrix'!$B$1:$D$1,0))="If finance","CEO / COO / GM (if finance), ","")IF(INDEX('MOA role matrix'!$B$2:$D$13,4,MATCH($B37,'MOA role matrix'!$B$1:$D$1,0))="Auto","CEO / COO / GM (auto), ","")IF(INDEX('MOA role matrix'!$B$2:$D$13,5,MATCH($B37,'MOA role matrix'!$B$1:$D$1,0))="Fill","Board member 1, ","")IF(INDEX('MOA role matrix'!$B$2:$D$13,5,MATCH($B37,'MOA role matrix'!$B$1:$D$1,0))="If finance","Board member 1 (if finance), ","")IF(INDEX('MOA role matrix'!$B$2:$D$13,5,MATCH($B37,'MOA role matrix'!$B$1:$D$1,0))="Auto","Board member 1 (auto), ","")IF(INDEX('MOA role matrix'!$B$2:$D$13,6,MATCH($B37,'MOA role matrix'!$B$1:$D$1,0))="Fill","Board member 2, ","")IF(INDEX('MOA role matrix'!$B$2:$D$13,6,MATCH($B37,'MOA role matrix'!$B$1:$D$1,0))="If finance","Board member 2 (if finance), ","")IF(INDEX('MOA role matrix'!$B$2:$D$13,6,MATCH($B37,'MOA role matrix'!$B$1:$D$1,0))="Auto","Board member 2 (auto), ","")IF(INDEX('MOA role matrix'!$B$2:$D$13,7,MATCH($B37,'MOA role matrix'!$B$1:$D$1,0))="Fill","LOA holder 1, ","")IF(INDEX('MOA role matrix'!$B$2:$D$13,7,MATCH($B37,'MOA role matrix'!$B$1:$D$1,0))="If finance","LOA holder 1 (if finance), ","")IF(INDEX('MOA role matrix'!$B$2:$D$13,7,MATCH($B37,'MOA role matrix'!$B$1:$D$1,0))="Auto","LOA holder 1 (auto), ","")IF(INDEX('MOA role matrix'!$B$2:$D$13,8,MATCH($B37,'MOA role matrix'!$B$1:$D$1,0))="Fill","LOA holder 2, ","")IF(INDEX('MOA role matrix'!$B$2:$D$13,8,MATCH($B37,'MOA role matrix'!$B$1:$D$1,0))="If finance","LOA holder 2 (if finance), ","")IF(INDEX('MOA role matrix'!$B$2:$D$13,8,MATCH($B37,'MOA role matrix'!$B$1:$D$1,0))="Auto","LOA holder 2 (auto), ","")IF(INDEX('MOA role matrix'!$B$2:$D$13,9,MATCH($B37,'MOA role matrix'!$B$1:$D$1,0))="Fill","Senior Manager CoSec, ","")IF(INDEX('MOA role matrix'!$B$2:$D$13,9,MATCH($B37,'MOA role matrix'!$B$1:$D$1,0))="If finance","Senior Manager CoSec (if finance), ","")IF(INDEX('MOA role matrix'!$B$2:$D$13,9,MATCH($B37,'MOA role matrix'!$B$1:$D$1,0))="Auto","Senior Manager CoSec (auto), ","")IF(INDEX('MOA role matrix'!$B$2:$D$13,10,MATCH($B37,'MOA role matrix'!$B$1:$D$1,0))="Fill","Division MOI managers, ","")IF(INDEX('MOA role matrix'!$B$2:$D$13,10,MATCH($B37,'MOA role matrix'!$B$1:$D$1,0))="If finance","Division MOI managers (if finance), ","")IF(INDEX('MOA role matrix'!$B$2:$D$13,10,MATCH($B37,'MOA role matrix'!$B$1:$D$1,0))="Auto","Division MOI managers (auto), ","")IF(INDEX('MOA role matrix'!$B$2:$D$13,11,MATCH($B37,'MOA role matrix'!$B$1:$D$1,0))="Fill","Ms Teh (bank), ","")IF(INDEX('MOA role matrix'!$B$2:$D$13,11,MATCH($B37,'MOA role matrix'!$B$1:$D$1,0))="If finance","Ms Teh (bank) (if finance), ","")IF(INDEX('MOA role matrix'!$B$2:$D$13,11,MATCH($B37,'MOA role matrix'!$B$1:$D$1,0))="Auto","Ms Teh (bank) (auto), ","")IF(INDEX('MOA role matrix'!$B$2:$D$13,12,MATCH($B37,'MOA role matrix'!$B$1:$D$1,0))="Fill","DLCM, ","")IF(INDEX('MOA role matrix'!$B$2:$D$13,12,MATCH($B37,'MOA role matrix'!$B$1:$D$1,0))="If finance","DLCM (if finance), ","")IF(INDEX('MOA role matrix'!$B$2:$D$13,12,MATCH($B37,'MOA role matrix'!$B$1:$D$1,0))="Auto","DLCM (auto), ","")))</f>
        <v/>
      </c>
      <c r="D37" s="5">
        <f>IF($A37="","",IFERROR(INDEX(FILTER('Client contacts'!$B$2:$B$500,('Client contacts'!$A$2:$A$500=$A37)*('Client contacts'!$H$2:$H$500="Y"),""),1),""))</f>
        <v/>
      </c>
      <c r="E37" s="5">
        <f>IF($A37="","",IFERROR(INDEX(FILTER('Client contacts'!$C$2:$C$500,('Client contacts'!$A$2:$A$500=$A37)*('Client contacts'!$H$2:$H$500="Y"),""),1),""))</f>
        <v/>
      </c>
      <c r="F37" s="5">
        <f>IF($A37="","",IFERROR(INDEX(FILTER('Client contacts'!$B$2:$B$500,('Client contacts'!$A$2:$A$500=$A37)*('Client contacts'!$G$2:$G$500="Y"),""),1),""))</f>
        <v/>
      </c>
      <c r="G37" s="5">
        <f>IF($A37="","",IFERROR(INDEX(FILTER('Client contacts'!$C$2:$C$500,('Client contacts'!$A$2:$A$500=$A37)*('Client contacts'!$G$2:$G$500="Y"),""),1),""))</f>
        <v/>
      </c>
      <c r="H37" s="5">
        <f>IF($A37="","",IFERROR(INDEX(FILTER('Client contacts'!$B$2:$B$500,('Client contacts'!$A$2:$A$500=$A37)*('Client contacts'!$G$2:$G$500="Y"),""),2),""))</f>
        <v/>
      </c>
      <c r="I37" s="5">
        <f>IF($A37="","",IFERROR(INDEX(FILTER('Client contacts'!$C$2:$C$500,('Client contacts'!$A$2:$A$500=$A37)*('Client contacts'!$G$2:$G$500="Y"),""),2),""))</f>
        <v/>
      </c>
      <c r="J37" s="8" t="n"/>
      <c r="K37" s="8" t="n"/>
      <c r="L37" s="8" t="n"/>
      <c r="M37" s="8" t="n"/>
      <c r="N37" s="8" t="n"/>
      <c r="O37" s="8" t="n"/>
      <c r="P37" s="8" t="n"/>
      <c r="Q37" s="8" t="n"/>
      <c r="R37" s="5">
        <f>IF($A37="","",IFERROR(INDEX(Companies!$I$2:$I$500,MATCH($A37,Companies!$A$2:$A$500,0)),""))</f>
        <v/>
      </c>
      <c r="S37" s="8" t="n"/>
      <c r="T37" s="8" t="n"/>
      <c r="U37" s="8" t="n"/>
      <c r="V37" s="8" t="n"/>
      <c r="W37" s="8" t="n"/>
    </row>
    <row r="38">
      <c r="C38" s="5">
        <f>IF($B38="","",TRIM(IF(INDEX('MOA role matrix'!$B$2:$D$13,1,MATCH($B38,'MOA role matrix'!$B$1:$D$1,0))="Fill","Project initiator, ","")IF(INDEX('MOA role matrix'!$B$2:$D$13,1,MATCH($B38,'MOA role matrix'!$B$1:$D$1,0))="If finance","Project initiator (if finance), ","")IF(INDEX('MOA role matrix'!$B$2:$D$13,1,MATCH($B38,'MOA role matrix'!$B$1:$D$1,0))="Auto","Project initiator (auto), ","")IF(INDEX('MOA role matrix'!$B$2:$D$13,2,MATCH($B38,'MOA role matrix'!$B$1:$D$1,0))="Fill","MOA signers (client), ","")IF(INDEX('MOA role matrix'!$B$2:$D$13,2,MATCH($B38,'MOA role matrix'!$B$1:$D$1,0))="If finance","MOA signers (client) (if finance), ","")IF(INDEX('MOA role matrix'!$B$2:$D$13,2,MATCH($B38,'MOA role matrix'!$B$1:$D$1,0))="Auto","MOA signers (client) (auto), ","")IF(INDEX('MOA role matrix'!$B$2:$D$13,3,MATCH($B38,'MOA role matrix'!$B$1:$D$1,0))="Fill","CFO / Head of Finance, ","")IF(INDEX('MOA role matrix'!$B$2:$D$13,3,MATCH($B38,'MOA role matrix'!$B$1:$D$1,0))="If finance","CFO / Head of Finance (if finance), ","")IF(INDEX('MOA role matrix'!$B$2:$D$13,3,MATCH($B38,'MOA role matrix'!$B$1:$D$1,0))="Auto","CFO / Head of Finance (auto), ","")IF(INDEX('MOA role matrix'!$B$2:$D$13,4,MATCH($B38,'MOA role matrix'!$B$1:$D$1,0))="Fill","CEO / COO / GM, ","")IF(INDEX('MOA role matrix'!$B$2:$D$13,4,MATCH($B38,'MOA role matrix'!$B$1:$D$1,0))="If finance","CEO / COO / GM (if finance), ","")IF(INDEX('MOA role matrix'!$B$2:$D$13,4,MATCH($B38,'MOA role matrix'!$B$1:$D$1,0))="Auto","CEO / COO / GM (auto), ","")IF(INDEX('MOA role matrix'!$B$2:$D$13,5,MATCH($B38,'MOA role matrix'!$B$1:$D$1,0))="Fill","Board member 1, ","")IF(INDEX('MOA role matrix'!$B$2:$D$13,5,MATCH($B38,'MOA role matrix'!$B$1:$D$1,0))="If finance","Board member 1 (if finance), ","")IF(INDEX('MOA role matrix'!$B$2:$D$13,5,MATCH($B38,'MOA role matrix'!$B$1:$D$1,0))="Auto","Board member 1 (auto), ","")IF(INDEX('MOA role matrix'!$B$2:$D$13,6,MATCH($B38,'MOA role matrix'!$B$1:$D$1,0))="Fill","Board member 2, ","")IF(INDEX('MOA role matrix'!$B$2:$D$13,6,MATCH($B38,'MOA role matrix'!$B$1:$D$1,0))="If finance","Board member 2 (if finance), ","")IF(INDEX('MOA role matrix'!$B$2:$D$13,6,MATCH($B38,'MOA role matrix'!$B$1:$D$1,0))="Auto","Board member 2 (auto), ","")IF(INDEX('MOA role matrix'!$B$2:$D$13,7,MATCH($B38,'MOA role matrix'!$B$1:$D$1,0))="Fill","LOA holder 1, ","")IF(INDEX('MOA role matrix'!$B$2:$D$13,7,MATCH($B38,'MOA role matrix'!$B$1:$D$1,0))="If finance","LOA holder 1 (if finance), ","")IF(INDEX('MOA role matrix'!$B$2:$D$13,7,MATCH($B38,'MOA role matrix'!$B$1:$D$1,0))="Auto","LOA holder 1 (auto), ","")IF(INDEX('MOA role matrix'!$B$2:$D$13,8,MATCH($B38,'MOA role matrix'!$B$1:$D$1,0))="Fill","LOA holder 2, ","")IF(INDEX('MOA role matrix'!$B$2:$D$13,8,MATCH($B38,'MOA role matrix'!$B$1:$D$1,0))="If finance","LOA holder 2 (if finance), ","")IF(INDEX('MOA role matrix'!$B$2:$D$13,8,MATCH($B38,'MOA role matrix'!$B$1:$D$1,0))="Auto","LOA holder 2 (auto), ","")IF(INDEX('MOA role matrix'!$B$2:$D$13,9,MATCH($B38,'MOA role matrix'!$B$1:$D$1,0))="Fill","Senior Manager CoSec, ","")IF(INDEX('MOA role matrix'!$B$2:$D$13,9,MATCH($B38,'MOA role matrix'!$B$1:$D$1,0))="If finance","Senior Manager CoSec (if finance), ","")IF(INDEX('MOA role matrix'!$B$2:$D$13,9,MATCH($B38,'MOA role matrix'!$B$1:$D$1,0))="Auto","Senior Manager CoSec (auto), ","")IF(INDEX('MOA role matrix'!$B$2:$D$13,10,MATCH($B38,'MOA role matrix'!$B$1:$D$1,0))="Fill","Division MOI managers, ","")IF(INDEX('MOA role matrix'!$B$2:$D$13,10,MATCH($B38,'MOA role matrix'!$B$1:$D$1,0))="If finance","Division MOI managers (if finance), ","")IF(INDEX('MOA role matrix'!$B$2:$D$13,10,MATCH($B38,'MOA role matrix'!$B$1:$D$1,0))="Auto","Division MOI managers (auto), ","")IF(INDEX('MOA role matrix'!$B$2:$D$13,11,MATCH($B38,'MOA role matrix'!$B$1:$D$1,0))="Fill","Ms Teh (bank), ","")IF(INDEX('MOA role matrix'!$B$2:$D$13,11,MATCH($B38,'MOA role matrix'!$B$1:$D$1,0))="If finance","Ms Teh (bank) (if finance), ","")IF(INDEX('MOA role matrix'!$B$2:$D$13,11,MATCH($B38,'MOA role matrix'!$B$1:$D$1,0))="Auto","Ms Teh (bank) (auto), ","")IF(INDEX('MOA role matrix'!$B$2:$D$13,12,MATCH($B38,'MOA role matrix'!$B$1:$D$1,0))="Fill","DLCM, ","")IF(INDEX('MOA role matrix'!$B$2:$D$13,12,MATCH($B38,'MOA role matrix'!$B$1:$D$1,0))="If finance","DLCM (if finance), ","")IF(INDEX('MOA role matrix'!$B$2:$D$13,12,MATCH($B38,'MOA role matrix'!$B$1:$D$1,0))="Auto","DLCM (auto), ","")))</f>
        <v/>
      </c>
      <c r="D38" s="5">
        <f>IF($A38="","",IFERROR(INDEX(FILTER('Client contacts'!$B$2:$B$500,('Client contacts'!$A$2:$A$500=$A38)*('Client contacts'!$H$2:$H$500="Y"),""),1),""))</f>
        <v/>
      </c>
      <c r="E38" s="5">
        <f>IF($A38="","",IFERROR(INDEX(FILTER('Client contacts'!$C$2:$C$500,('Client contacts'!$A$2:$A$500=$A38)*('Client contacts'!$H$2:$H$500="Y"),""),1),""))</f>
        <v/>
      </c>
      <c r="F38" s="5">
        <f>IF($A38="","",IFERROR(INDEX(FILTER('Client contacts'!$B$2:$B$500,('Client contacts'!$A$2:$A$500=$A38)*('Client contacts'!$G$2:$G$500="Y"),""),1),""))</f>
        <v/>
      </c>
      <c r="G38" s="5">
        <f>IF($A38="","",IFERROR(INDEX(FILTER('Client contacts'!$C$2:$C$500,('Client contacts'!$A$2:$A$500=$A38)*('Client contacts'!$G$2:$G$500="Y"),""),1),""))</f>
        <v/>
      </c>
      <c r="H38" s="5">
        <f>IF($A38="","",IFERROR(INDEX(FILTER('Client contacts'!$B$2:$B$500,('Client contacts'!$A$2:$A$500=$A38)*('Client contacts'!$G$2:$G$500="Y"),""),2),""))</f>
        <v/>
      </c>
      <c r="I38" s="5">
        <f>IF($A38="","",IFERROR(INDEX(FILTER('Client contacts'!$C$2:$C$500,('Client contacts'!$A$2:$A$500=$A38)*('Client contacts'!$G$2:$G$500="Y"),""),2),""))</f>
        <v/>
      </c>
      <c r="J38" s="8" t="n"/>
      <c r="K38" s="8" t="n"/>
      <c r="L38" s="8" t="n"/>
      <c r="M38" s="8" t="n"/>
      <c r="N38" s="8" t="n"/>
      <c r="O38" s="8" t="n"/>
      <c r="P38" s="8" t="n"/>
      <c r="Q38" s="8" t="n"/>
      <c r="R38" s="5">
        <f>IF($A38="","",IFERROR(INDEX(Companies!$I$2:$I$500,MATCH($A38,Companies!$A$2:$A$500,0)),""))</f>
        <v/>
      </c>
      <c r="S38" s="8" t="n"/>
      <c r="T38" s="8" t="n"/>
      <c r="U38" s="8" t="n"/>
      <c r="V38" s="8" t="n"/>
      <c r="W38" s="8" t="n"/>
    </row>
    <row r="39">
      <c r="C39" s="5">
        <f>IF($B39="","",TRIM(IF(INDEX('MOA role matrix'!$B$2:$D$13,1,MATCH($B39,'MOA role matrix'!$B$1:$D$1,0))="Fill","Project initiator, ","")IF(INDEX('MOA role matrix'!$B$2:$D$13,1,MATCH($B39,'MOA role matrix'!$B$1:$D$1,0))="If finance","Project initiator (if finance), ","")IF(INDEX('MOA role matrix'!$B$2:$D$13,1,MATCH($B39,'MOA role matrix'!$B$1:$D$1,0))="Auto","Project initiator (auto), ","")IF(INDEX('MOA role matrix'!$B$2:$D$13,2,MATCH($B39,'MOA role matrix'!$B$1:$D$1,0))="Fill","MOA signers (client), ","")IF(INDEX('MOA role matrix'!$B$2:$D$13,2,MATCH($B39,'MOA role matrix'!$B$1:$D$1,0))="If finance","MOA signers (client) (if finance), ","")IF(INDEX('MOA role matrix'!$B$2:$D$13,2,MATCH($B39,'MOA role matrix'!$B$1:$D$1,0))="Auto","MOA signers (client) (auto), ","")IF(INDEX('MOA role matrix'!$B$2:$D$13,3,MATCH($B39,'MOA role matrix'!$B$1:$D$1,0))="Fill","CFO / Head of Finance, ","")IF(INDEX('MOA role matrix'!$B$2:$D$13,3,MATCH($B39,'MOA role matrix'!$B$1:$D$1,0))="If finance","CFO / Head of Finance (if finance), ","")IF(INDEX('MOA role matrix'!$B$2:$D$13,3,MATCH($B39,'MOA role matrix'!$B$1:$D$1,0))="Auto","CFO / Head of Finance (auto), ","")IF(INDEX('MOA role matrix'!$B$2:$D$13,4,MATCH($B39,'MOA role matrix'!$B$1:$D$1,0))="Fill","CEO / COO / GM, ","")IF(INDEX('MOA role matrix'!$B$2:$D$13,4,MATCH($B39,'MOA role matrix'!$B$1:$D$1,0))="If finance","CEO / COO / GM (if finance), ","")IF(INDEX('MOA role matrix'!$B$2:$D$13,4,MATCH($B39,'MOA role matrix'!$B$1:$D$1,0))="Auto","CEO / COO / GM (auto), ","")IF(INDEX('MOA role matrix'!$B$2:$D$13,5,MATCH($B39,'MOA role matrix'!$B$1:$D$1,0))="Fill","Board member 1, ","")IF(INDEX('MOA role matrix'!$B$2:$D$13,5,MATCH($B39,'MOA role matrix'!$B$1:$D$1,0))="If finance","Board member 1 (if finance), ","")IF(INDEX('MOA role matrix'!$B$2:$D$13,5,MATCH($B39,'MOA role matrix'!$B$1:$D$1,0))="Auto","Board member 1 (auto), ","")IF(INDEX('MOA role matrix'!$B$2:$D$13,6,MATCH($B39,'MOA role matrix'!$B$1:$D$1,0))="Fill","Board member 2, ","")IF(INDEX('MOA role matrix'!$B$2:$D$13,6,MATCH($B39,'MOA role matrix'!$B$1:$D$1,0))="If finance","Board member 2 (if finance), ","")IF(INDEX('MOA role matrix'!$B$2:$D$13,6,MATCH($B39,'MOA role matrix'!$B$1:$D$1,0))="Auto","Board member 2 (auto), ","")IF(INDEX('MOA role matrix'!$B$2:$D$13,7,MATCH($B39,'MOA role matrix'!$B$1:$D$1,0))="Fill","LOA holder 1, ","")IF(INDEX('MOA role matrix'!$B$2:$D$13,7,MATCH($B39,'MOA role matrix'!$B$1:$D$1,0))="If finance","LOA holder 1 (if finance), ","")IF(INDEX('MOA role matrix'!$B$2:$D$13,7,MATCH($B39,'MOA role matrix'!$B$1:$D$1,0))="Auto","LOA holder 1 (auto), ","")IF(INDEX('MOA role matrix'!$B$2:$D$13,8,MATCH($B39,'MOA role matrix'!$B$1:$D$1,0))="Fill","LOA holder 2, ","")IF(INDEX('MOA role matrix'!$B$2:$D$13,8,MATCH($B39,'MOA role matrix'!$B$1:$D$1,0))="If finance","LOA holder 2 (if finance), ","")IF(INDEX('MOA role matrix'!$B$2:$D$13,8,MATCH($B39,'MOA role matrix'!$B$1:$D$1,0))="Auto","LOA holder 2 (auto), ","")IF(INDEX('MOA role matrix'!$B$2:$D$13,9,MATCH($B39,'MOA role matrix'!$B$1:$D$1,0))="Fill","Senior Manager CoSec, ","")IF(INDEX('MOA role matrix'!$B$2:$D$13,9,MATCH($B39,'MOA role matrix'!$B$1:$D$1,0))="If finance","Senior Manager CoSec (if finance), ","")IF(INDEX('MOA role matrix'!$B$2:$D$13,9,MATCH($B39,'MOA role matrix'!$B$1:$D$1,0))="Auto","Senior Manager CoSec (auto), ","")IF(INDEX('MOA role matrix'!$B$2:$D$13,10,MATCH($B39,'MOA role matrix'!$B$1:$D$1,0))="Fill","Division MOI managers, ","")IF(INDEX('MOA role matrix'!$B$2:$D$13,10,MATCH($B39,'MOA role matrix'!$B$1:$D$1,0))="If finance","Division MOI managers (if finance), ","")IF(INDEX('MOA role matrix'!$B$2:$D$13,10,MATCH($B39,'MOA role matrix'!$B$1:$D$1,0))="Auto","Division MOI managers (auto), ","")IF(INDEX('MOA role matrix'!$B$2:$D$13,11,MATCH($B39,'MOA role matrix'!$B$1:$D$1,0))="Fill","Ms Teh (bank), ","")IF(INDEX('MOA role matrix'!$B$2:$D$13,11,MATCH($B39,'MOA role matrix'!$B$1:$D$1,0))="If finance","Ms Teh (bank) (if finance), ","")IF(INDEX('MOA role matrix'!$B$2:$D$13,11,MATCH($B39,'MOA role matrix'!$B$1:$D$1,0))="Auto","Ms Teh (bank) (auto), ","")IF(INDEX('MOA role matrix'!$B$2:$D$13,12,MATCH($B39,'MOA role matrix'!$B$1:$D$1,0))="Fill","DLCM, ","")IF(INDEX('MOA role matrix'!$B$2:$D$13,12,MATCH($B39,'MOA role matrix'!$B$1:$D$1,0))="If finance","DLCM (if finance), ","")IF(INDEX('MOA role matrix'!$B$2:$D$13,12,MATCH($B39,'MOA role matrix'!$B$1:$D$1,0))="Auto","DLCM (auto), ","")))</f>
        <v/>
      </c>
      <c r="D39" s="5">
        <f>IF($A39="","",IFERROR(INDEX(FILTER('Client contacts'!$B$2:$B$500,('Client contacts'!$A$2:$A$500=$A39)*('Client contacts'!$H$2:$H$500="Y"),""),1),""))</f>
        <v/>
      </c>
      <c r="E39" s="5">
        <f>IF($A39="","",IFERROR(INDEX(FILTER('Client contacts'!$C$2:$C$500,('Client contacts'!$A$2:$A$500=$A39)*('Client contacts'!$H$2:$H$500="Y"),""),1),""))</f>
        <v/>
      </c>
      <c r="F39" s="5">
        <f>IF($A39="","",IFERROR(INDEX(FILTER('Client contacts'!$B$2:$B$500,('Client contacts'!$A$2:$A$500=$A39)*('Client contacts'!$G$2:$G$500="Y"),""),1),""))</f>
        <v/>
      </c>
      <c r="G39" s="5">
        <f>IF($A39="","",IFERROR(INDEX(FILTER('Client contacts'!$C$2:$C$500,('Client contacts'!$A$2:$A$500=$A39)*('Client contacts'!$G$2:$G$500="Y"),""),1),""))</f>
        <v/>
      </c>
      <c r="H39" s="5">
        <f>IF($A39="","",IFERROR(INDEX(FILTER('Client contacts'!$B$2:$B$500,('Client contacts'!$A$2:$A$500=$A39)*('Client contacts'!$G$2:$G$500="Y"),""),2),""))</f>
        <v/>
      </c>
      <c r="I39" s="5">
        <f>IF($A39="","",IFERROR(INDEX(FILTER('Client contacts'!$C$2:$C$500,('Client contacts'!$A$2:$A$500=$A39)*('Client contacts'!$G$2:$G$500="Y"),""),2),""))</f>
        <v/>
      </c>
      <c r="J39" s="8" t="n"/>
      <c r="K39" s="8" t="n"/>
      <c r="L39" s="8" t="n"/>
      <c r="M39" s="8" t="n"/>
      <c r="N39" s="8" t="n"/>
      <c r="O39" s="8" t="n"/>
      <c r="P39" s="8" t="n"/>
      <c r="Q39" s="8" t="n"/>
      <c r="R39" s="5">
        <f>IF($A39="","",IFERROR(INDEX(Companies!$I$2:$I$500,MATCH($A39,Companies!$A$2:$A$500,0)),""))</f>
        <v/>
      </c>
      <c r="S39" s="8" t="n"/>
      <c r="T39" s="8" t="n"/>
      <c r="U39" s="8" t="n"/>
      <c r="V39" s="8" t="n"/>
      <c r="W39" s="8" t="n"/>
    </row>
    <row r="40">
      <c r="C40" s="5">
        <f>IF($B40="","",TRIM(IF(INDEX('MOA role matrix'!$B$2:$D$13,1,MATCH($B40,'MOA role matrix'!$B$1:$D$1,0))="Fill","Project initiator, ","")IF(INDEX('MOA role matrix'!$B$2:$D$13,1,MATCH($B40,'MOA role matrix'!$B$1:$D$1,0))="If finance","Project initiator (if finance), ","")IF(INDEX('MOA role matrix'!$B$2:$D$13,1,MATCH($B40,'MOA role matrix'!$B$1:$D$1,0))="Auto","Project initiator (auto), ","")IF(INDEX('MOA role matrix'!$B$2:$D$13,2,MATCH($B40,'MOA role matrix'!$B$1:$D$1,0))="Fill","MOA signers (client), ","")IF(INDEX('MOA role matrix'!$B$2:$D$13,2,MATCH($B40,'MOA role matrix'!$B$1:$D$1,0))="If finance","MOA signers (client) (if finance), ","")IF(INDEX('MOA role matrix'!$B$2:$D$13,2,MATCH($B40,'MOA role matrix'!$B$1:$D$1,0))="Auto","MOA signers (client) (auto), ","")IF(INDEX('MOA role matrix'!$B$2:$D$13,3,MATCH($B40,'MOA role matrix'!$B$1:$D$1,0))="Fill","CFO / Head of Finance, ","")IF(INDEX('MOA role matrix'!$B$2:$D$13,3,MATCH($B40,'MOA role matrix'!$B$1:$D$1,0))="If finance","CFO / Head of Finance (if finance), ","")IF(INDEX('MOA role matrix'!$B$2:$D$13,3,MATCH($B40,'MOA role matrix'!$B$1:$D$1,0))="Auto","CFO / Head of Finance (auto), ","")IF(INDEX('MOA role matrix'!$B$2:$D$13,4,MATCH($B40,'MOA role matrix'!$B$1:$D$1,0))="Fill","CEO / COO / GM, ","")IF(INDEX('MOA role matrix'!$B$2:$D$13,4,MATCH($B40,'MOA role matrix'!$B$1:$D$1,0))="If finance","CEO / COO / GM (if finance), ","")IF(INDEX('MOA role matrix'!$B$2:$D$13,4,MATCH($B40,'MOA role matrix'!$B$1:$D$1,0))="Auto","CEO / COO / GM (auto), ","")IF(INDEX('MOA role matrix'!$B$2:$D$13,5,MATCH($B40,'MOA role matrix'!$B$1:$D$1,0))="Fill","Board member 1, ","")IF(INDEX('MOA role matrix'!$B$2:$D$13,5,MATCH($B40,'MOA role matrix'!$B$1:$D$1,0))="If finance","Board member 1 (if finance), ","")IF(INDEX('MOA role matrix'!$B$2:$D$13,5,MATCH($B40,'MOA role matrix'!$B$1:$D$1,0))="Auto","Board member 1 (auto), ","")IF(INDEX('MOA role matrix'!$B$2:$D$13,6,MATCH($B40,'MOA role matrix'!$B$1:$D$1,0))="Fill","Board member 2, ","")IF(INDEX('MOA role matrix'!$B$2:$D$13,6,MATCH($B40,'MOA role matrix'!$B$1:$D$1,0))="If finance","Board member 2 (if finance), ","")IF(INDEX('MOA role matrix'!$B$2:$D$13,6,MATCH($B40,'MOA role matrix'!$B$1:$D$1,0))="Auto","Board member 2 (auto), ","")IF(INDEX('MOA role matrix'!$B$2:$D$13,7,MATCH($B40,'MOA role matrix'!$B$1:$D$1,0))="Fill","LOA holder 1, ","")IF(INDEX('MOA role matrix'!$B$2:$D$13,7,MATCH($B40,'MOA role matrix'!$B$1:$D$1,0))="If finance","LOA holder 1 (if finance), ","")IF(INDEX('MOA role matrix'!$B$2:$D$13,7,MATCH($B40,'MOA role matrix'!$B$1:$D$1,0))="Auto","LOA holder 1 (auto), ","")IF(INDEX('MOA role matrix'!$B$2:$D$13,8,MATCH($B40,'MOA role matrix'!$B$1:$D$1,0))="Fill","LOA holder 2, ","")IF(INDEX('MOA role matrix'!$B$2:$D$13,8,MATCH($B40,'MOA role matrix'!$B$1:$D$1,0))="If finance","LOA holder 2 (if finance), ","")IF(INDEX('MOA role matrix'!$B$2:$D$13,8,MATCH($B40,'MOA role matrix'!$B$1:$D$1,0))="Auto","LOA holder 2 (auto), ","")IF(INDEX('MOA role matrix'!$B$2:$D$13,9,MATCH($B40,'MOA role matrix'!$B$1:$D$1,0))="Fill","Senior Manager CoSec, ","")IF(INDEX('MOA role matrix'!$B$2:$D$13,9,MATCH($B40,'MOA role matrix'!$B$1:$D$1,0))="If finance","Senior Manager CoSec (if finance), ","")IF(INDEX('MOA role matrix'!$B$2:$D$13,9,MATCH($B40,'MOA role matrix'!$B$1:$D$1,0))="Auto","Senior Manager CoSec (auto), ","")IF(INDEX('MOA role matrix'!$B$2:$D$13,10,MATCH($B40,'MOA role matrix'!$B$1:$D$1,0))="Fill","Division MOI managers, ","")IF(INDEX('MOA role matrix'!$B$2:$D$13,10,MATCH($B40,'MOA role matrix'!$B$1:$D$1,0))="If finance","Division MOI managers (if finance), ","")IF(INDEX('MOA role matrix'!$B$2:$D$13,10,MATCH($B40,'MOA role matrix'!$B$1:$D$1,0))="Auto","Division MOI managers (auto), ","")IF(INDEX('MOA role matrix'!$B$2:$D$13,11,MATCH($B40,'MOA role matrix'!$B$1:$D$1,0))="Fill","Ms Teh (bank), ","")IF(INDEX('MOA role matrix'!$B$2:$D$13,11,MATCH($B40,'MOA role matrix'!$B$1:$D$1,0))="If finance","Ms Teh (bank) (if finance), ","")IF(INDEX('MOA role matrix'!$B$2:$D$13,11,MATCH($B40,'MOA role matrix'!$B$1:$D$1,0))="Auto","Ms Teh (bank) (auto), ","")IF(INDEX('MOA role matrix'!$B$2:$D$13,12,MATCH($B40,'MOA role matrix'!$B$1:$D$1,0))="Fill","DLCM, ","")IF(INDEX('MOA role matrix'!$B$2:$D$13,12,MATCH($B40,'MOA role matrix'!$B$1:$D$1,0))="If finance","DLCM (if finance), ","")IF(INDEX('MOA role matrix'!$B$2:$D$13,12,MATCH($B40,'MOA role matrix'!$B$1:$D$1,0))="Auto","DLCM (auto), ","")))</f>
        <v/>
      </c>
      <c r="D40" s="5">
        <f>IF($A40="","",IFERROR(INDEX(FILTER('Client contacts'!$B$2:$B$500,('Client contacts'!$A$2:$A$500=$A40)*('Client contacts'!$H$2:$H$500="Y"),""),1),""))</f>
        <v/>
      </c>
      <c r="E40" s="5">
        <f>IF($A40="","",IFERROR(INDEX(FILTER('Client contacts'!$C$2:$C$500,('Client contacts'!$A$2:$A$500=$A40)*('Client contacts'!$H$2:$H$500="Y"),""),1),""))</f>
        <v/>
      </c>
      <c r="F40" s="5">
        <f>IF($A40="","",IFERROR(INDEX(FILTER('Client contacts'!$B$2:$B$500,('Client contacts'!$A$2:$A$500=$A40)*('Client contacts'!$G$2:$G$500="Y"),""),1),""))</f>
        <v/>
      </c>
      <c r="G40" s="5">
        <f>IF($A40="","",IFERROR(INDEX(FILTER('Client contacts'!$C$2:$C$500,('Client contacts'!$A$2:$A$500=$A40)*('Client contacts'!$G$2:$G$500="Y"),""),1),""))</f>
        <v/>
      </c>
      <c r="H40" s="5">
        <f>IF($A40="","",IFERROR(INDEX(FILTER('Client contacts'!$B$2:$B$500,('Client contacts'!$A$2:$A$500=$A40)*('Client contacts'!$G$2:$G$500="Y"),""),2),""))</f>
        <v/>
      </c>
      <c r="I40" s="5">
        <f>IF($A40="","",IFERROR(INDEX(FILTER('Client contacts'!$C$2:$C$500,('Client contacts'!$A$2:$A$500=$A40)*('Client contacts'!$G$2:$G$500="Y"),""),2),""))</f>
        <v/>
      </c>
      <c r="J40" s="8" t="n"/>
      <c r="K40" s="8" t="n"/>
      <c r="L40" s="8" t="n"/>
      <c r="M40" s="8" t="n"/>
      <c r="N40" s="8" t="n"/>
      <c r="O40" s="8" t="n"/>
      <c r="P40" s="8" t="n"/>
      <c r="Q40" s="8" t="n"/>
      <c r="R40" s="5">
        <f>IF($A40="","",IFERROR(INDEX(Companies!$I$2:$I$500,MATCH($A40,Companies!$A$2:$A$500,0)),""))</f>
        <v/>
      </c>
      <c r="S40" s="8" t="n"/>
      <c r="T40" s="8" t="n"/>
      <c r="U40" s="8" t="n"/>
      <c r="V40" s="8" t="n"/>
      <c r="W40" s="8" t="n"/>
    </row>
    <row r="41">
      <c r="C41" s="5">
        <f>IF($B41="","",TRIM(IF(INDEX('MOA role matrix'!$B$2:$D$13,1,MATCH($B41,'MOA role matrix'!$B$1:$D$1,0))="Fill","Project initiator, ","")IF(INDEX('MOA role matrix'!$B$2:$D$13,1,MATCH($B41,'MOA role matrix'!$B$1:$D$1,0))="If finance","Project initiator (if finance), ","")IF(INDEX('MOA role matrix'!$B$2:$D$13,1,MATCH($B41,'MOA role matrix'!$B$1:$D$1,0))="Auto","Project initiator (auto), ","")IF(INDEX('MOA role matrix'!$B$2:$D$13,2,MATCH($B41,'MOA role matrix'!$B$1:$D$1,0))="Fill","MOA signers (client), ","")IF(INDEX('MOA role matrix'!$B$2:$D$13,2,MATCH($B41,'MOA role matrix'!$B$1:$D$1,0))="If finance","MOA signers (client) (if finance), ","")IF(INDEX('MOA role matrix'!$B$2:$D$13,2,MATCH($B41,'MOA role matrix'!$B$1:$D$1,0))="Auto","MOA signers (client) (auto), ","")IF(INDEX('MOA role matrix'!$B$2:$D$13,3,MATCH($B41,'MOA role matrix'!$B$1:$D$1,0))="Fill","CFO / Head of Finance, ","")IF(INDEX('MOA role matrix'!$B$2:$D$13,3,MATCH($B41,'MOA role matrix'!$B$1:$D$1,0))="If finance","CFO / Head of Finance (if finance), ","")IF(INDEX('MOA role matrix'!$B$2:$D$13,3,MATCH($B41,'MOA role matrix'!$B$1:$D$1,0))="Auto","CFO / Head of Finance (auto), ","")IF(INDEX('MOA role matrix'!$B$2:$D$13,4,MATCH($B41,'MOA role matrix'!$B$1:$D$1,0))="Fill","CEO / COO / GM, ","")IF(INDEX('MOA role matrix'!$B$2:$D$13,4,MATCH($B41,'MOA role matrix'!$B$1:$D$1,0))="If finance","CEO / COO / GM (if finance), ","")IF(INDEX('MOA role matrix'!$B$2:$D$13,4,MATCH($B41,'MOA role matrix'!$B$1:$D$1,0))="Auto","CEO / COO / GM (auto), ","")IF(INDEX('MOA role matrix'!$B$2:$D$13,5,MATCH($B41,'MOA role matrix'!$B$1:$D$1,0))="Fill","Board member 1, ","")IF(INDEX('MOA role matrix'!$B$2:$D$13,5,MATCH($B41,'MOA role matrix'!$B$1:$D$1,0))="If finance","Board member 1 (if finance), ","")IF(INDEX('MOA role matrix'!$B$2:$D$13,5,MATCH($B41,'MOA role matrix'!$B$1:$D$1,0))="Auto","Board member 1 (auto), ","")IF(INDEX('MOA role matrix'!$B$2:$D$13,6,MATCH($B41,'MOA role matrix'!$B$1:$D$1,0))="Fill","Board member 2, ","")IF(INDEX('MOA role matrix'!$B$2:$D$13,6,MATCH($B41,'MOA role matrix'!$B$1:$D$1,0))="If finance","Board member 2 (if finance), ","")IF(INDEX('MOA role matrix'!$B$2:$D$13,6,MATCH($B41,'MOA role matrix'!$B$1:$D$1,0))="Auto","Board member 2 (auto), ","")IF(INDEX('MOA role matrix'!$B$2:$D$13,7,MATCH($B41,'MOA role matrix'!$B$1:$D$1,0))="Fill","LOA holder 1, ","")IF(INDEX('MOA role matrix'!$B$2:$D$13,7,MATCH($B41,'MOA role matrix'!$B$1:$D$1,0))="If finance","LOA holder 1 (if finance), ","")IF(INDEX('MOA role matrix'!$B$2:$D$13,7,MATCH($B41,'MOA role matrix'!$B$1:$D$1,0))="Auto","LOA holder 1 (auto), ","")IF(INDEX('MOA role matrix'!$B$2:$D$13,8,MATCH($B41,'MOA role matrix'!$B$1:$D$1,0))="Fill","LOA holder 2, ","")IF(INDEX('MOA role matrix'!$B$2:$D$13,8,MATCH($B41,'MOA role matrix'!$B$1:$D$1,0))="If finance","LOA holder 2 (if finance), ","")IF(INDEX('MOA role matrix'!$B$2:$D$13,8,MATCH($B41,'MOA role matrix'!$B$1:$D$1,0))="Auto","LOA holder 2 (auto), ","")IF(INDEX('MOA role matrix'!$B$2:$D$13,9,MATCH($B41,'MOA role matrix'!$B$1:$D$1,0))="Fill","Senior Manager CoSec, ","")IF(INDEX('MOA role matrix'!$B$2:$D$13,9,MATCH($B41,'MOA role matrix'!$B$1:$D$1,0))="If finance","Senior Manager CoSec (if finance), ","")IF(INDEX('MOA role matrix'!$B$2:$D$13,9,MATCH($B41,'MOA role matrix'!$B$1:$D$1,0))="Auto","Senior Manager CoSec (auto), ","")IF(INDEX('MOA role matrix'!$B$2:$D$13,10,MATCH($B41,'MOA role matrix'!$B$1:$D$1,0))="Fill","Division MOI managers, ","")IF(INDEX('MOA role matrix'!$B$2:$D$13,10,MATCH($B41,'MOA role matrix'!$B$1:$D$1,0))="If finance","Division MOI managers (if finance), ","")IF(INDEX('MOA role matrix'!$B$2:$D$13,10,MATCH($B41,'MOA role matrix'!$B$1:$D$1,0))="Auto","Division MOI managers (auto), ","")IF(INDEX('MOA role matrix'!$B$2:$D$13,11,MATCH($B41,'MOA role matrix'!$B$1:$D$1,0))="Fill","Ms Teh (bank), ","")IF(INDEX('MOA role matrix'!$B$2:$D$13,11,MATCH($B41,'MOA role matrix'!$B$1:$D$1,0))="If finance","Ms Teh (bank) (if finance), ","")IF(INDEX('MOA role matrix'!$B$2:$D$13,11,MATCH($B41,'MOA role matrix'!$B$1:$D$1,0))="Auto","Ms Teh (bank) (auto), ","")IF(INDEX('MOA role matrix'!$B$2:$D$13,12,MATCH($B41,'MOA role matrix'!$B$1:$D$1,0))="Fill","DLCM, ","")IF(INDEX('MOA role matrix'!$B$2:$D$13,12,MATCH($B41,'MOA role matrix'!$B$1:$D$1,0))="If finance","DLCM (if finance), ","")IF(INDEX('MOA role matrix'!$B$2:$D$13,12,MATCH($B41,'MOA role matrix'!$B$1:$D$1,0))="Auto","DLCM (auto), ","")))</f>
        <v/>
      </c>
      <c r="D41" s="5">
        <f>IF($A41="","",IFERROR(INDEX(FILTER('Client contacts'!$B$2:$B$500,('Client contacts'!$A$2:$A$500=$A41)*('Client contacts'!$H$2:$H$500="Y"),""),1),""))</f>
        <v/>
      </c>
      <c r="E41" s="5">
        <f>IF($A41="","",IFERROR(INDEX(FILTER('Client contacts'!$C$2:$C$500,('Client contacts'!$A$2:$A$500=$A41)*('Client contacts'!$H$2:$H$500="Y"),""),1),""))</f>
        <v/>
      </c>
      <c r="F41" s="5">
        <f>IF($A41="","",IFERROR(INDEX(FILTER('Client contacts'!$B$2:$B$500,('Client contacts'!$A$2:$A$500=$A41)*('Client contacts'!$G$2:$G$500="Y"),""),1),""))</f>
        <v/>
      </c>
      <c r="G41" s="5">
        <f>IF($A41="","",IFERROR(INDEX(FILTER('Client contacts'!$C$2:$C$500,('Client contacts'!$A$2:$A$500=$A41)*('Client contacts'!$G$2:$G$500="Y"),""),1),""))</f>
        <v/>
      </c>
      <c r="H41" s="5">
        <f>IF($A41="","",IFERROR(INDEX(FILTER('Client contacts'!$B$2:$B$500,('Client contacts'!$A$2:$A$500=$A41)*('Client contacts'!$G$2:$G$500="Y"),""),2),""))</f>
        <v/>
      </c>
      <c r="I41" s="5">
        <f>IF($A41="","",IFERROR(INDEX(FILTER('Client contacts'!$C$2:$C$500,('Client contacts'!$A$2:$A$500=$A41)*('Client contacts'!$G$2:$G$500="Y"),""),2),""))</f>
        <v/>
      </c>
      <c r="J41" s="8" t="n"/>
      <c r="K41" s="8" t="n"/>
      <c r="L41" s="8" t="n"/>
      <c r="M41" s="8" t="n"/>
      <c r="N41" s="8" t="n"/>
      <c r="O41" s="8" t="n"/>
      <c r="P41" s="8" t="n"/>
      <c r="Q41" s="8" t="n"/>
      <c r="R41" s="5">
        <f>IF($A41="","",IFERROR(INDEX(Companies!$I$2:$I$500,MATCH($A41,Companies!$A$2:$A$500,0)),""))</f>
        <v/>
      </c>
      <c r="S41" s="8" t="n"/>
      <c r="T41" s="8" t="n"/>
      <c r="U41" s="8" t="n"/>
      <c r="V41" s="8" t="n"/>
      <c r="W41" s="8" t="n"/>
    </row>
    <row r="42">
      <c r="C42" s="5">
        <f>IF($B42="","",TRIM(IF(INDEX('MOA role matrix'!$B$2:$D$13,1,MATCH($B42,'MOA role matrix'!$B$1:$D$1,0))="Fill","Project initiator, ","")IF(INDEX('MOA role matrix'!$B$2:$D$13,1,MATCH($B42,'MOA role matrix'!$B$1:$D$1,0))="If finance","Project initiator (if finance), ","")IF(INDEX('MOA role matrix'!$B$2:$D$13,1,MATCH($B42,'MOA role matrix'!$B$1:$D$1,0))="Auto","Project initiator (auto), ","")IF(INDEX('MOA role matrix'!$B$2:$D$13,2,MATCH($B42,'MOA role matrix'!$B$1:$D$1,0))="Fill","MOA signers (client), ","")IF(INDEX('MOA role matrix'!$B$2:$D$13,2,MATCH($B42,'MOA role matrix'!$B$1:$D$1,0))="If finance","MOA signers (client) (if finance), ","")IF(INDEX('MOA role matrix'!$B$2:$D$13,2,MATCH($B42,'MOA role matrix'!$B$1:$D$1,0))="Auto","MOA signers (client) (auto), ","")IF(INDEX('MOA role matrix'!$B$2:$D$13,3,MATCH($B42,'MOA role matrix'!$B$1:$D$1,0))="Fill","CFO / Head of Finance, ","")IF(INDEX('MOA role matrix'!$B$2:$D$13,3,MATCH($B42,'MOA role matrix'!$B$1:$D$1,0))="If finance","CFO / Head of Finance (if finance), ","")IF(INDEX('MOA role matrix'!$B$2:$D$13,3,MATCH($B42,'MOA role matrix'!$B$1:$D$1,0))="Auto","CFO / Head of Finance (auto), ","")IF(INDEX('MOA role matrix'!$B$2:$D$13,4,MATCH($B42,'MOA role matrix'!$B$1:$D$1,0))="Fill","CEO / COO / GM, ","")IF(INDEX('MOA role matrix'!$B$2:$D$13,4,MATCH($B42,'MOA role matrix'!$B$1:$D$1,0))="If finance","CEO / COO / GM (if finance), ","")IF(INDEX('MOA role matrix'!$B$2:$D$13,4,MATCH($B42,'MOA role matrix'!$B$1:$D$1,0))="Auto","CEO / COO / GM (auto), ","")IF(INDEX('MOA role matrix'!$B$2:$D$13,5,MATCH($B42,'MOA role matrix'!$B$1:$D$1,0))="Fill","Board member 1, ","")IF(INDEX('MOA role matrix'!$B$2:$D$13,5,MATCH($B42,'MOA role matrix'!$B$1:$D$1,0))="If finance","Board member 1 (if finance), ","")IF(INDEX('MOA role matrix'!$B$2:$D$13,5,MATCH($B42,'MOA role matrix'!$B$1:$D$1,0))="Auto","Board member 1 (auto), ","")IF(INDEX('MOA role matrix'!$B$2:$D$13,6,MATCH($B42,'MOA role matrix'!$B$1:$D$1,0))="Fill","Board member 2, ","")IF(INDEX('MOA role matrix'!$B$2:$D$13,6,MATCH($B42,'MOA role matrix'!$B$1:$D$1,0))="If finance","Board member 2 (if finance), ","")IF(INDEX('MOA role matrix'!$B$2:$D$13,6,MATCH($B42,'MOA role matrix'!$B$1:$D$1,0))="Auto","Board member 2 (auto), ","")IF(INDEX('MOA role matrix'!$B$2:$D$13,7,MATCH($B42,'MOA role matrix'!$B$1:$D$1,0))="Fill","LOA holder 1, ","")IF(INDEX('MOA role matrix'!$B$2:$D$13,7,MATCH($B42,'MOA role matrix'!$B$1:$D$1,0))="If finance","LOA holder 1 (if finance), ","")IF(INDEX('MOA role matrix'!$B$2:$D$13,7,MATCH($B42,'MOA role matrix'!$B$1:$D$1,0))="Auto","LOA holder 1 (auto), ","")IF(INDEX('MOA role matrix'!$B$2:$D$13,8,MATCH($B42,'MOA role matrix'!$B$1:$D$1,0))="Fill","LOA holder 2, ","")IF(INDEX('MOA role matrix'!$B$2:$D$13,8,MATCH($B42,'MOA role matrix'!$B$1:$D$1,0))="If finance","LOA holder 2 (if finance), ","")IF(INDEX('MOA role matrix'!$B$2:$D$13,8,MATCH($B42,'MOA role matrix'!$B$1:$D$1,0))="Auto","LOA holder 2 (auto), ","")IF(INDEX('MOA role matrix'!$B$2:$D$13,9,MATCH($B42,'MOA role matrix'!$B$1:$D$1,0))="Fill","Senior Manager CoSec, ","")IF(INDEX('MOA role matrix'!$B$2:$D$13,9,MATCH($B42,'MOA role matrix'!$B$1:$D$1,0))="If finance","Senior Manager CoSec (if finance), ","")IF(INDEX('MOA role matrix'!$B$2:$D$13,9,MATCH($B42,'MOA role matrix'!$B$1:$D$1,0))="Auto","Senior Manager CoSec (auto), ","")IF(INDEX('MOA role matrix'!$B$2:$D$13,10,MATCH($B42,'MOA role matrix'!$B$1:$D$1,0))="Fill","Division MOI managers, ","")IF(INDEX('MOA role matrix'!$B$2:$D$13,10,MATCH($B42,'MOA role matrix'!$B$1:$D$1,0))="If finance","Division MOI managers (if finance), ","")IF(INDEX('MOA role matrix'!$B$2:$D$13,10,MATCH($B42,'MOA role matrix'!$B$1:$D$1,0))="Auto","Division MOI managers (auto), ","")IF(INDEX('MOA role matrix'!$B$2:$D$13,11,MATCH($B42,'MOA role matrix'!$B$1:$D$1,0))="Fill","Ms Teh (bank), ","")IF(INDEX('MOA role matrix'!$B$2:$D$13,11,MATCH($B42,'MOA role matrix'!$B$1:$D$1,0))="If finance","Ms Teh (bank) (if finance), ","")IF(INDEX('MOA role matrix'!$B$2:$D$13,11,MATCH($B42,'MOA role matrix'!$B$1:$D$1,0))="Auto","Ms Teh (bank) (auto), ","")IF(INDEX('MOA role matrix'!$B$2:$D$13,12,MATCH($B42,'MOA role matrix'!$B$1:$D$1,0))="Fill","DLCM, ","")IF(INDEX('MOA role matrix'!$B$2:$D$13,12,MATCH($B42,'MOA role matrix'!$B$1:$D$1,0))="If finance","DLCM (if finance), ","")IF(INDEX('MOA role matrix'!$B$2:$D$13,12,MATCH($B42,'MOA role matrix'!$B$1:$D$1,0))="Auto","DLCM (auto), ","")))</f>
        <v/>
      </c>
      <c r="D42" s="5">
        <f>IF($A42="","",IFERROR(INDEX(FILTER('Client contacts'!$B$2:$B$500,('Client contacts'!$A$2:$A$500=$A42)*('Client contacts'!$H$2:$H$500="Y"),""),1),""))</f>
        <v/>
      </c>
      <c r="E42" s="5">
        <f>IF($A42="","",IFERROR(INDEX(FILTER('Client contacts'!$C$2:$C$500,('Client contacts'!$A$2:$A$500=$A42)*('Client contacts'!$H$2:$H$500="Y"),""),1),""))</f>
        <v/>
      </c>
      <c r="F42" s="5">
        <f>IF($A42="","",IFERROR(INDEX(FILTER('Client contacts'!$B$2:$B$500,('Client contacts'!$A$2:$A$500=$A42)*('Client contacts'!$G$2:$G$500="Y"),""),1),""))</f>
        <v/>
      </c>
      <c r="G42" s="5">
        <f>IF($A42="","",IFERROR(INDEX(FILTER('Client contacts'!$C$2:$C$500,('Client contacts'!$A$2:$A$500=$A42)*('Client contacts'!$G$2:$G$500="Y"),""),1),""))</f>
        <v/>
      </c>
      <c r="H42" s="5">
        <f>IF($A42="","",IFERROR(INDEX(FILTER('Client contacts'!$B$2:$B$500,('Client contacts'!$A$2:$A$500=$A42)*('Client contacts'!$G$2:$G$500="Y"),""),2),""))</f>
        <v/>
      </c>
      <c r="I42" s="5">
        <f>IF($A42="","",IFERROR(INDEX(FILTER('Client contacts'!$C$2:$C$500,('Client contacts'!$A$2:$A$500=$A42)*('Client contacts'!$G$2:$G$500="Y"),""),2),""))</f>
        <v/>
      </c>
      <c r="J42" s="8" t="n"/>
      <c r="K42" s="8" t="n"/>
      <c r="L42" s="8" t="n"/>
      <c r="M42" s="8" t="n"/>
      <c r="N42" s="8" t="n"/>
      <c r="O42" s="8" t="n"/>
      <c r="P42" s="8" t="n"/>
      <c r="Q42" s="8" t="n"/>
      <c r="R42" s="5">
        <f>IF($A42="","",IFERROR(INDEX(Companies!$I$2:$I$500,MATCH($A42,Companies!$A$2:$A$500,0)),""))</f>
        <v/>
      </c>
      <c r="S42" s="8" t="n"/>
      <c r="T42" s="8" t="n"/>
      <c r="U42" s="8" t="n"/>
      <c r="V42" s="8" t="n"/>
      <c r="W42" s="8" t="n"/>
    </row>
    <row r="43">
      <c r="C43" s="5">
        <f>IF($B43="","",TRIM(IF(INDEX('MOA role matrix'!$B$2:$D$13,1,MATCH($B43,'MOA role matrix'!$B$1:$D$1,0))="Fill","Project initiator, ","")IF(INDEX('MOA role matrix'!$B$2:$D$13,1,MATCH($B43,'MOA role matrix'!$B$1:$D$1,0))="If finance","Project initiator (if finance), ","")IF(INDEX('MOA role matrix'!$B$2:$D$13,1,MATCH($B43,'MOA role matrix'!$B$1:$D$1,0))="Auto","Project initiator (auto), ","")IF(INDEX('MOA role matrix'!$B$2:$D$13,2,MATCH($B43,'MOA role matrix'!$B$1:$D$1,0))="Fill","MOA signers (client), ","")IF(INDEX('MOA role matrix'!$B$2:$D$13,2,MATCH($B43,'MOA role matrix'!$B$1:$D$1,0))="If finance","MOA signers (client) (if finance), ","")IF(INDEX('MOA role matrix'!$B$2:$D$13,2,MATCH($B43,'MOA role matrix'!$B$1:$D$1,0))="Auto","MOA signers (client) (auto), ","")IF(INDEX('MOA role matrix'!$B$2:$D$13,3,MATCH($B43,'MOA role matrix'!$B$1:$D$1,0))="Fill","CFO / Head of Finance, ","")IF(INDEX('MOA role matrix'!$B$2:$D$13,3,MATCH($B43,'MOA role matrix'!$B$1:$D$1,0))="If finance","CFO / Head of Finance (if finance), ","")IF(INDEX('MOA role matrix'!$B$2:$D$13,3,MATCH($B43,'MOA role matrix'!$B$1:$D$1,0))="Auto","CFO / Head of Finance (auto), ","")IF(INDEX('MOA role matrix'!$B$2:$D$13,4,MATCH($B43,'MOA role matrix'!$B$1:$D$1,0))="Fill","CEO / COO / GM, ","")IF(INDEX('MOA role matrix'!$B$2:$D$13,4,MATCH($B43,'MOA role matrix'!$B$1:$D$1,0))="If finance","CEO / COO / GM (if finance), ","")IF(INDEX('MOA role matrix'!$B$2:$D$13,4,MATCH($B43,'MOA role matrix'!$B$1:$D$1,0))="Auto","CEO / COO / GM (auto), ","")IF(INDEX('MOA role matrix'!$B$2:$D$13,5,MATCH($B43,'MOA role matrix'!$B$1:$D$1,0))="Fill","Board member 1, ","")IF(INDEX('MOA role matrix'!$B$2:$D$13,5,MATCH($B43,'MOA role matrix'!$B$1:$D$1,0))="If finance","Board member 1 (if finance), ","")IF(INDEX('MOA role matrix'!$B$2:$D$13,5,MATCH($B43,'MOA role matrix'!$B$1:$D$1,0))="Auto","Board member 1 (auto), ","")IF(INDEX('MOA role matrix'!$B$2:$D$13,6,MATCH($B43,'MOA role matrix'!$B$1:$D$1,0))="Fill","Board member 2, ","")IF(INDEX('MOA role matrix'!$B$2:$D$13,6,MATCH($B43,'MOA role matrix'!$B$1:$D$1,0))="If finance","Board member 2 (if finance), ","")IF(INDEX('MOA role matrix'!$B$2:$D$13,6,MATCH($B43,'MOA role matrix'!$B$1:$D$1,0))="Auto","Board member 2 (auto), ","")IF(INDEX('MOA role matrix'!$B$2:$D$13,7,MATCH($B43,'MOA role matrix'!$B$1:$D$1,0))="Fill","LOA holder 1, ","")IF(INDEX('MOA role matrix'!$B$2:$D$13,7,MATCH($B43,'MOA role matrix'!$B$1:$D$1,0))="If finance","LOA holder 1 (if finance), ","")IF(INDEX('MOA role matrix'!$B$2:$D$13,7,MATCH($B43,'MOA role matrix'!$B$1:$D$1,0))="Auto","LOA holder 1 (auto), ","")IF(INDEX('MOA role matrix'!$B$2:$D$13,8,MATCH($B43,'MOA role matrix'!$B$1:$D$1,0))="Fill","LOA holder 2, ","")IF(INDEX('MOA role matrix'!$B$2:$D$13,8,MATCH($B43,'MOA role matrix'!$B$1:$D$1,0))="If finance","LOA holder 2 (if finance), ","")IF(INDEX('MOA role matrix'!$B$2:$D$13,8,MATCH($B43,'MOA role matrix'!$B$1:$D$1,0))="Auto","LOA holder 2 (auto), ","")IF(INDEX('MOA role matrix'!$B$2:$D$13,9,MATCH($B43,'MOA role matrix'!$B$1:$D$1,0))="Fill","Senior Manager CoSec, ","")IF(INDEX('MOA role matrix'!$B$2:$D$13,9,MATCH($B43,'MOA role matrix'!$B$1:$D$1,0))="If finance","Senior Manager CoSec (if finance), ","")IF(INDEX('MOA role matrix'!$B$2:$D$13,9,MATCH($B43,'MOA role matrix'!$B$1:$D$1,0))="Auto","Senior Manager CoSec (auto), ","")IF(INDEX('MOA role matrix'!$B$2:$D$13,10,MATCH($B43,'MOA role matrix'!$B$1:$D$1,0))="Fill","Division MOI managers, ","")IF(INDEX('MOA role matrix'!$B$2:$D$13,10,MATCH($B43,'MOA role matrix'!$B$1:$D$1,0))="If finance","Division MOI managers (if finance), ","")IF(INDEX('MOA role matrix'!$B$2:$D$13,10,MATCH($B43,'MOA role matrix'!$B$1:$D$1,0))="Auto","Division MOI managers (auto), ","")IF(INDEX('MOA role matrix'!$B$2:$D$13,11,MATCH($B43,'MOA role matrix'!$B$1:$D$1,0))="Fill","Ms Teh (bank), ","")IF(INDEX('MOA role matrix'!$B$2:$D$13,11,MATCH($B43,'MOA role matrix'!$B$1:$D$1,0))="If finance","Ms Teh (bank) (if finance), ","")IF(INDEX('MOA role matrix'!$B$2:$D$13,11,MATCH($B43,'MOA role matrix'!$B$1:$D$1,0))="Auto","Ms Teh (bank) (auto), ","")IF(INDEX('MOA role matrix'!$B$2:$D$13,12,MATCH($B43,'MOA role matrix'!$B$1:$D$1,0))="Fill","DLCM, ","")IF(INDEX('MOA role matrix'!$B$2:$D$13,12,MATCH($B43,'MOA role matrix'!$B$1:$D$1,0))="If finance","DLCM (if finance), ","")IF(INDEX('MOA role matrix'!$B$2:$D$13,12,MATCH($B43,'MOA role matrix'!$B$1:$D$1,0))="Auto","DLCM (auto), ","")))</f>
        <v/>
      </c>
      <c r="D43" s="5">
        <f>IF($A43="","",IFERROR(INDEX(FILTER('Client contacts'!$B$2:$B$500,('Client contacts'!$A$2:$A$500=$A43)*('Client contacts'!$H$2:$H$500="Y"),""),1),""))</f>
        <v/>
      </c>
      <c r="E43" s="5">
        <f>IF($A43="","",IFERROR(INDEX(FILTER('Client contacts'!$C$2:$C$500,('Client contacts'!$A$2:$A$500=$A43)*('Client contacts'!$H$2:$H$500="Y"),""),1),""))</f>
        <v/>
      </c>
      <c r="F43" s="5">
        <f>IF($A43="","",IFERROR(INDEX(FILTER('Client contacts'!$B$2:$B$500,('Client contacts'!$A$2:$A$500=$A43)*('Client contacts'!$G$2:$G$500="Y"),""),1),""))</f>
        <v/>
      </c>
      <c r="G43" s="5">
        <f>IF($A43="","",IFERROR(INDEX(FILTER('Client contacts'!$C$2:$C$500,('Client contacts'!$A$2:$A$500=$A43)*('Client contacts'!$G$2:$G$500="Y"),""),1),""))</f>
        <v/>
      </c>
      <c r="H43" s="5">
        <f>IF($A43="","",IFERROR(INDEX(FILTER('Client contacts'!$B$2:$B$500,('Client contacts'!$A$2:$A$500=$A43)*('Client contacts'!$G$2:$G$500="Y"),""),2),""))</f>
        <v/>
      </c>
      <c r="I43" s="5">
        <f>IF($A43="","",IFERROR(INDEX(FILTER('Client contacts'!$C$2:$C$500,('Client contacts'!$A$2:$A$500=$A43)*('Client contacts'!$G$2:$G$500="Y"),""),2),""))</f>
        <v/>
      </c>
      <c r="J43" s="8" t="n"/>
      <c r="K43" s="8" t="n"/>
      <c r="L43" s="8" t="n"/>
      <c r="M43" s="8" t="n"/>
      <c r="N43" s="8" t="n"/>
      <c r="O43" s="8" t="n"/>
      <c r="P43" s="8" t="n"/>
      <c r="Q43" s="8" t="n"/>
      <c r="R43" s="5">
        <f>IF($A43="","",IFERROR(INDEX(Companies!$I$2:$I$500,MATCH($A43,Companies!$A$2:$A$500,0)),""))</f>
        <v/>
      </c>
      <c r="S43" s="8" t="n"/>
      <c r="T43" s="8" t="n"/>
      <c r="U43" s="8" t="n"/>
      <c r="V43" s="8" t="n"/>
      <c r="W43" s="8" t="n"/>
    </row>
    <row r="44">
      <c r="C44" s="5">
        <f>IF($B44="","",TRIM(IF(INDEX('MOA role matrix'!$B$2:$D$13,1,MATCH($B44,'MOA role matrix'!$B$1:$D$1,0))="Fill","Project initiator, ","")IF(INDEX('MOA role matrix'!$B$2:$D$13,1,MATCH($B44,'MOA role matrix'!$B$1:$D$1,0))="If finance","Project initiator (if finance), ","")IF(INDEX('MOA role matrix'!$B$2:$D$13,1,MATCH($B44,'MOA role matrix'!$B$1:$D$1,0))="Auto","Project initiator (auto), ","")IF(INDEX('MOA role matrix'!$B$2:$D$13,2,MATCH($B44,'MOA role matrix'!$B$1:$D$1,0))="Fill","MOA signers (client), ","")IF(INDEX('MOA role matrix'!$B$2:$D$13,2,MATCH($B44,'MOA role matrix'!$B$1:$D$1,0))="If finance","MOA signers (client) (if finance), ","")IF(INDEX('MOA role matrix'!$B$2:$D$13,2,MATCH($B44,'MOA role matrix'!$B$1:$D$1,0))="Auto","MOA signers (client) (auto), ","")IF(INDEX('MOA role matrix'!$B$2:$D$13,3,MATCH($B44,'MOA role matrix'!$B$1:$D$1,0))="Fill","CFO / Head of Finance, ","")IF(INDEX('MOA role matrix'!$B$2:$D$13,3,MATCH($B44,'MOA role matrix'!$B$1:$D$1,0))="If finance","CFO / Head of Finance (if finance), ","")IF(INDEX('MOA role matrix'!$B$2:$D$13,3,MATCH($B44,'MOA role matrix'!$B$1:$D$1,0))="Auto","CFO / Head of Finance (auto), ","")IF(INDEX('MOA role matrix'!$B$2:$D$13,4,MATCH($B44,'MOA role matrix'!$B$1:$D$1,0))="Fill","CEO / COO / GM, ","")IF(INDEX('MOA role matrix'!$B$2:$D$13,4,MATCH($B44,'MOA role matrix'!$B$1:$D$1,0))="If finance","CEO / COO / GM (if finance), ","")IF(INDEX('MOA role matrix'!$B$2:$D$13,4,MATCH($B44,'MOA role matrix'!$B$1:$D$1,0))="Auto","CEO / COO / GM (auto), ","")IF(INDEX('MOA role matrix'!$B$2:$D$13,5,MATCH($B44,'MOA role matrix'!$B$1:$D$1,0))="Fill","Board member 1, ","")IF(INDEX('MOA role matrix'!$B$2:$D$13,5,MATCH($B44,'MOA role matrix'!$B$1:$D$1,0))="If finance","Board member 1 (if finance), ","")IF(INDEX('MOA role matrix'!$B$2:$D$13,5,MATCH($B44,'MOA role matrix'!$B$1:$D$1,0))="Auto","Board member 1 (auto), ","")IF(INDEX('MOA role matrix'!$B$2:$D$13,6,MATCH($B44,'MOA role matrix'!$B$1:$D$1,0))="Fill","Board member 2, ","")IF(INDEX('MOA role matrix'!$B$2:$D$13,6,MATCH($B44,'MOA role matrix'!$B$1:$D$1,0))="If finance","Board member 2 (if finance), ","")IF(INDEX('MOA role matrix'!$B$2:$D$13,6,MATCH($B44,'MOA role matrix'!$B$1:$D$1,0))="Auto","Board member 2 (auto), ","")IF(INDEX('MOA role matrix'!$B$2:$D$13,7,MATCH($B44,'MOA role matrix'!$B$1:$D$1,0))="Fill","LOA holder 1, ","")IF(INDEX('MOA role matrix'!$B$2:$D$13,7,MATCH($B44,'MOA role matrix'!$B$1:$D$1,0))="If finance","LOA holder 1 (if finance), ","")IF(INDEX('MOA role matrix'!$B$2:$D$13,7,MATCH($B44,'MOA role matrix'!$B$1:$D$1,0))="Auto","LOA holder 1 (auto), ","")IF(INDEX('MOA role matrix'!$B$2:$D$13,8,MATCH($B44,'MOA role matrix'!$B$1:$D$1,0))="Fill","LOA holder 2, ","")IF(INDEX('MOA role matrix'!$B$2:$D$13,8,MATCH($B44,'MOA role matrix'!$B$1:$D$1,0))="If finance","LOA holder 2 (if finance), ","")IF(INDEX('MOA role matrix'!$B$2:$D$13,8,MATCH($B44,'MOA role matrix'!$B$1:$D$1,0))="Auto","LOA holder 2 (auto), ","")IF(INDEX('MOA role matrix'!$B$2:$D$13,9,MATCH($B44,'MOA role matrix'!$B$1:$D$1,0))="Fill","Senior Manager CoSec, ","")IF(INDEX('MOA role matrix'!$B$2:$D$13,9,MATCH($B44,'MOA role matrix'!$B$1:$D$1,0))="If finance","Senior Manager CoSec (if finance), ","")IF(INDEX('MOA role matrix'!$B$2:$D$13,9,MATCH($B44,'MOA role matrix'!$B$1:$D$1,0))="Auto","Senior Manager CoSec (auto), ","")IF(INDEX('MOA role matrix'!$B$2:$D$13,10,MATCH($B44,'MOA role matrix'!$B$1:$D$1,0))="Fill","Division MOI managers, ","")IF(INDEX('MOA role matrix'!$B$2:$D$13,10,MATCH($B44,'MOA role matrix'!$B$1:$D$1,0))="If finance","Division MOI managers (if finance), ","")IF(INDEX('MOA role matrix'!$B$2:$D$13,10,MATCH($B44,'MOA role matrix'!$B$1:$D$1,0))="Auto","Division MOI managers (auto), ","")IF(INDEX('MOA role matrix'!$B$2:$D$13,11,MATCH($B44,'MOA role matrix'!$B$1:$D$1,0))="Fill","Ms Teh (bank), ","")IF(INDEX('MOA role matrix'!$B$2:$D$13,11,MATCH($B44,'MOA role matrix'!$B$1:$D$1,0))="If finance","Ms Teh (bank) (if finance), ","")IF(INDEX('MOA role matrix'!$B$2:$D$13,11,MATCH($B44,'MOA role matrix'!$B$1:$D$1,0))="Auto","Ms Teh (bank) (auto), ","")IF(INDEX('MOA role matrix'!$B$2:$D$13,12,MATCH($B44,'MOA role matrix'!$B$1:$D$1,0))="Fill","DLCM, ","")IF(INDEX('MOA role matrix'!$B$2:$D$13,12,MATCH($B44,'MOA role matrix'!$B$1:$D$1,0))="If finance","DLCM (if finance), ","")IF(INDEX('MOA role matrix'!$B$2:$D$13,12,MATCH($B44,'MOA role matrix'!$B$1:$D$1,0))="Auto","DLCM (auto), ","")))</f>
        <v/>
      </c>
      <c r="D44" s="5">
        <f>IF($A44="","",IFERROR(INDEX(FILTER('Client contacts'!$B$2:$B$500,('Client contacts'!$A$2:$A$500=$A44)*('Client contacts'!$H$2:$H$500="Y"),""),1),""))</f>
        <v/>
      </c>
      <c r="E44" s="5">
        <f>IF($A44="","",IFERROR(INDEX(FILTER('Client contacts'!$C$2:$C$500,('Client contacts'!$A$2:$A$500=$A44)*('Client contacts'!$H$2:$H$500="Y"),""),1),""))</f>
        <v/>
      </c>
      <c r="F44" s="5">
        <f>IF($A44="","",IFERROR(INDEX(FILTER('Client contacts'!$B$2:$B$500,('Client contacts'!$A$2:$A$500=$A44)*('Client contacts'!$G$2:$G$500="Y"),""),1),""))</f>
        <v/>
      </c>
      <c r="G44" s="5">
        <f>IF($A44="","",IFERROR(INDEX(FILTER('Client contacts'!$C$2:$C$500,('Client contacts'!$A$2:$A$500=$A44)*('Client contacts'!$G$2:$G$500="Y"),""),1),""))</f>
        <v/>
      </c>
      <c r="H44" s="5">
        <f>IF($A44="","",IFERROR(INDEX(FILTER('Client contacts'!$B$2:$B$500,('Client contacts'!$A$2:$A$500=$A44)*('Client contacts'!$G$2:$G$500="Y"),""),2),""))</f>
        <v/>
      </c>
      <c r="I44" s="5">
        <f>IF($A44="","",IFERROR(INDEX(FILTER('Client contacts'!$C$2:$C$500,('Client contacts'!$A$2:$A$500=$A44)*('Client contacts'!$G$2:$G$500="Y"),""),2),""))</f>
        <v/>
      </c>
      <c r="J44" s="8" t="n"/>
      <c r="K44" s="8" t="n"/>
      <c r="L44" s="8" t="n"/>
      <c r="M44" s="8" t="n"/>
      <c r="N44" s="8" t="n"/>
      <c r="O44" s="8" t="n"/>
      <c r="P44" s="8" t="n"/>
      <c r="Q44" s="8" t="n"/>
      <c r="R44" s="5">
        <f>IF($A44="","",IFERROR(INDEX(Companies!$I$2:$I$500,MATCH($A44,Companies!$A$2:$A$500,0)),""))</f>
        <v/>
      </c>
      <c r="S44" s="8" t="n"/>
      <c r="T44" s="8" t="n"/>
      <c r="U44" s="8" t="n"/>
      <c r="V44" s="8" t="n"/>
      <c r="W44" s="8" t="n"/>
    </row>
    <row r="45">
      <c r="C45" s="5">
        <f>IF($B45="","",TRIM(IF(INDEX('MOA role matrix'!$B$2:$D$13,1,MATCH($B45,'MOA role matrix'!$B$1:$D$1,0))="Fill","Project initiator, ","")IF(INDEX('MOA role matrix'!$B$2:$D$13,1,MATCH($B45,'MOA role matrix'!$B$1:$D$1,0))="If finance","Project initiator (if finance), ","")IF(INDEX('MOA role matrix'!$B$2:$D$13,1,MATCH($B45,'MOA role matrix'!$B$1:$D$1,0))="Auto","Project initiator (auto), ","")IF(INDEX('MOA role matrix'!$B$2:$D$13,2,MATCH($B45,'MOA role matrix'!$B$1:$D$1,0))="Fill","MOA signers (client), ","")IF(INDEX('MOA role matrix'!$B$2:$D$13,2,MATCH($B45,'MOA role matrix'!$B$1:$D$1,0))="If finance","MOA signers (client) (if finance), ","")IF(INDEX('MOA role matrix'!$B$2:$D$13,2,MATCH($B45,'MOA role matrix'!$B$1:$D$1,0))="Auto","MOA signers (client) (auto), ","")IF(INDEX('MOA role matrix'!$B$2:$D$13,3,MATCH($B45,'MOA role matrix'!$B$1:$D$1,0))="Fill","CFO / Head of Finance, ","")IF(INDEX('MOA role matrix'!$B$2:$D$13,3,MATCH($B45,'MOA role matrix'!$B$1:$D$1,0))="If finance","CFO / Head of Finance (if finance), ","")IF(INDEX('MOA role matrix'!$B$2:$D$13,3,MATCH($B45,'MOA role matrix'!$B$1:$D$1,0))="Auto","CFO / Head of Finance (auto), ","")IF(INDEX('MOA role matrix'!$B$2:$D$13,4,MATCH($B45,'MOA role matrix'!$B$1:$D$1,0))="Fill","CEO / COO / GM, ","")IF(INDEX('MOA role matrix'!$B$2:$D$13,4,MATCH($B45,'MOA role matrix'!$B$1:$D$1,0))="If finance","CEO / COO / GM (if finance), ","")IF(INDEX('MOA role matrix'!$B$2:$D$13,4,MATCH($B45,'MOA role matrix'!$B$1:$D$1,0))="Auto","CEO / COO / GM (auto), ","")IF(INDEX('MOA role matrix'!$B$2:$D$13,5,MATCH($B45,'MOA role matrix'!$B$1:$D$1,0))="Fill","Board member 1, ","")IF(INDEX('MOA role matrix'!$B$2:$D$13,5,MATCH($B45,'MOA role matrix'!$B$1:$D$1,0))="If finance","Board member 1 (if finance), ","")IF(INDEX('MOA role matrix'!$B$2:$D$13,5,MATCH($B45,'MOA role matrix'!$B$1:$D$1,0))="Auto","Board member 1 (auto), ","")IF(INDEX('MOA role matrix'!$B$2:$D$13,6,MATCH($B45,'MOA role matrix'!$B$1:$D$1,0))="Fill","Board member 2, ","")IF(INDEX('MOA role matrix'!$B$2:$D$13,6,MATCH($B45,'MOA role matrix'!$B$1:$D$1,0))="If finance","Board member 2 (if finance), ","")IF(INDEX('MOA role matrix'!$B$2:$D$13,6,MATCH($B45,'MOA role matrix'!$B$1:$D$1,0))="Auto","Board member 2 (auto), ","")IF(INDEX('MOA role matrix'!$B$2:$D$13,7,MATCH($B45,'MOA role matrix'!$B$1:$D$1,0))="Fill","LOA holder 1, ","")IF(INDEX('MOA role matrix'!$B$2:$D$13,7,MATCH($B45,'MOA role matrix'!$B$1:$D$1,0))="If finance","LOA holder 1 (if finance), ","")IF(INDEX('MOA role matrix'!$B$2:$D$13,7,MATCH($B45,'MOA role matrix'!$B$1:$D$1,0))="Auto","LOA holder 1 (auto), ","")IF(INDEX('MOA role matrix'!$B$2:$D$13,8,MATCH($B45,'MOA role matrix'!$B$1:$D$1,0))="Fill","LOA holder 2, ","")IF(INDEX('MOA role matrix'!$B$2:$D$13,8,MATCH($B45,'MOA role matrix'!$B$1:$D$1,0))="If finance","LOA holder 2 (if finance), ","")IF(INDEX('MOA role matrix'!$B$2:$D$13,8,MATCH($B45,'MOA role matrix'!$B$1:$D$1,0))="Auto","LOA holder 2 (auto), ","")IF(INDEX('MOA role matrix'!$B$2:$D$13,9,MATCH($B45,'MOA role matrix'!$B$1:$D$1,0))="Fill","Senior Manager CoSec, ","")IF(INDEX('MOA role matrix'!$B$2:$D$13,9,MATCH($B45,'MOA role matrix'!$B$1:$D$1,0))="If finance","Senior Manager CoSec (if finance), ","")IF(INDEX('MOA role matrix'!$B$2:$D$13,9,MATCH($B45,'MOA role matrix'!$B$1:$D$1,0))="Auto","Senior Manager CoSec (auto), ","")IF(INDEX('MOA role matrix'!$B$2:$D$13,10,MATCH($B45,'MOA role matrix'!$B$1:$D$1,0))="Fill","Division MOI managers, ","")IF(INDEX('MOA role matrix'!$B$2:$D$13,10,MATCH($B45,'MOA role matrix'!$B$1:$D$1,0))="If finance","Division MOI managers (if finance), ","")IF(INDEX('MOA role matrix'!$B$2:$D$13,10,MATCH($B45,'MOA role matrix'!$B$1:$D$1,0))="Auto","Division MOI managers (auto), ","")IF(INDEX('MOA role matrix'!$B$2:$D$13,11,MATCH($B45,'MOA role matrix'!$B$1:$D$1,0))="Fill","Ms Teh (bank), ","")IF(INDEX('MOA role matrix'!$B$2:$D$13,11,MATCH($B45,'MOA role matrix'!$B$1:$D$1,0))="If finance","Ms Teh (bank) (if finance), ","")IF(INDEX('MOA role matrix'!$B$2:$D$13,11,MATCH($B45,'MOA role matrix'!$B$1:$D$1,0))="Auto","Ms Teh (bank) (auto), ","")IF(INDEX('MOA role matrix'!$B$2:$D$13,12,MATCH($B45,'MOA role matrix'!$B$1:$D$1,0))="Fill","DLCM, ","")IF(INDEX('MOA role matrix'!$B$2:$D$13,12,MATCH($B45,'MOA role matrix'!$B$1:$D$1,0))="If finance","DLCM (if finance), ","")IF(INDEX('MOA role matrix'!$B$2:$D$13,12,MATCH($B45,'MOA role matrix'!$B$1:$D$1,0))="Auto","DLCM (auto), ","")))</f>
        <v/>
      </c>
      <c r="D45" s="5">
        <f>IF($A45="","",IFERROR(INDEX(FILTER('Client contacts'!$B$2:$B$500,('Client contacts'!$A$2:$A$500=$A45)*('Client contacts'!$H$2:$H$500="Y"),""),1),""))</f>
        <v/>
      </c>
      <c r="E45" s="5">
        <f>IF($A45="","",IFERROR(INDEX(FILTER('Client contacts'!$C$2:$C$500,('Client contacts'!$A$2:$A$500=$A45)*('Client contacts'!$H$2:$H$500="Y"),""),1),""))</f>
        <v/>
      </c>
      <c r="F45" s="5">
        <f>IF($A45="","",IFERROR(INDEX(FILTER('Client contacts'!$B$2:$B$500,('Client contacts'!$A$2:$A$500=$A45)*('Client contacts'!$G$2:$G$500="Y"),""),1),""))</f>
        <v/>
      </c>
      <c r="G45" s="5">
        <f>IF($A45="","",IFERROR(INDEX(FILTER('Client contacts'!$C$2:$C$500,('Client contacts'!$A$2:$A$500=$A45)*('Client contacts'!$G$2:$G$500="Y"),""),1),""))</f>
        <v/>
      </c>
      <c r="H45" s="5">
        <f>IF($A45="","",IFERROR(INDEX(FILTER('Client contacts'!$B$2:$B$500,('Client contacts'!$A$2:$A$500=$A45)*('Client contacts'!$G$2:$G$500="Y"),""),2),""))</f>
        <v/>
      </c>
      <c r="I45" s="5">
        <f>IF($A45="","",IFERROR(INDEX(FILTER('Client contacts'!$C$2:$C$500,('Client contacts'!$A$2:$A$500=$A45)*('Client contacts'!$G$2:$G$500="Y"),""),2),""))</f>
        <v/>
      </c>
      <c r="J45" s="8" t="n"/>
      <c r="K45" s="8" t="n"/>
      <c r="L45" s="8" t="n"/>
      <c r="M45" s="8" t="n"/>
      <c r="N45" s="8" t="n"/>
      <c r="O45" s="8" t="n"/>
      <c r="P45" s="8" t="n"/>
      <c r="Q45" s="8" t="n"/>
      <c r="R45" s="5">
        <f>IF($A45="","",IFERROR(INDEX(Companies!$I$2:$I$500,MATCH($A45,Companies!$A$2:$A$500,0)),""))</f>
        <v/>
      </c>
      <c r="S45" s="8" t="n"/>
      <c r="T45" s="8" t="n"/>
      <c r="U45" s="8" t="n"/>
      <c r="V45" s="8" t="n"/>
      <c r="W45" s="8" t="n"/>
    </row>
    <row r="46">
      <c r="C46" s="5">
        <f>IF($B46="","",TRIM(IF(INDEX('MOA role matrix'!$B$2:$D$13,1,MATCH($B46,'MOA role matrix'!$B$1:$D$1,0))="Fill","Project initiator, ","")IF(INDEX('MOA role matrix'!$B$2:$D$13,1,MATCH($B46,'MOA role matrix'!$B$1:$D$1,0))="If finance","Project initiator (if finance), ","")IF(INDEX('MOA role matrix'!$B$2:$D$13,1,MATCH($B46,'MOA role matrix'!$B$1:$D$1,0))="Auto","Project initiator (auto), ","")IF(INDEX('MOA role matrix'!$B$2:$D$13,2,MATCH($B46,'MOA role matrix'!$B$1:$D$1,0))="Fill","MOA signers (client), ","")IF(INDEX('MOA role matrix'!$B$2:$D$13,2,MATCH($B46,'MOA role matrix'!$B$1:$D$1,0))="If finance","MOA signers (client) (if finance), ","")IF(INDEX('MOA role matrix'!$B$2:$D$13,2,MATCH($B46,'MOA role matrix'!$B$1:$D$1,0))="Auto","MOA signers (client) (auto), ","")IF(INDEX('MOA role matrix'!$B$2:$D$13,3,MATCH($B46,'MOA role matrix'!$B$1:$D$1,0))="Fill","CFO / Head of Finance, ","")IF(INDEX('MOA role matrix'!$B$2:$D$13,3,MATCH($B46,'MOA role matrix'!$B$1:$D$1,0))="If finance","CFO / Head of Finance (if finance), ","")IF(INDEX('MOA role matrix'!$B$2:$D$13,3,MATCH($B46,'MOA role matrix'!$B$1:$D$1,0))="Auto","CFO / Head of Finance (auto), ","")IF(INDEX('MOA role matrix'!$B$2:$D$13,4,MATCH($B46,'MOA role matrix'!$B$1:$D$1,0))="Fill","CEO / COO / GM, ","")IF(INDEX('MOA role matrix'!$B$2:$D$13,4,MATCH($B46,'MOA role matrix'!$B$1:$D$1,0))="If finance","CEO / COO / GM (if finance), ","")IF(INDEX('MOA role matrix'!$B$2:$D$13,4,MATCH($B46,'MOA role matrix'!$B$1:$D$1,0))="Auto","CEO / COO / GM (auto), ","")IF(INDEX('MOA role matrix'!$B$2:$D$13,5,MATCH($B46,'MOA role matrix'!$B$1:$D$1,0))="Fill","Board member 1, ","")IF(INDEX('MOA role matrix'!$B$2:$D$13,5,MATCH($B46,'MOA role matrix'!$B$1:$D$1,0))="If finance","Board member 1 (if finance), ","")IF(INDEX('MOA role matrix'!$B$2:$D$13,5,MATCH($B46,'MOA role matrix'!$B$1:$D$1,0))="Auto","Board member 1 (auto), ","")IF(INDEX('MOA role matrix'!$B$2:$D$13,6,MATCH($B46,'MOA role matrix'!$B$1:$D$1,0))="Fill","Board member 2, ","")IF(INDEX('MOA role matrix'!$B$2:$D$13,6,MATCH($B46,'MOA role matrix'!$B$1:$D$1,0))="If finance","Board member 2 (if finance), ","")IF(INDEX('MOA role matrix'!$B$2:$D$13,6,MATCH($B46,'MOA role matrix'!$B$1:$D$1,0))="Auto","Board member 2 (auto), ","")IF(INDEX('MOA role matrix'!$B$2:$D$13,7,MATCH($B46,'MOA role matrix'!$B$1:$D$1,0))="Fill","LOA holder 1, ","")IF(INDEX('MOA role matrix'!$B$2:$D$13,7,MATCH($B46,'MOA role matrix'!$B$1:$D$1,0))="If finance","LOA holder 1 (if finance), ","")IF(INDEX('MOA role matrix'!$B$2:$D$13,7,MATCH($B46,'MOA role matrix'!$B$1:$D$1,0))="Auto","LOA holder 1 (auto), ","")IF(INDEX('MOA role matrix'!$B$2:$D$13,8,MATCH($B46,'MOA role matrix'!$B$1:$D$1,0))="Fill","LOA holder 2, ","")IF(INDEX('MOA role matrix'!$B$2:$D$13,8,MATCH($B46,'MOA role matrix'!$B$1:$D$1,0))="If finance","LOA holder 2 (if finance), ","")IF(INDEX('MOA role matrix'!$B$2:$D$13,8,MATCH($B46,'MOA role matrix'!$B$1:$D$1,0))="Auto","LOA holder 2 (auto), ","")IF(INDEX('MOA role matrix'!$B$2:$D$13,9,MATCH($B46,'MOA role matrix'!$B$1:$D$1,0))="Fill","Senior Manager CoSec, ","")IF(INDEX('MOA role matrix'!$B$2:$D$13,9,MATCH($B46,'MOA role matrix'!$B$1:$D$1,0))="If finance","Senior Manager CoSec (if finance), ","")IF(INDEX('MOA role matrix'!$B$2:$D$13,9,MATCH($B46,'MOA role matrix'!$B$1:$D$1,0))="Auto","Senior Manager CoSec (auto), ","")IF(INDEX('MOA role matrix'!$B$2:$D$13,10,MATCH($B46,'MOA role matrix'!$B$1:$D$1,0))="Fill","Division MOI managers, ","")IF(INDEX('MOA role matrix'!$B$2:$D$13,10,MATCH($B46,'MOA role matrix'!$B$1:$D$1,0))="If finance","Division MOI managers (if finance), ","")IF(INDEX('MOA role matrix'!$B$2:$D$13,10,MATCH($B46,'MOA role matrix'!$B$1:$D$1,0))="Auto","Division MOI managers (auto), ","")IF(INDEX('MOA role matrix'!$B$2:$D$13,11,MATCH($B46,'MOA role matrix'!$B$1:$D$1,0))="Fill","Ms Teh (bank), ","")IF(INDEX('MOA role matrix'!$B$2:$D$13,11,MATCH($B46,'MOA role matrix'!$B$1:$D$1,0))="If finance","Ms Teh (bank) (if finance), ","")IF(INDEX('MOA role matrix'!$B$2:$D$13,11,MATCH($B46,'MOA role matrix'!$B$1:$D$1,0))="Auto","Ms Teh (bank) (auto), ","")IF(INDEX('MOA role matrix'!$B$2:$D$13,12,MATCH($B46,'MOA role matrix'!$B$1:$D$1,0))="Fill","DLCM, ","")IF(INDEX('MOA role matrix'!$B$2:$D$13,12,MATCH($B46,'MOA role matrix'!$B$1:$D$1,0))="If finance","DLCM (if finance), ","")IF(INDEX('MOA role matrix'!$B$2:$D$13,12,MATCH($B46,'MOA role matrix'!$B$1:$D$1,0))="Auto","DLCM (auto), ","")))</f>
        <v/>
      </c>
      <c r="D46" s="5">
        <f>IF($A46="","",IFERROR(INDEX(FILTER('Client contacts'!$B$2:$B$500,('Client contacts'!$A$2:$A$500=$A46)*('Client contacts'!$H$2:$H$500="Y"),""),1),""))</f>
        <v/>
      </c>
      <c r="E46" s="5">
        <f>IF($A46="","",IFERROR(INDEX(FILTER('Client contacts'!$C$2:$C$500,('Client contacts'!$A$2:$A$500=$A46)*('Client contacts'!$H$2:$H$500="Y"),""),1),""))</f>
        <v/>
      </c>
      <c r="F46" s="5">
        <f>IF($A46="","",IFERROR(INDEX(FILTER('Client contacts'!$B$2:$B$500,('Client contacts'!$A$2:$A$500=$A46)*('Client contacts'!$G$2:$G$500="Y"),""),1),""))</f>
        <v/>
      </c>
      <c r="G46" s="5">
        <f>IF($A46="","",IFERROR(INDEX(FILTER('Client contacts'!$C$2:$C$500,('Client contacts'!$A$2:$A$500=$A46)*('Client contacts'!$G$2:$G$500="Y"),""),1),""))</f>
        <v/>
      </c>
      <c r="H46" s="5">
        <f>IF($A46="","",IFERROR(INDEX(FILTER('Client contacts'!$B$2:$B$500,('Client contacts'!$A$2:$A$500=$A46)*('Client contacts'!$G$2:$G$500="Y"),""),2),""))</f>
        <v/>
      </c>
      <c r="I46" s="5">
        <f>IF($A46="","",IFERROR(INDEX(FILTER('Client contacts'!$C$2:$C$500,('Client contacts'!$A$2:$A$500=$A46)*('Client contacts'!$G$2:$G$500="Y"),""),2),""))</f>
        <v/>
      </c>
      <c r="J46" s="8" t="n"/>
      <c r="K46" s="8" t="n"/>
      <c r="L46" s="8" t="n"/>
      <c r="M46" s="8" t="n"/>
      <c r="N46" s="8" t="n"/>
      <c r="O46" s="8" t="n"/>
      <c r="P46" s="8" t="n"/>
      <c r="Q46" s="8" t="n"/>
      <c r="R46" s="5">
        <f>IF($A46="","",IFERROR(INDEX(Companies!$I$2:$I$500,MATCH($A46,Companies!$A$2:$A$500,0)),""))</f>
        <v/>
      </c>
      <c r="S46" s="8" t="n"/>
      <c r="T46" s="8" t="n"/>
      <c r="U46" s="8" t="n"/>
      <c r="V46" s="8" t="n"/>
      <c r="W46" s="8" t="n"/>
    </row>
    <row r="47">
      <c r="C47" s="5">
        <f>IF($B47="","",TRIM(IF(INDEX('MOA role matrix'!$B$2:$D$13,1,MATCH($B47,'MOA role matrix'!$B$1:$D$1,0))="Fill","Project initiator, ","")IF(INDEX('MOA role matrix'!$B$2:$D$13,1,MATCH($B47,'MOA role matrix'!$B$1:$D$1,0))="If finance","Project initiator (if finance), ","")IF(INDEX('MOA role matrix'!$B$2:$D$13,1,MATCH($B47,'MOA role matrix'!$B$1:$D$1,0))="Auto","Project initiator (auto), ","")IF(INDEX('MOA role matrix'!$B$2:$D$13,2,MATCH($B47,'MOA role matrix'!$B$1:$D$1,0))="Fill","MOA signers (client), ","")IF(INDEX('MOA role matrix'!$B$2:$D$13,2,MATCH($B47,'MOA role matrix'!$B$1:$D$1,0))="If finance","MOA signers (client) (if finance), ","")IF(INDEX('MOA role matrix'!$B$2:$D$13,2,MATCH($B47,'MOA role matrix'!$B$1:$D$1,0))="Auto","MOA signers (client) (auto), ","")IF(INDEX('MOA role matrix'!$B$2:$D$13,3,MATCH($B47,'MOA role matrix'!$B$1:$D$1,0))="Fill","CFO / Head of Finance, ","")IF(INDEX('MOA role matrix'!$B$2:$D$13,3,MATCH($B47,'MOA role matrix'!$B$1:$D$1,0))="If finance","CFO / Head of Finance (if finance), ","")IF(INDEX('MOA role matrix'!$B$2:$D$13,3,MATCH($B47,'MOA role matrix'!$B$1:$D$1,0))="Auto","CFO / Head of Finance (auto), ","")IF(INDEX('MOA role matrix'!$B$2:$D$13,4,MATCH($B47,'MOA role matrix'!$B$1:$D$1,0))="Fill","CEO / COO / GM, ","")IF(INDEX('MOA role matrix'!$B$2:$D$13,4,MATCH($B47,'MOA role matrix'!$B$1:$D$1,0))="If finance","CEO / COO / GM (if finance), ","")IF(INDEX('MOA role matrix'!$B$2:$D$13,4,MATCH($B47,'MOA role matrix'!$B$1:$D$1,0))="Auto","CEO / COO / GM (auto), ","")IF(INDEX('MOA role matrix'!$B$2:$D$13,5,MATCH($B47,'MOA role matrix'!$B$1:$D$1,0))="Fill","Board member 1, ","")IF(INDEX('MOA role matrix'!$B$2:$D$13,5,MATCH($B47,'MOA role matrix'!$B$1:$D$1,0))="If finance","Board member 1 (if finance), ","")IF(INDEX('MOA role matrix'!$B$2:$D$13,5,MATCH($B47,'MOA role matrix'!$B$1:$D$1,0))="Auto","Board member 1 (auto), ","")IF(INDEX('MOA role matrix'!$B$2:$D$13,6,MATCH($B47,'MOA role matrix'!$B$1:$D$1,0))="Fill","Board member 2, ","")IF(INDEX('MOA role matrix'!$B$2:$D$13,6,MATCH($B47,'MOA role matrix'!$B$1:$D$1,0))="If finance","Board member 2 (if finance), ","")IF(INDEX('MOA role matrix'!$B$2:$D$13,6,MATCH($B47,'MOA role matrix'!$B$1:$D$1,0))="Auto","Board member 2 (auto), ","")IF(INDEX('MOA role matrix'!$B$2:$D$13,7,MATCH($B47,'MOA role matrix'!$B$1:$D$1,0))="Fill","LOA holder 1, ","")IF(INDEX('MOA role matrix'!$B$2:$D$13,7,MATCH($B47,'MOA role matrix'!$B$1:$D$1,0))="If finance","LOA holder 1 (if finance), ","")IF(INDEX('MOA role matrix'!$B$2:$D$13,7,MATCH($B47,'MOA role matrix'!$B$1:$D$1,0))="Auto","LOA holder 1 (auto), ","")IF(INDEX('MOA role matrix'!$B$2:$D$13,8,MATCH($B47,'MOA role matrix'!$B$1:$D$1,0))="Fill","LOA holder 2, ","")IF(INDEX('MOA role matrix'!$B$2:$D$13,8,MATCH($B47,'MOA role matrix'!$B$1:$D$1,0))="If finance","LOA holder 2 (if finance), ","")IF(INDEX('MOA role matrix'!$B$2:$D$13,8,MATCH($B47,'MOA role matrix'!$B$1:$D$1,0))="Auto","LOA holder 2 (auto), ","")IF(INDEX('MOA role matrix'!$B$2:$D$13,9,MATCH($B47,'MOA role matrix'!$B$1:$D$1,0))="Fill","Senior Manager CoSec, ","")IF(INDEX('MOA role matrix'!$B$2:$D$13,9,MATCH($B47,'MOA role matrix'!$B$1:$D$1,0))="If finance","Senior Manager CoSec (if finance), ","")IF(INDEX('MOA role matrix'!$B$2:$D$13,9,MATCH($B47,'MOA role matrix'!$B$1:$D$1,0))="Auto","Senior Manager CoSec (auto), ","")IF(INDEX('MOA role matrix'!$B$2:$D$13,10,MATCH($B47,'MOA role matrix'!$B$1:$D$1,0))="Fill","Division MOI managers, ","")IF(INDEX('MOA role matrix'!$B$2:$D$13,10,MATCH($B47,'MOA role matrix'!$B$1:$D$1,0))="If finance","Division MOI managers (if finance), ","")IF(INDEX('MOA role matrix'!$B$2:$D$13,10,MATCH($B47,'MOA role matrix'!$B$1:$D$1,0))="Auto","Division MOI managers (auto), ","")IF(INDEX('MOA role matrix'!$B$2:$D$13,11,MATCH($B47,'MOA role matrix'!$B$1:$D$1,0))="Fill","Ms Teh (bank), ","")IF(INDEX('MOA role matrix'!$B$2:$D$13,11,MATCH($B47,'MOA role matrix'!$B$1:$D$1,0))="If finance","Ms Teh (bank) (if finance), ","")IF(INDEX('MOA role matrix'!$B$2:$D$13,11,MATCH($B47,'MOA role matrix'!$B$1:$D$1,0))="Auto","Ms Teh (bank) (auto), ","")IF(INDEX('MOA role matrix'!$B$2:$D$13,12,MATCH($B47,'MOA role matrix'!$B$1:$D$1,0))="Fill","DLCM, ","")IF(INDEX('MOA role matrix'!$B$2:$D$13,12,MATCH($B47,'MOA role matrix'!$B$1:$D$1,0))="If finance","DLCM (if finance), ","")IF(INDEX('MOA role matrix'!$B$2:$D$13,12,MATCH($B47,'MOA role matrix'!$B$1:$D$1,0))="Auto","DLCM (auto), ","")))</f>
        <v/>
      </c>
      <c r="D47" s="5">
        <f>IF($A47="","",IFERROR(INDEX(FILTER('Client contacts'!$B$2:$B$500,('Client contacts'!$A$2:$A$500=$A47)*('Client contacts'!$H$2:$H$500="Y"),""),1),""))</f>
        <v/>
      </c>
      <c r="E47" s="5">
        <f>IF($A47="","",IFERROR(INDEX(FILTER('Client contacts'!$C$2:$C$500,('Client contacts'!$A$2:$A$500=$A47)*('Client contacts'!$H$2:$H$500="Y"),""),1),""))</f>
        <v/>
      </c>
      <c r="F47" s="5">
        <f>IF($A47="","",IFERROR(INDEX(FILTER('Client contacts'!$B$2:$B$500,('Client contacts'!$A$2:$A$500=$A47)*('Client contacts'!$G$2:$G$500="Y"),""),1),""))</f>
        <v/>
      </c>
      <c r="G47" s="5">
        <f>IF($A47="","",IFERROR(INDEX(FILTER('Client contacts'!$C$2:$C$500,('Client contacts'!$A$2:$A$500=$A47)*('Client contacts'!$G$2:$G$500="Y"),""),1),""))</f>
        <v/>
      </c>
      <c r="H47" s="5">
        <f>IF($A47="","",IFERROR(INDEX(FILTER('Client contacts'!$B$2:$B$500,('Client contacts'!$A$2:$A$500=$A47)*('Client contacts'!$G$2:$G$500="Y"),""),2),""))</f>
        <v/>
      </c>
      <c r="I47" s="5">
        <f>IF($A47="","",IFERROR(INDEX(FILTER('Client contacts'!$C$2:$C$500,('Client contacts'!$A$2:$A$500=$A47)*('Client contacts'!$G$2:$G$500="Y"),""),2),""))</f>
        <v/>
      </c>
      <c r="J47" s="8" t="n"/>
      <c r="K47" s="8" t="n"/>
      <c r="L47" s="8" t="n"/>
      <c r="M47" s="8" t="n"/>
      <c r="N47" s="8" t="n"/>
      <c r="O47" s="8" t="n"/>
      <c r="P47" s="8" t="n"/>
      <c r="Q47" s="8" t="n"/>
      <c r="R47" s="5">
        <f>IF($A47="","",IFERROR(INDEX(Companies!$I$2:$I$500,MATCH($A47,Companies!$A$2:$A$500,0)),""))</f>
        <v/>
      </c>
      <c r="S47" s="8" t="n"/>
      <c r="T47" s="8" t="n"/>
      <c r="U47" s="8" t="n"/>
      <c r="V47" s="8" t="n"/>
      <c r="W47" s="8" t="n"/>
    </row>
    <row r="48">
      <c r="C48" s="5">
        <f>IF($B48="","",TRIM(IF(INDEX('MOA role matrix'!$B$2:$D$13,1,MATCH($B48,'MOA role matrix'!$B$1:$D$1,0))="Fill","Project initiator, ","")IF(INDEX('MOA role matrix'!$B$2:$D$13,1,MATCH($B48,'MOA role matrix'!$B$1:$D$1,0))="If finance","Project initiator (if finance), ","")IF(INDEX('MOA role matrix'!$B$2:$D$13,1,MATCH($B48,'MOA role matrix'!$B$1:$D$1,0))="Auto","Project initiator (auto), ","")IF(INDEX('MOA role matrix'!$B$2:$D$13,2,MATCH($B48,'MOA role matrix'!$B$1:$D$1,0))="Fill","MOA signers (client), ","")IF(INDEX('MOA role matrix'!$B$2:$D$13,2,MATCH($B48,'MOA role matrix'!$B$1:$D$1,0))="If finance","MOA signers (client) (if finance), ","")IF(INDEX('MOA role matrix'!$B$2:$D$13,2,MATCH($B48,'MOA role matrix'!$B$1:$D$1,0))="Auto","MOA signers (client) (auto), ","")IF(INDEX('MOA role matrix'!$B$2:$D$13,3,MATCH($B48,'MOA role matrix'!$B$1:$D$1,0))="Fill","CFO / Head of Finance, ","")IF(INDEX('MOA role matrix'!$B$2:$D$13,3,MATCH($B48,'MOA role matrix'!$B$1:$D$1,0))="If finance","CFO / Head of Finance (if finance), ","")IF(INDEX('MOA role matrix'!$B$2:$D$13,3,MATCH($B48,'MOA role matrix'!$B$1:$D$1,0))="Auto","CFO / Head of Finance (auto), ","")IF(INDEX('MOA role matrix'!$B$2:$D$13,4,MATCH($B48,'MOA role matrix'!$B$1:$D$1,0))="Fill","CEO / COO / GM, ","")IF(INDEX('MOA role matrix'!$B$2:$D$13,4,MATCH($B48,'MOA role matrix'!$B$1:$D$1,0))="If finance","CEO / COO / GM (if finance), ","")IF(INDEX('MOA role matrix'!$B$2:$D$13,4,MATCH($B48,'MOA role matrix'!$B$1:$D$1,0))="Auto","CEO / COO / GM (auto), ","")IF(INDEX('MOA role matrix'!$B$2:$D$13,5,MATCH($B48,'MOA role matrix'!$B$1:$D$1,0))="Fill","Board member 1, ","")IF(INDEX('MOA role matrix'!$B$2:$D$13,5,MATCH($B48,'MOA role matrix'!$B$1:$D$1,0))="If finance","Board member 1 (if finance), ","")IF(INDEX('MOA role matrix'!$B$2:$D$13,5,MATCH($B48,'MOA role matrix'!$B$1:$D$1,0))="Auto","Board member 1 (auto), ","")IF(INDEX('MOA role matrix'!$B$2:$D$13,6,MATCH($B48,'MOA role matrix'!$B$1:$D$1,0))="Fill","Board member 2, ","")IF(INDEX('MOA role matrix'!$B$2:$D$13,6,MATCH($B48,'MOA role matrix'!$B$1:$D$1,0))="If finance","Board member 2 (if finance), ","")IF(INDEX('MOA role matrix'!$B$2:$D$13,6,MATCH($B48,'MOA role matrix'!$B$1:$D$1,0))="Auto","Board member 2 (auto), ","")IF(INDEX('MOA role matrix'!$B$2:$D$13,7,MATCH($B48,'MOA role matrix'!$B$1:$D$1,0))="Fill","LOA holder 1, ","")IF(INDEX('MOA role matrix'!$B$2:$D$13,7,MATCH($B48,'MOA role matrix'!$B$1:$D$1,0))="If finance","LOA holder 1 (if finance), ","")IF(INDEX('MOA role matrix'!$B$2:$D$13,7,MATCH($B48,'MOA role matrix'!$B$1:$D$1,0))="Auto","LOA holder 1 (auto), ","")IF(INDEX('MOA role matrix'!$B$2:$D$13,8,MATCH($B48,'MOA role matrix'!$B$1:$D$1,0))="Fill","LOA holder 2, ","")IF(INDEX('MOA role matrix'!$B$2:$D$13,8,MATCH($B48,'MOA role matrix'!$B$1:$D$1,0))="If finance","LOA holder 2 (if finance), ","")IF(INDEX('MOA role matrix'!$B$2:$D$13,8,MATCH($B48,'MOA role matrix'!$B$1:$D$1,0))="Auto","LOA holder 2 (auto), ","")IF(INDEX('MOA role matrix'!$B$2:$D$13,9,MATCH($B48,'MOA role matrix'!$B$1:$D$1,0))="Fill","Senior Manager CoSec, ","")IF(INDEX('MOA role matrix'!$B$2:$D$13,9,MATCH($B48,'MOA role matrix'!$B$1:$D$1,0))="If finance","Senior Manager CoSec (if finance), ","")IF(INDEX('MOA role matrix'!$B$2:$D$13,9,MATCH($B48,'MOA role matrix'!$B$1:$D$1,0))="Auto","Senior Manager CoSec (auto), ","")IF(INDEX('MOA role matrix'!$B$2:$D$13,10,MATCH($B48,'MOA role matrix'!$B$1:$D$1,0))="Fill","Division MOI managers, ","")IF(INDEX('MOA role matrix'!$B$2:$D$13,10,MATCH($B48,'MOA role matrix'!$B$1:$D$1,0))="If finance","Division MOI managers (if finance), ","")IF(INDEX('MOA role matrix'!$B$2:$D$13,10,MATCH($B48,'MOA role matrix'!$B$1:$D$1,0))="Auto","Division MOI managers (auto), ","")IF(INDEX('MOA role matrix'!$B$2:$D$13,11,MATCH($B48,'MOA role matrix'!$B$1:$D$1,0))="Fill","Ms Teh (bank), ","")IF(INDEX('MOA role matrix'!$B$2:$D$13,11,MATCH($B48,'MOA role matrix'!$B$1:$D$1,0))="If finance","Ms Teh (bank) (if finance), ","")IF(INDEX('MOA role matrix'!$B$2:$D$13,11,MATCH($B48,'MOA role matrix'!$B$1:$D$1,0))="Auto","Ms Teh (bank) (auto), ","")IF(INDEX('MOA role matrix'!$B$2:$D$13,12,MATCH($B48,'MOA role matrix'!$B$1:$D$1,0))="Fill","DLCM, ","")IF(INDEX('MOA role matrix'!$B$2:$D$13,12,MATCH($B48,'MOA role matrix'!$B$1:$D$1,0))="If finance","DLCM (if finance), ","")IF(INDEX('MOA role matrix'!$B$2:$D$13,12,MATCH($B48,'MOA role matrix'!$B$1:$D$1,0))="Auto","DLCM (auto), ","")))</f>
        <v/>
      </c>
      <c r="D48" s="5">
        <f>IF($A48="","",IFERROR(INDEX(FILTER('Client contacts'!$B$2:$B$500,('Client contacts'!$A$2:$A$500=$A48)*('Client contacts'!$H$2:$H$500="Y"),""),1),""))</f>
        <v/>
      </c>
      <c r="E48" s="5">
        <f>IF($A48="","",IFERROR(INDEX(FILTER('Client contacts'!$C$2:$C$500,('Client contacts'!$A$2:$A$500=$A48)*('Client contacts'!$H$2:$H$500="Y"),""),1),""))</f>
        <v/>
      </c>
      <c r="F48" s="5">
        <f>IF($A48="","",IFERROR(INDEX(FILTER('Client contacts'!$B$2:$B$500,('Client contacts'!$A$2:$A$500=$A48)*('Client contacts'!$G$2:$G$500="Y"),""),1),""))</f>
        <v/>
      </c>
      <c r="G48" s="5">
        <f>IF($A48="","",IFERROR(INDEX(FILTER('Client contacts'!$C$2:$C$500,('Client contacts'!$A$2:$A$500=$A48)*('Client contacts'!$G$2:$G$500="Y"),""),1),""))</f>
        <v/>
      </c>
      <c r="H48" s="5">
        <f>IF($A48="","",IFERROR(INDEX(FILTER('Client contacts'!$B$2:$B$500,('Client contacts'!$A$2:$A$500=$A48)*('Client contacts'!$G$2:$G$500="Y"),""),2),""))</f>
        <v/>
      </c>
      <c r="I48" s="5">
        <f>IF($A48="","",IFERROR(INDEX(FILTER('Client contacts'!$C$2:$C$500,('Client contacts'!$A$2:$A$500=$A48)*('Client contacts'!$G$2:$G$500="Y"),""),2),""))</f>
        <v/>
      </c>
      <c r="J48" s="8" t="n"/>
      <c r="K48" s="8" t="n"/>
      <c r="L48" s="8" t="n"/>
      <c r="M48" s="8" t="n"/>
      <c r="N48" s="8" t="n"/>
      <c r="O48" s="8" t="n"/>
      <c r="P48" s="8" t="n"/>
      <c r="Q48" s="8" t="n"/>
      <c r="R48" s="5">
        <f>IF($A48="","",IFERROR(INDEX(Companies!$I$2:$I$500,MATCH($A48,Companies!$A$2:$A$500,0)),""))</f>
        <v/>
      </c>
      <c r="S48" s="8" t="n"/>
      <c r="T48" s="8" t="n"/>
      <c r="U48" s="8" t="n"/>
      <c r="V48" s="8" t="n"/>
      <c r="W48" s="8" t="n"/>
    </row>
    <row r="49">
      <c r="C49" s="5">
        <f>IF($B49="","",TRIM(IF(INDEX('MOA role matrix'!$B$2:$D$13,1,MATCH($B49,'MOA role matrix'!$B$1:$D$1,0))="Fill","Project initiator, ","")IF(INDEX('MOA role matrix'!$B$2:$D$13,1,MATCH($B49,'MOA role matrix'!$B$1:$D$1,0))="If finance","Project initiator (if finance), ","")IF(INDEX('MOA role matrix'!$B$2:$D$13,1,MATCH($B49,'MOA role matrix'!$B$1:$D$1,0))="Auto","Project initiator (auto), ","")IF(INDEX('MOA role matrix'!$B$2:$D$13,2,MATCH($B49,'MOA role matrix'!$B$1:$D$1,0))="Fill","MOA signers (client), ","")IF(INDEX('MOA role matrix'!$B$2:$D$13,2,MATCH($B49,'MOA role matrix'!$B$1:$D$1,0))="If finance","MOA signers (client) (if finance), ","")IF(INDEX('MOA role matrix'!$B$2:$D$13,2,MATCH($B49,'MOA role matrix'!$B$1:$D$1,0))="Auto","MOA signers (client) (auto), ","")IF(INDEX('MOA role matrix'!$B$2:$D$13,3,MATCH($B49,'MOA role matrix'!$B$1:$D$1,0))="Fill","CFO / Head of Finance, ","")IF(INDEX('MOA role matrix'!$B$2:$D$13,3,MATCH($B49,'MOA role matrix'!$B$1:$D$1,0))="If finance","CFO / Head of Finance (if finance), ","")IF(INDEX('MOA role matrix'!$B$2:$D$13,3,MATCH($B49,'MOA role matrix'!$B$1:$D$1,0))="Auto","CFO / Head of Finance (auto), ","")IF(INDEX('MOA role matrix'!$B$2:$D$13,4,MATCH($B49,'MOA role matrix'!$B$1:$D$1,0))="Fill","CEO / COO / GM, ","")IF(INDEX('MOA role matrix'!$B$2:$D$13,4,MATCH($B49,'MOA role matrix'!$B$1:$D$1,0))="If finance","CEO / COO / GM (if finance), ","")IF(INDEX('MOA role matrix'!$B$2:$D$13,4,MATCH($B49,'MOA role matrix'!$B$1:$D$1,0))="Auto","CEO / COO / GM (auto), ","")IF(INDEX('MOA role matrix'!$B$2:$D$13,5,MATCH($B49,'MOA role matrix'!$B$1:$D$1,0))="Fill","Board member 1, ","")IF(INDEX('MOA role matrix'!$B$2:$D$13,5,MATCH($B49,'MOA role matrix'!$B$1:$D$1,0))="If finance","Board member 1 (if finance), ","")IF(INDEX('MOA role matrix'!$B$2:$D$13,5,MATCH($B49,'MOA role matrix'!$B$1:$D$1,0))="Auto","Board member 1 (auto), ","")IF(INDEX('MOA role matrix'!$B$2:$D$13,6,MATCH($B49,'MOA role matrix'!$B$1:$D$1,0))="Fill","Board member 2, ","")IF(INDEX('MOA role matrix'!$B$2:$D$13,6,MATCH($B49,'MOA role matrix'!$B$1:$D$1,0))="If finance","Board member 2 (if finance), ","")IF(INDEX('MOA role matrix'!$B$2:$D$13,6,MATCH($B49,'MOA role matrix'!$B$1:$D$1,0))="Auto","Board member 2 (auto), ","")IF(INDEX('MOA role matrix'!$B$2:$D$13,7,MATCH($B49,'MOA role matrix'!$B$1:$D$1,0))="Fill","LOA holder 1, ","")IF(INDEX('MOA role matrix'!$B$2:$D$13,7,MATCH($B49,'MOA role matrix'!$B$1:$D$1,0))="If finance","LOA holder 1 (if finance), ","")IF(INDEX('MOA role matrix'!$B$2:$D$13,7,MATCH($B49,'MOA role matrix'!$B$1:$D$1,0))="Auto","LOA holder 1 (auto), ","")IF(INDEX('MOA role matrix'!$B$2:$D$13,8,MATCH($B49,'MOA role matrix'!$B$1:$D$1,0))="Fill","LOA holder 2, ","")IF(INDEX('MOA role matrix'!$B$2:$D$13,8,MATCH($B49,'MOA role matrix'!$B$1:$D$1,0))="If finance","LOA holder 2 (if finance), ","")IF(INDEX('MOA role matrix'!$B$2:$D$13,8,MATCH($B49,'MOA role matrix'!$B$1:$D$1,0))="Auto","LOA holder 2 (auto), ","")IF(INDEX('MOA role matrix'!$B$2:$D$13,9,MATCH($B49,'MOA role matrix'!$B$1:$D$1,0))="Fill","Senior Manager CoSec, ","")IF(INDEX('MOA role matrix'!$B$2:$D$13,9,MATCH($B49,'MOA role matrix'!$B$1:$D$1,0))="If finance","Senior Manager CoSec (if finance), ","")IF(INDEX('MOA role matrix'!$B$2:$D$13,9,MATCH($B49,'MOA role matrix'!$B$1:$D$1,0))="Auto","Senior Manager CoSec (auto), ","")IF(INDEX('MOA role matrix'!$B$2:$D$13,10,MATCH($B49,'MOA role matrix'!$B$1:$D$1,0))="Fill","Division MOI managers, ","")IF(INDEX('MOA role matrix'!$B$2:$D$13,10,MATCH($B49,'MOA role matrix'!$B$1:$D$1,0))="If finance","Division MOI managers (if finance), ","")IF(INDEX('MOA role matrix'!$B$2:$D$13,10,MATCH($B49,'MOA role matrix'!$B$1:$D$1,0))="Auto","Division MOI managers (auto), ","")IF(INDEX('MOA role matrix'!$B$2:$D$13,11,MATCH($B49,'MOA role matrix'!$B$1:$D$1,0))="Fill","Ms Teh (bank), ","")IF(INDEX('MOA role matrix'!$B$2:$D$13,11,MATCH($B49,'MOA role matrix'!$B$1:$D$1,0))="If finance","Ms Teh (bank) (if finance), ","")IF(INDEX('MOA role matrix'!$B$2:$D$13,11,MATCH($B49,'MOA role matrix'!$B$1:$D$1,0))="Auto","Ms Teh (bank) (auto), ","")IF(INDEX('MOA role matrix'!$B$2:$D$13,12,MATCH($B49,'MOA role matrix'!$B$1:$D$1,0))="Fill","DLCM, ","")IF(INDEX('MOA role matrix'!$B$2:$D$13,12,MATCH($B49,'MOA role matrix'!$B$1:$D$1,0))="If finance","DLCM (if finance), ","")IF(INDEX('MOA role matrix'!$B$2:$D$13,12,MATCH($B49,'MOA role matrix'!$B$1:$D$1,0))="Auto","DLCM (auto), ","")))</f>
        <v/>
      </c>
      <c r="D49" s="5">
        <f>IF($A49="","",IFERROR(INDEX(FILTER('Client contacts'!$B$2:$B$500,('Client contacts'!$A$2:$A$500=$A49)*('Client contacts'!$H$2:$H$500="Y"),""),1),""))</f>
        <v/>
      </c>
      <c r="E49" s="5">
        <f>IF($A49="","",IFERROR(INDEX(FILTER('Client contacts'!$C$2:$C$500,('Client contacts'!$A$2:$A$500=$A49)*('Client contacts'!$H$2:$H$500="Y"),""),1),""))</f>
        <v/>
      </c>
      <c r="F49" s="5">
        <f>IF($A49="","",IFERROR(INDEX(FILTER('Client contacts'!$B$2:$B$500,('Client contacts'!$A$2:$A$500=$A49)*('Client contacts'!$G$2:$G$500="Y"),""),1),""))</f>
        <v/>
      </c>
      <c r="G49" s="5">
        <f>IF($A49="","",IFERROR(INDEX(FILTER('Client contacts'!$C$2:$C$500,('Client contacts'!$A$2:$A$500=$A49)*('Client contacts'!$G$2:$G$500="Y"),""),1),""))</f>
        <v/>
      </c>
      <c r="H49" s="5">
        <f>IF($A49="","",IFERROR(INDEX(FILTER('Client contacts'!$B$2:$B$500,('Client contacts'!$A$2:$A$500=$A49)*('Client contacts'!$G$2:$G$500="Y"),""),2),""))</f>
        <v/>
      </c>
      <c r="I49" s="5">
        <f>IF($A49="","",IFERROR(INDEX(FILTER('Client contacts'!$C$2:$C$500,('Client contacts'!$A$2:$A$500=$A49)*('Client contacts'!$G$2:$G$500="Y"),""),2),""))</f>
        <v/>
      </c>
      <c r="J49" s="8" t="n"/>
      <c r="K49" s="8" t="n"/>
      <c r="L49" s="8" t="n"/>
      <c r="M49" s="8" t="n"/>
      <c r="N49" s="8" t="n"/>
      <c r="O49" s="8" t="n"/>
      <c r="P49" s="8" t="n"/>
      <c r="Q49" s="8" t="n"/>
      <c r="R49" s="5">
        <f>IF($A49="","",IFERROR(INDEX(Companies!$I$2:$I$500,MATCH($A49,Companies!$A$2:$A$500,0)),""))</f>
        <v/>
      </c>
      <c r="S49" s="8" t="n"/>
      <c r="T49" s="8" t="n"/>
      <c r="U49" s="8" t="n"/>
      <c r="V49" s="8" t="n"/>
      <c r="W49" s="8" t="n"/>
    </row>
    <row r="50">
      <c r="C50" s="5">
        <f>IF($B50="","",TRIM(IF(INDEX('MOA role matrix'!$B$2:$D$13,1,MATCH($B50,'MOA role matrix'!$B$1:$D$1,0))="Fill","Project initiator, ","")IF(INDEX('MOA role matrix'!$B$2:$D$13,1,MATCH($B50,'MOA role matrix'!$B$1:$D$1,0))="If finance","Project initiator (if finance), ","")IF(INDEX('MOA role matrix'!$B$2:$D$13,1,MATCH($B50,'MOA role matrix'!$B$1:$D$1,0))="Auto","Project initiator (auto), ","")IF(INDEX('MOA role matrix'!$B$2:$D$13,2,MATCH($B50,'MOA role matrix'!$B$1:$D$1,0))="Fill","MOA signers (client), ","")IF(INDEX('MOA role matrix'!$B$2:$D$13,2,MATCH($B50,'MOA role matrix'!$B$1:$D$1,0))="If finance","MOA signers (client) (if finance), ","")IF(INDEX('MOA role matrix'!$B$2:$D$13,2,MATCH($B50,'MOA role matrix'!$B$1:$D$1,0))="Auto","MOA signers (client) (auto), ","")IF(INDEX('MOA role matrix'!$B$2:$D$13,3,MATCH($B50,'MOA role matrix'!$B$1:$D$1,0))="Fill","CFO / Head of Finance, ","")IF(INDEX('MOA role matrix'!$B$2:$D$13,3,MATCH($B50,'MOA role matrix'!$B$1:$D$1,0))="If finance","CFO / Head of Finance (if finance), ","")IF(INDEX('MOA role matrix'!$B$2:$D$13,3,MATCH($B50,'MOA role matrix'!$B$1:$D$1,0))="Auto","CFO / Head of Finance (auto), ","")IF(INDEX('MOA role matrix'!$B$2:$D$13,4,MATCH($B50,'MOA role matrix'!$B$1:$D$1,0))="Fill","CEO / COO / GM, ","")IF(INDEX('MOA role matrix'!$B$2:$D$13,4,MATCH($B50,'MOA role matrix'!$B$1:$D$1,0))="If finance","CEO / COO / GM (if finance), ","")IF(INDEX('MOA role matrix'!$B$2:$D$13,4,MATCH($B50,'MOA role matrix'!$B$1:$D$1,0))="Auto","CEO / COO / GM (auto), ","")IF(INDEX('MOA role matrix'!$B$2:$D$13,5,MATCH($B50,'MOA role matrix'!$B$1:$D$1,0))="Fill","Board member 1, ","")IF(INDEX('MOA role matrix'!$B$2:$D$13,5,MATCH($B50,'MOA role matrix'!$B$1:$D$1,0))="If finance","Board member 1 (if finance), ","")IF(INDEX('MOA role matrix'!$B$2:$D$13,5,MATCH($B50,'MOA role matrix'!$B$1:$D$1,0))="Auto","Board member 1 (auto), ","")IF(INDEX('MOA role matrix'!$B$2:$D$13,6,MATCH($B50,'MOA role matrix'!$B$1:$D$1,0))="Fill","Board member 2, ","")IF(INDEX('MOA role matrix'!$B$2:$D$13,6,MATCH($B50,'MOA role matrix'!$B$1:$D$1,0))="If finance","Board member 2 (if finance), ","")IF(INDEX('MOA role matrix'!$B$2:$D$13,6,MATCH($B50,'MOA role matrix'!$B$1:$D$1,0))="Auto","Board member 2 (auto), ","")IF(INDEX('MOA role matrix'!$B$2:$D$13,7,MATCH($B50,'MOA role matrix'!$B$1:$D$1,0))="Fill","LOA holder 1, ","")IF(INDEX('MOA role matrix'!$B$2:$D$13,7,MATCH($B50,'MOA role matrix'!$B$1:$D$1,0))="If finance","LOA holder 1 (if finance), ","")IF(INDEX('MOA role matrix'!$B$2:$D$13,7,MATCH($B50,'MOA role matrix'!$B$1:$D$1,0))="Auto","LOA holder 1 (auto), ","")IF(INDEX('MOA role matrix'!$B$2:$D$13,8,MATCH($B50,'MOA role matrix'!$B$1:$D$1,0))="Fill","LOA holder 2, ","")IF(INDEX('MOA role matrix'!$B$2:$D$13,8,MATCH($B50,'MOA role matrix'!$B$1:$D$1,0))="If finance","LOA holder 2 (if finance), ","")IF(INDEX('MOA role matrix'!$B$2:$D$13,8,MATCH($B50,'MOA role matrix'!$B$1:$D$1,0))="Auto","LOA holder 2 (auto), ","")IF(INDEX('MOA role matrix'!$B$2:$D$13,9,MATCH($B50,'MOA role matrix'!$B$1:$D$1,0))="Fill","Senior Manager CoSec, ","")IF(INDEX('MOA role matrix'!$B$2:$D$13,9,MATCH($B50,'MOA role matrix'!$B$1:$D$1,0))="If finance","Senior Manager CoSec (if finance), ","")IF(INDEX('MOA role matrix'!$B$2:$D$13,9,MATCH($B50,'MOA role matrix'!$B$1:$D$1,0))="Auto","Senior Manager CoSec (auto), ","")IF(INDEX('MOA role matrix'!$B$2:$D$13,10,MATCH($B50,'MOA role matrix'!$B$1:$D$1,0))="Fill","Division MOI managers, ","")IF(INDEX('MOA role matrix'!$B$2:$D$13,10,MATCH($B50,'MOA role matrix'!$B$1:$D$1,0))="If finance","Division MOI managers (if finance), ","")IF(INDEX('MOA role matrix'!$B$2:$D$13,10,MATCH($B50,'MOA role matrix'!$B$1:$D$1,0))="Auto","Division MOI managers (auto), ","")IF(INDEX('MOA role matrix'!$B$2:$D$13,11,MATCH($B50,'MOA role matrix'!$B$1:$D$1,0))="Fill","Ms Teh (bank), ","")IF(INDEX('MOA role matrix'!$B$2:$D$13,11,MATCH($B50,'MOA role matrix'!$B$1:$D$1,0))="If finance","Ms Teh (bank) (if finance), ","")IF(INDEX('MOA role matrix'!$B$2:$D$13,11,MATCH($B50,'MOA role matrix'!$B$1:$D$1,0))="Auto","Ms Teh (bank) (auto), ","")IF(INDEX('MOA role matrix'!$B$2:$D$13,12,MATCH($B50,'MOA role matrix'!$B$1:$D$1,0))="Fill","DLCM, ","")IF(INDEX('MOA role matrix'!$B$2:$D$13,12,MATCH($B50,'MOA role matrix'!$B$1:$D$1,0))="If finance","DLCM (if finance), ","")IF(INDEX('MOA role matrix'!$B$2:$D$13,12,MATCH($B50,'MOA role matrix'!$B$1:$D$1,0))="Auto","DLCM (auto), ","")))</f>
        <v/>
      </c>
      <c r="D50" s="5">
        <f>IF($A50="","",IFERROR(INDEX(FILTER('Client contacts'!$B$2:$B$500,('Client contacts'!$A$2:$A$500=$A50)*('Client contacts'!$H$2:$H$500="Y"),""),1),""))</f>
        <v/>
      </c>
      <c r="E50" s="5">
        <f>IF($A50="","",IFERROR(INDEX(FILTER('Client contacts'!$C$2:$C$500,('Client contacts'!$A$2:$A$500=$A50)*('Client contacts'!$H$2:$H$500="Y"),""),1),""))</f>
        <v/>
      </c>
      <c r="F50" s="5">
        <f>IF($A50="","",IFERROR(INDEX(FILTER('Client contacts'!$B$2:$B$500,('Client contacts'!$A$2:$A$500=$A50)*('Client contacts'!$G$2:$G$500="Y"),""),1),""))</f>
        <v/>
      </c>
      <c r="G50" s="5">
        <f>IF($A50="","",IFERROR(INDEX(FILTER('Client contacts'!$C$2:$C$500,('Client contacts'!$A$2:$A$500=$A50)*('Client contacts'!$G$2:$G$500="Y"),""),1),""))</f>
        <v/>
      </c>
      <c r="H50" s="5">
        <f>IF($A50="","",IFERROR(INDEX(FILTER('Client contacts'!$B$2:$B$500,('Client contacts'!$A$2:$A$500=$A50)*('Client contacts'!$G$2:$G$500="Y"),""),2),""))</f>
        <v/>
      </c>
      <c r="I50" s="5">
        <f>IF($A50="","",IFERROR(INDEX(FILTER('Client contacts'!$C$2:$C$500,('Client contacts'!$A$2:$A$500=$A50)*('Client contacts'!$G$2:$G$500="Y"),""),2),""))</f>
        <v/>
      </c>
      <c r="J50" s="8" t="n"/>
      <c r="K50" s="8" t="n"/>
      <c r="L50" s="8" t="n"/>
      <c r="M50" s="8" t="n"/>
      <c r="N50" s="8" t="n"/>
      <c r="O50" s="8" t="n"/>
      <c r="P50" s="8" t="n"/>
      <c r="Q50" s="8" t="n"/>
      <c r="R50" s="5">
        <f>IF($A50="","",IFERROR(INDEX(Companies!$I$2:$I$500,MATCH($A50,Companies!$A$2:$A$500,0)),""))</f>
        <v/>
      </c>
      <c r="S50" s="8" t="n"/>
      <c r="T50" s="8" t="n"/>
      <c r="U50" s="8" t="n"/>
      <c r="V50" s="8" t="n"/>
      <c r="W50" s="8" t="n"/>
    </row>
    <row r="51">
      <c r="C51" s="5">
        <f>IF($B51="","",TRIM(IF(INDEX('MOA role matrix'!$B$2:$D$13,1,MATCH($B51,'MOA role matrix'!$B$1:$D$1,0))="Fill","Project initiator, ","")IF(INDEX('MOA role matrix'!$B$2:$D$13,1,MATCH($B51,'MOA role matrix'!$B$1:$D$1,0))="If finance","Project initiator (if finance), ","")IF(INDEX('MOA role matrix'!$B$2:$D$13,1,MATCH($B51,'MOA role matrix'!$B$1:$D$1,0))="Auto","Project initiator (auto), ","")IF(INDEX('MOA role matrix'!$B$2:$D$13,2,MATCH($B51,'MOA role matrix'!$B$1:$D$1,0))="Fill","MOA signers (client), ","")IF(INDEX('MOA role matrix'!$B$2:$D$13,2,MATCH($B51,'MOA role matrix'!$B$1:$D$1,0))="If finance","MOA signers (client) (if finance), ","")IF(INDEX('MOA role matrix'!$B$2:$D$13,2,MATCH($B51,'MOA role matrix'!$B$1:$D$1,0))="Auto","MOA signers (client) (auto), ","")IF(INDEX('MOA role matrix'!$B$2:$D$13,3,MATCH($B51,'MOA role matrix'!$B$1:$D$1,0))="Fill","CFO / Head of Finance, ","")IF(INDEX('MOA role matrix'!$B$2:$D$13,3,MATCH($B51,'MOA role matrix'!$B$1:$D$1,0))="If finance","CFO / Head of Finance (if finance), ","")IF(INDEX('MOA role matrix'!$B$2:$D$13,3,MATCH($B51,'MOA role matrix'!$B$1:$D$1,0))="Auto","CFO / Head of Finance (auto), ","")IF(INDEX('MOA role matrix'!$B$2:$D$13,4,MATCH($B51,'MOA role matrix'!$B$1:$D$1,0))="Fill","CEO / COO / GM, ","")IF(INDEX('MOA role matrix'!$B$2:$D$13,4,MATCH($B51,'MOA role matrix'!$B$1:$D$1,0))="If finance","CEO / COO / GM (if finance), ","")IF(INDEX('MOA role matrix'!$B$2:$D$13,4,MATCH($B51,'MOA role matrix'!$B$1:$D$1,0))="Auto","CEO / COO / GM (auto), ","")IF(INDEX('MOA role matrix'!$B$2:$D$13,5,MATCH($B51,'MOA role matrix'!$B$1:$D$1,0))="Fill","Board member 1, ","")IF(INDEX('MOA role matrix'!$B$2:$D$13,5,MATCH($B51,'MOA role matrix'!$B$1:$D$1,0))="If finance","Board member 1 (if finance), ","")IF(INDEX('MOA role matrix'!$B$2:$D$13,5,MATCH($B51,'MOA role matrix'!$B$1:$D$1,0))="Auto","Board member 1 (auto), ","")IF(INDEX('MOA role matrix'!$B$2:$D$13,6,MATCH($B51,'MOA role matrix'!$B$1:$D$1,0))="Fill","Board member 2, ","")IF(INDEX('MOA role matrix'!$B$2:$D$13,6,MATCH($B51,'MOA role matrix'!$B$1:$D$1,0))="If finance","Board member 2 (if finance), ","")IF(INDEX('MOA role matrix'!$B$2:$D$13,6,MATCH($B51,'MOA role matrix'!$B$1:$D$1,0))="Auto","Board member 2 (auto), ","")IF(INDEX('MOA role matrix'!$B$2:$D$13,7,MATCH($B51,'MOA role matrix'!$B$1:$D$1,0))="Fill","LOA holder 1, ","")IF(INDEX('MOA role matrix'!$B$2:$D$13,7,MATCH($B51,'MOA role matrix'!$B$1:$D$1,0))="If finance","LOA holder 1 (if finance), ","")IF(INDEX('MOA role matrix'!$B$2:$D$13,7,MATCH($B51,'MOA role matrix'!$B$1:$D$1,0))="Auto","LOA holder 1 (auto), ","")IF(INDEX('MOA role matrix'!$B$2:$D$13,8,MATCH($B51,'MOA role matrix'!$B$1:$D$1,0))="Fill","LOA holder 2, ","")IF(INDEX('MOA role matrix'!$B$2:$D$13,8,MATCH($B51,'MOA role matrix'!$B$1:$D$1,0))="If finance","LOA holder 2 (if finance), ","")IF(INDEX('MOA role matrix'!$B$2:$D$13,8,MATCH($B51,'MOA role matrix'!$B$1:$D$1,0))="Auto","LOA holder 2 (auto), ","")IF(INDEX('MOA role matrix'!$B$2:$D$13,9,MATCH($B51,'MOA role matrix'!$B$1:$D$1,0))="Fill","Senior Manager CoSec, ","")IF(INDEX('MOA role matrix'!$B$2:$D$13,9,MATCH($B51,'MOA role matrix'!$B$1:$D$1,0))="If finance","Senior Manager CoSec (if finance), ","")IF(INDEX('MOA role matrix'!$B$2:$D$13,9,MATCH($B51,'MOA role matrix'!$B$1:$D$1,0))="Auto","Senior Manager CoSec (auto), ","")IF(INDEX('MOA role matrix'!$B$2:$D$13,10,MATCH($B51,'MOA role matrix'!$B$1:$D$1,0))="Fill","Division MOI managers, ","")IF(INDEX('MOA role matrix'!$B$2:$D$13,10,MATCH($B51,'MOA role matrix'!$B$1:$D$1,0))="If finance","Division MOI managers (if finance), ","")IF(INDEX('MOA role matrix'!$B$2:$D$13,10,MATCH($B51,'MOA role matrix'!$B$1:$D$1,0))="Auto","Division MOI managers (auto), ","")IF(INDEX('MOA role matrix'!$B$2:$D$13,11,MATCH($B51,'MOA role matrix'!$B$1:$D$1,0))="Fill","Ms Teh (bank), ","")IF(INDEX('MOA role matrix'!$B$2:$D$13,11,MATCH($B51,'MOA role matrix'!$B$1:$D$1,0))="If finance","Ms Teh (bank) (if finance), ","")IF(INDEX('MOA role matrix'!$B$2:$D$13,11,MATCH($B51,'MOA role matrix'!$B$1:$D$1,0))="Auto","Ms Teh (bank) (auto), ","")IF(INDEX('MOA role matrix'!$B$2:$D$13,12,MATCH($B51,'MOA role matrix'!$B$1:$D$1,0))="Fill","DLCM, ","")IF(INDEX('MOA role matrix'!$B$2:$D$13,12,MATCH($B51,'MOA role matrix'!$B$1:$D$1,0))="If finance","DLCM (if finance), ","")IF(INDEX('MOA role matrix'!$B$2:$D$13,12,MATCH($B51,'MOA role matrix'!$B$1:$D$1,0))="Auto","DLCM (auto), ","")))</f>
        <v/>
      </c>
      <c r="D51" s="5">
        <f>IF($A51="","",IFERROR(INDEX(FILTER('Client contacts'!$B$2:$B$500,('Client contacts'!$A$2:$A$500=$A51)*('Client contacts'!$H$2:$H$500="Y"),""),1),""))</f>
        <v/>
      </c>
      <c r="E51" s="5">
        <f>IF($A51="","",IFERROR(INDEX(FILTER('Client contacts'!$C$2:$C$500,('Client contacts'!$A$2:$A$500=$A51)*('Client contacts'!$H$2:$H$500="Y"),""),1),""))</f>
        <v/>
      </c>
      <c r="F51" s="5">
        <f>IF($A51="","",IFERROR(INDEX(FILTER('Client contacts'!$B$2:$B$500,('Client contacts'!$A$2:$A$500=$A51)*('Client contacts'!$G$2:$G$500="Y"),""),1),""))</f>
        <v/>
      </c>
      <c r="G51" s="5">
        <f>IF($A51="","",IFERROR(INDEX(FILTER('Client contacts'!$C$2:$C$500,('Client contacts'!$A$2:$A$500=$A51)*('Client contacts'!$G$2:$G$500="Y"),""),1),""))</f>
        <v/>
      </c>
      <c r="H51" s="5">
        <f>IF($A51="","",IFERROR(INDEX(FILTER('Client contacts'!$B$2:$B$500,('Client contacts'!$A$2:$A$500=$A51)*('Client contacts'!$G$2:$G$500="Y"),""),2),""))</f>
        <v/>
      </c>
      <c r="I51" s="5">
        <f>IF($A51="","",IFERROR(INDEX(FILTER('Client contacts'!$C$2:$C$500,('Client contacts'!$A$2:$A$500=$A51)*('Client contacts'!$G$2:$G$500="Y"),""),2),""))</f>
        <v/>
      </c>
      <c r="J51" s="8" t="n"/>
      <c r="K51" s="8" t="n"/>
      <c r="L51" s="8" t="n"/>
      <c r="M51" s="8" t="n"/>
      <c r="N51" s="8" t="n"/>
      <c r="O51" s="8" t="n"/>
      <c r="P51" s="8" t="n"/>
      <c r="Q51" s="8" t="n"/>
      <c r="R51" s="5">
        <f>IF($A51="","",IFERROR(INDEX(Companies!$I$2:$I$500,MATCH($A51,Companies!$A$2:$A$500,0)),""))</f>
        <v/>
      </c>
      <c r="S51" s="8" t="n"/>
      <c r="T51" s="8" t="n"/>
      <c r="U51" s="8" t="n"/>
      <c r="V51" s="8" t="n"/>
      <c r="W51" s="8" t="n"/>
    </row>
    <row r="52">
      <c r="C52" s="5">
        <f>IF($B52="","",TRIM(IF(INDEX('MOA role matrix'!$B$2:$D$13,1,MATCH($B52,'MOA role matrix'!$B$1:$D$1,0))="Fill","Project initiator, ","")IF(INDEX('MOA role matrix'!$B$2:$D$13,1,MATCH($B52,'MOA role matrix'!$B$1:$D$1,0))="If finance","Project initiator (if finance), ","")IF(INDEX('MOA role matrix'!$B$2:$D$13,1,MATCH($B52,'MOA role matrix'!$B$1:$D$1,0))="Auto","Project initiator (auto), ","")IF(INDEX('MOA role matrix'!$B$2:$D$13,2,MATCH($B52,'MOA role matrix'!$B$1:$D$1,0))="Fill","MOA signers (client), ","")IF(INDEX('MOA role matrix'!$B$2:$D$13,2,MATCH($B52,'MOA role matrix'!$B$1:$D$1,0))="If finance","MOA signers (client) (if finance), ","")IF(INDEX('MOA role matrix'!$B$2:$D$13,2,MATCH($B52,'MOA role matrix'!$B$1:$D$1,0))="Auto","MOA signers (client) (auto), ","")IF(INDEX('MOA role matrix'!$B$2:$D$13,3,MATCH($B52,'MOA role matrix'!$B$1:$D$1,0))="Fill","CFO / Head of Finance, ","")IF(INDEX('MOA role matrix'!$B$2:$D$13,3,MATCH($B52,'MOA role matrix'!$B$1:$D$1,0))="If finance","CFO / Head of Finance (if finance), ","")IF(INDEX('MOA role matrix'!$B$2:$D$13,3,MATCH($B52,'MOA role matrix'!$B$1:$D$1,0))="Auto","CFO / Head of Finance (auto), ","")IF(INDEX('MOA role matrix'!$B$2:$D$13,4,MATCH($B52,'MOA role matrix'!$B$1:$D$1,0))="Fill","CEO / COO / GM, ","")IF(INDEX('MOA role matrix'!$B$2:$D$13,4,MATCH($B52,'MOA role matrix'!$B$1:$D$1,0))="If finance","CEO / COO / GM (if finance), ","")IF(INDEX('MOA role matrix'!$B$2:$D$13,4,MATCH($B52,'MOA role matrix'!$B$1:$D$1,0))="Auto","CEO / COO / GM (auto), ","")IF(INDEX('MOA role matrix'!$B$2:$D$13,5,MATCH($B52,'MOA role matrix'!$B$1:$D$1,0))="Fill","Board member 1, ","")IF(INDEX('MOA role matrix'!$B$2:$D$13,5,MATCH($B52,'MOA role matrix'!$B$1:$D$1,0))="If finance","Board member 1 (if finance), ","")IF(INDEX('MOA role matrix'!$B$2:$D$13,5,MATCH($B52,'MOA role matrix'!$B$1:$D$1,0))="Auto","Board member 1 (auto), ","")IF(INDEX('MOA role matrix'!$B$2:$D$13,6,MATCH($B52,'MOA role matrix'!$B$1:$D$1,0))="Fill","Board member 2, ","")IF(INDEX('MOA role matrix'!$B$2:$D$13,6,MATCH($B52,'MOA role matrix'!$B$1:$D$1,0))="If finance","Board member 2 (if finance), ","")IF(INDEX('MOA role matrix'!$B$2:$D$13,6,MATCH($B52,'MOA role matrix'!$B$1:$D$1,0))="Auto","Board member 2 (auto), ","")IF(INDEX('MOA role matrix'!$B$2:$D$13,7,MATCH($B52,'MOA role matrix'!$B$1:$D$1,0))="Fill","LOA holder 1, ","")IF(INDEX('MOA role matrix'!$B$2:$D$13,7,MATCH($B52,'MOA role matrix'!$B$1:$D$1,0))="If finance","LOA holder 1 (if finance), ","")IF(INDEX('MOA role matrix'!$B$2:$D$13,7,MATCH($B52,'MOA role matrix'!$B$1:$D$1,0))="Auto","LOA holder 1 (auto), ","")IF(INDEX('MOA role matrix'!$B$2:$D$13,8,MATCH($B52,'MOA role matrix'!$B$1:$D$1,0))="Fill","LOA holder 2, ","")IF(INDEX('MOA role matrix'!$B$2:$D$13,8,MATCH($B52,'MOA role matrix'!$B$1:$D$1,0))="If finance","LOA holder 2 (if finance), ","")IF(INDEX('MOA role matrix'!$B$2:$D$13,8,MATCH($B52,'MOA role matrix'!$B$1:$D$1,0))="Auto","LOA holder 2 (auto), ","")IF(INDEX('MOA role matrix'!$B$2:$D$13,9,MATCH($B52,'MOA role matrix'!$B$1:$D$1,0))="Fill","Senior Manager CoSec, ","")IF(INDEX('MOA role matrix'!$B$2:$D$13,9,MATCH($B52,'MOA role matrix'!$B$1:$D$1,0))="If finance","Senior Manager CoSec (if finance), ","")IF(INDEX('MOA role matrix'!$B$2:$D$13,9,MATCH($B52,'MOA role matrix'!$B$1:$D$1,0))="Auto","Senior Manager CoSec (auto), ","")IF(INDEX('MOA role matrix'!$B$2:$D$13,10,MATCH($B52,'MOA role matrix'!$B$1:$D$1,0))="Fill","Division MOI managers, ","")IF(INDEX('MOA role matrix'!$B$2:$D$13,10,MATCH($B52,'MOA role matrix'!$B$1:$D$1,0))="If finance","Division MOI managers (if finance), ","")IF(INDEX('MOA role matrix'!$B$2:$D$13,10,MATCH($B52,'MOA role matrix'!$B$1:$D$1,0))="Auto","Division MOI managers (auto), ","")IF(INDEX('MOA role matrix'!$B$2:$D$13,11,MATCH($B52,'MOA role matrix'!$B$1:$D$1,0))="Fill","Ms Teh (bank), ","")IF(INDEX('MOA role matrix'!$B$2:$D$13,11,MATCH($B52,'MOA role matrix'!$B$1:$D$1,0))="If finance","Ms Teh (bank) (if finance), ","")IF(INDEX('MOA role matrix'!$B$2:$D$13,11,MATCH($B52,'MOA role matrix'!$B$1:$D$1,0))="Auto","Ms Teh (bank) (auto), ","")IF(INDEX('MOA role matrix'!$B$2:$D$13,12,MATCH($B52,'MOA role matrix'!$B$1:$D$1,0))="Fill","DLCM, ","")IF(INDEX('MOA role matrix'!$B$2:$D$13,12,MATCH($B52,'MOA role matrix'!$B$1:$D$1,0))="If finance","DLCM (if finance), ","")IF(INDEX('MOA role matrix'!$B$2:$D$13,12,MATCH($B52,'MOA role matrix'!$B$1:$D$1,0))="Auto","DLCM (auto), ","")))</f>
        <v/>
      </c>
      <c r="D52" s="5">
        <f>IF($A52="","",IFERROR(INDEX(FILTER('Client contacts'!$B$2:$B$500,('Client contacts'!$A$2:$A$500=$A52)*('Client contacts'!$H$2:$H$500="Y"),""),1),""))</f>
        <v/>
      </c>
      <c r="E52" s="5">
        <f>IF($A52="","",IFERROR(INDEX(FILTER('Client contacts'!$C$2:$C$500,('Client contacts'!$A$2:$A$500=$A52)*('Client contacts'!$H$2:$H$500="Y"),""),1),""))</f>
        <v/>
      </c>
      <c r="F52" s="5">
        <f>IF($A52="","",IFERROR(INDEX(FILTER('Client contacts'!$B$2:$B$500,('Client contacts'!$A$2:$A$500=$A52)*('Client contacts'!$G$2:$G$500="Y"),""),1),""))</f>
        <v/>
      </c>
      <c r="G52" s="5">
        <f>IF($A52="","",IFERROR(INDEX(FILTER('Client contacts'!$C$2:$C$500,('Client contacts'!$A$2:$A$500=$A52)*('Client contacts'!$G$2:$G$500="Y"),""),1),""))</f>
        <v/>
      </c>
      <c r="H52" s="5">
        <f>IF($A52="","",IFERROR(INDEX(FILTER('Client contacts'!$B$2:$B$500,('Client contacts'!$A$2:$A$500=$A52)*('Client contacts'!$G$2:$G$500="Y"),""),2),""))</f>
        <v/>
      </c>
      <c r="I52" s="5">
        <f>IF($A52="","",IFERROR(INDEX(FILTER('Client contacts'!$C$2:$C$500,('Client contacts'!$A$2:$A$500=$A52)*('Client contacts'!$G$2:$G$500="Y"),""),2),""))</f>
        <v/>
      </c>
      <c r="J52" s="8" t="n"/>
      <c r="K52" s="8" t="n"/>
      <c r="L52" s="8" t="n"/>
      <c r="M52" s="8" t="n"/>
      <c r="N52" s="8" t="n"/>
      <c r="O52" s="8" t="n"/>
      <c r="P52" s="8" t="n"/>
      <c r="Q52" s="8" t="n"/>
      <c r="R52" s="5">
        <f>IF($A52="","",IFERROR(INDEX(Companies!$I$2:$I$500,MATCH($A52,Companies!$A$2:$A$500,0)),""))</f>
        <v/>
      </c>
      <c r="S52" s="8" t="n"/>
      <c r="T52" s="8" t="n"/>
      <c r="U52" s="8" t="n"/>
      <c r="V52" s="8" t="n"/>
      <c r="W52" s="8" t="n"/>
    </row>
    <row r="53">
      <c r="C53" s="5">
        <f>IF($B53="","",TRIM(IF(INDEX('MOA role matrix'!$B$2:$D$13,1,MATCH($B53,'MOA role matrix'!$B$1:$D$1,0))="Fill","Project initiator, ","")IF(INDEX('MOA role matrix'!$B$2:$D$13,1,MATCH($B53,'MOA role matrix'!$B$1:$D$1,0))="If finance","Project initiator (if finance), ","")IF(INDEX('MOA role matrix'!$B$2:$D$13,1,MATCH($B53,'MOA role matrix'!$B$1:$D$1,0))="Auto","Project initiator (auto), ","")IF(INDEX('MOA role matrix'!$B$2:$D$13,2,MATCH($B53,'MOA role matrix'!$B$1:$D$1,0))="Fill","MOA signers (client), ","")IF(INDEX('MOA role matrix'!$B$2:$D$13,2,MATCH($B53,'MOA role matrix'!$B$1:$D$1,0))="If finance","MOA signers (client) (if finance), ","")IF(INDEX('MOA role matrix'!$B$2:$D$13,2,MATCH($B53,'MOA role matrix'!$B$1:$D$1,0))="Auto","MOA signers (client) (auto), ","")IF(INDEX('MOA role matrix'!$B$2:$D$13,3,MATCH($B53,'MOA role matrix'!$B$1:$D$1,0))="Fill","CFO / Head of Finance, ","")IF(INDEX('MOA role matrix'!$B$2:$D$13,3,MATCH($B53,'MOA role matrix'!$B$1:$D$1,0))="If finance","CFO / Head of Finance (if finance), ","")IF(INDEX('MOA role matrix'!$B$2:$D$13,3,MATCH($B53,'MOA role matrix'!$B$1:$D$1,0))="Auto","CFO / Head of Finance (auto), ","")IF(INDEX('MOA role matrix'!$B$2:$D$13,4,MATCH($B53,'MOA role matrix'!$B$1:$D$1,0))="Fill","CEO / COO / GM, ","")IF(INDEX('MOA role matrix'!$B$2:$D$13,4,MATCH($B53,'MOA role matrix'!$B$1:$D$1,0))="If finance","CEO / COO / GM (if finance), ","")IF(INDEX('MOA role matrix'!$B$2:$D$13,4,MATCH($B53,'MOA role matrix'!$B$1:$D$1,0))="Auto","CEO / COO / GM (auto), ","")IF(INDEX('MOA role matrix'!$B$2:$D$13,5,MATCH($B53,'MOA role matrix'!$B$1:$D$1,0))="Fill","Board member 1, ","")IF(INDEX('MOA role matrix'!$B$2:$D$13,5,MATCH($B53,'MOA role matrix'!$B$1:$D$1,0))="If finance","Board member 1 (if finance), ","")IF(INDEX('MOA role matrix'!$B$2:$D$13,5,MATCH($B53,'MOA role matrix'!$B$1:$D$1,0))="Auto","Board member 1 (auto), ","")IF(INDEX('MOA role matrix'!$B$2:$D$13,6,MATCH($B53,'MOA role matrix'!$B$1:$D$1,0))="Fill","Board member 2, ","")IF(INDEX('MOA role matrix'!$B$2:$D$13,6,MATCH($B53,'MOA role matrix'!$B$1:$D$1,0))="If finance","Board member 2 (if finance), ","")IF(INDEX('MOA role matrix'!$B$2:$D$13,6,MATCH($B53,'MOA role matrix'!$B$1:$D$1,0))="Auto","Board member 2 (auto), ","")IF(INDEX('MOA role matrix'!$B$2:$D$13,7,MATCH($B53,'MOA role matrix'!$B$1:$D$1,0))="Fill","LOA holder 1, ","")IF(INDEX('MOA role matrix'!$B$2:$D$13,7,MATCH($B53,'MOA role matrix'!$B$1:$D$1,0))="If finance","LOA holder 1 (if finance), ","")IF(INDEX('MOA role matrix'!$B$2:$D$13,7,MATCH($B53,'MOA role matrix'!$B$1:$D$1,0))="Auto","LOA holder 1 (auto), ","")IF(INDEX('MOA role matrix'!$B$2:$D$13,8,MATCH($B53,'MOA role matrix'!$B$1:$D$1,0))="Fill","LOA holder 2, ","")IF(INDEX('MOA role matrix'!$B$2:$D$13,8,MATCH($B53,'MOA role matrix'!$B$1:$D$1,0))="If finance","LOA holder 2 (if finance), ","")IF(INDEX('MOA role matrix'!$B$2:$D$13,8,MATCH($B53,'MOA role matrix'!$B$1:$D$1,0))="Auto","LOA holder 2 (auto), ","")IF(INDEX('MOA role matrix'!$B$2:$D$13,9,MATCH($B53,'MOA role matrix'!$B$1:$D$1,0))="Fill","Senior Manager CoSec, ","")IF(INDEX('MOA role matrix'!$B$2:$D$13,9,MATCH($B53,'MOA role matrix'!$B$1:$D$1,0))="If finance","Senior Manager CoSec (if finance), ","")IF(INDEX('MOA role matrix'!$B$2:$D$13,9,MATCH($B53,'MOA role matrix'!$B$1:$D$1,0))="Auto","Senior Manager CoSec (auto), ","")IF(INDEX('MOA role matrix'!$B$2:$D$13,10,MATCH($B53,'MOA role matrix'!$B$1:$D$1,0))="Fill","Division MOI managers, ","")IF(INDEX('MOA role matrix'!$B$2:$D$13,10,MATCH($B53,'MOA role matrix'!$B$1:$D$1,0))="If finance","Division MOI managers (if finance), ","")IF(INDEX('MOA role matrix'!$B$2:$D$13,10,MATCH($B53,'MOA role matrix'!$B$1:$D$1,0))="Auto","Division MOI managers (auto), ","")IF(INDEX('MOA role matrix'!$B$2:$D$13,11,MATCH($B53,'MOA role matrix'!$B$1:$D$1,0))="Fill","Ms Teh (bank), ","")IF(INDEX('MOA role matrix'!$B$2:$D$13,11,MATCH($B53,'MOA role matrix'!$B$1:$D$1,0))="If finance","Ms Teh (bank) (if finance), ","")IF(INDEX('MOA role matrix'!$B$2:$D$13,11,MATCH($B53,'MOA role matrix'!$B$1:$D$1,0))="Auto","Ms Teh (bank) (auto), ","")IF(INDEX('MOA role matrix'!$B$2:$D$13,12,MATCH($B53,'MOA role matrix'!$B$1:$D$1,0))="Fill","DLCM, ","")IF(INDEX('MOA role matrix'!$B$2:$D$13,12,MATCH($B53,'MOA role matrix'!$B$1:$D$1,0))="If finance","DLCM (if finance), ","")IF(INDEX('MOA role matrix'!$B$2:$D$13,12,MATCH($B53,'MOA role matrix'!$B$1:$D$1,0))="Auto","DLCM (auto), ","")))</f>
        <v/>
      </c>
      <c r="D53" s="5">
        <f>IF($A53="","",IFERROR(INDEX(FILTER('Client contacts'!$B$2:$B$500,('Client contacts'!$A$2:$A$500=$A53)*('Client contacts'!$H$2:$H$500="Y"),""),1),""))</f>
        <v/>
      </c>
      <c r="E53" s="5">
        <f>IF($A53="","",IFERROR(INDEX(FILTER('Client contacts'!$C$2:$C$500,('Client contacts'!$A$2:$A$500=$A53)*('Client contacts'!$H$2:$H$500="Y"),""),1),""))</f>
        <v/>
      </c>
      <c r="F53" s="5">
        <f>IF($A53="","",IFERROR(INDEX(FILTER('Client contacts'!$B$2:$B$500,('Client contacts'!$A$2:$A$500=$A53)*('Client contacts'!$G$2:$G$500="Y"),""),1),""))</f>
        <v/>
      </c>
      <c r="G53" s="5">
        <f>IF($A53="","",IFERROR(INDEX(FILTER('Client contacts'!$C$2:$C$500,('Client contacts'!$A$2:$A$500=$A53)*('Client contacts'!$G$2:$G$500="Y"),""),1),""))</f>
        <v/>
      </c>
      <c r="H53" s="5">
        <f>IF($A53="","",IFERROR(INDEX(FILTER('Client contacts'!$B$2:$B$500,('Client contacts'!$A$2:$A$500=$A53)*('Client contacts'!$G$2:$G$500="Y"),""),2),""))</f>
        <v/>
      </c>
      <c r="I53" s="5">
        <f>IF($A53="","",IFERROR(INDEX(FILTER('Client contacts'!$C$2:$C$500,('Client contacts'!$A$2:$A$500=$A53)*('Client contacts'!$G$2:$G$500="Y"),""),2),""))</f>
        <v/>
      </c>
      <c r="J53" s="8" t="n"/>
      <c r="K53" s="8" t="n"/>
      <c r="L53" s="8" t="n"/>
      <c r="M53" s="8" t="n"/>
      <c r="N53" s="8" t="n"/>
      <c r="O53" s="8" t="n"/>
      <c r="P53" s="8" t="n"/>
      <c r="Q53" s="8" t="n"/>
      <c r="R53" s="5">
        <f>IF($A53="","",IFERROR(INDEX(Companies!$I$2:$I$500,MATCH($A53,Companies!$A$2:$A$500,0)),""))</f>
        <v/>
      </c>
      <c r="S53" s="8" t="n"/>
      <c r="T53" s="8" t="n"/>
      <c r="U53" s="8" t="n"/>
      <c r="V53" s="8" t="n"/>
      <c r="W53" s="8" t="n"/>
    </row>
    <row r="54">
      <c r="C54" s="5">
        <f>IF($B54="","",TRIM(IF(INDEX('MOA role matrix'!$B$2:$D$13,1,MATCH($B54,'MOA role matrix'!$B$1:$D$1,0))="Fill","Project initiator, ","")IF(INDEX('MOA role matrix'!$B$2:$D$13,1,MATCH($B54,'MOA role matrix'!$B$1:$D$1,0))="If finance","Project initiator (if finance), ","")IF(INDEX('MOA role matrix'!$B$2:$D$13,1,MATCH($B54,'MOA role matrix'!$B$1:$D$1,0))="Auto","Project initiator (auto), ","")IF(INDEX('MOA role matrix'!$B$2:$D$13,2,MATCH($B54,'MOA role matrix'!$B$1:$D$1,0))="Fill","MOA signers (client), ","")IF(INDEX('MOA role matrix'!$B$2:$D$13,2,MATCH($B54,'MOA role matrix'!$B$1:$D$1,0))="If finance","MOA signers (client) (if finance), ","")IF(INDEX('MOA role matrix'!$B$2:$D$13,2,MATCH($B54,'MOA role matrix'!$B$1:$D$1,0))="Auto","MOA signers (client) (auto), ","")IF(INDEX('MOA role matrix'!$B$2:$D$13,3,MATCH($B54,'MOA role matrix'!$B$1:$D$1,0))="Fill","CFO / Head of Finance, ","")IF(INDEX('MOA role matrix'!$B$2:$D$13,3,MATCH($B54,'MOA role matrix'!$B$1:$D$1,0))="If finance","CFO / Head of Finance (if finance), ","")IF(INDEX('MOA role matrix'!$B$2:$D$13,3,MATCH($B54,'MOA role matrix'!$B$1:$D$1,0))="Auto","CFO / Head of Finance (auto), ","")IF(INDEX('MOA role matrix'!$B$2:$D$13,4,MATCH($B54,'MOA role matrix'!$B$1:$D$1,0))="Fill","CEO / COO / GM, ","")IF(INDEX('MOA role matrix'!$B$2:$D$13,4,MATCH($B54,'MOA role matrix'!$B$1:$D$1,0))="If finance","CEO / COO / GM (if finance), ","")IF(INDEX('MOA role matrix'!$B$2:$D$13,4,MATCH($B54,'MOA role matrix'!$B$1:$D$1,0))="Auto","CEO / COO / GM (auto), ","")IF(INDEX('MOA role matrix'!$B$2:$D$13,5,MATCH($B54,'MOA role matrix'!$B$1:$D$1,0))="Fill","Board member 1, ","")IF(INDEX('MOA role matrix'!$B$2:$D$13,5,MATCH($B54,'MOA role matrix'!$B$1:$D$1,0))="If finance","Board member 1 (if finance), ","")IF(INDEX('MOA role matrix'!$B$2:$D$13,5,MATCH($B54,'MOA role matrix'!$B$1:$D$1,0))="Auto","Board member 1 (auto), ","")IF(INDEX('MOA role matrix'!$B$2:$D$13,6,MATCH($B54,'MOA role matrix'!$B$1:$D$1,0))="Fill","Board member 2, ","")IF(INDEX('MOA role matrix'!$B$2:$D$13,6,MATCH($B54,'MOA role matrix'!$B$1:$D$1,0))="If finance","Board member 2 (if finance), ","")IF(INDEX('MOA role matrix'!$B$2:$D$13,6,MATCH($B54,'MOA role matrix'!$B$1:$D$1,0))="Auto","Board member 2 (auto), ","")IF(INDEX('MOA role matrix'!$B$2:$D$13,7,MATCH($B54,'MOA role matrix'!$B$1:$D$1,0))="Fill","LOA holder 1, ","")IF(INDEX('MOA role matrix'!$B$2:$D$13,7,MATCH($B54,'MOA role matrix'!$B$1:$D$1,0))="If finance","LOA holder 1 (if finance), ","")IF(INDEX('MOA role matrix'!$B$2:$D$13,7,MATCH($B54,'MOA role matrix'!$B$1:$D$1,0))="Auto","LOA holder 1 (auto), ","")IF(INDEX('MOA role matrix'!$B$2:$D$13,8,MATCH($B54,'MOA role matrix'!$B$1:$D$1,0))="Fill","LOA holder 2, ","")IF(INDEX('MOA role matrix'!$B$2:$D$13,8,MATCH($B54,'MOA role matrix'!$B$1:$D$1,0))="If finance","LOA holder 2 (if finance), ","")IF(INDEX('MOA role matrix'!$B$2:$D$13,8,MATCH($B54,'MOA role matrix'!$B$1:$D$1,0))="Auto","LOA holder 2 (auto), ","")IF(INDEX('MOA role matrix'!$B$2:$D$13,9,MATCH($B54,'MOA role matrix'!$B$1:$D$1,0))="Fill","Senior Manager CoSec, ","")IF(INDEX('MOA role matrix'!$B$2:$D$13,9,MATCH($B54,'MOA role matrix'!$B$1:$D$1,0))="If finance","Senior Manager CoSec (if finance), ","")IF(INDEX('MOA role matrix'!$B$2:$D$13,9,MATCH($B54,'MOA role matrix'!$B$1:$D$1,0))="Auto","Senior Manager CoSec (auto), ","")IF(INDEX('MOA role matrix'!$B$2:$D$13,10,MATCH($B54,'MOA role matrix'!$B$1:$D$1,0))="Fill","Division MOI managers, ","")IF(INDEX('MOA role matrix'!$B$2:$D$13,10,MATCH($B54,'MOA role matrix'!$B$1:$D$1,0))="If finance","Division MOI managers (if finance), ","")IF(INDEX('MOA role matrix'!$B$2:$D$13,10,MATCH($B54,'MOA role matrix'!$B$1:$D$1,0))="Auto","Division MOI managers (auto), ","")IF(INDEX('MOA role matrix'!$B$2:$D$13,11,MATCH($B54,'MOA role matrix'!$B$1:$D$1,0))="Fill","Ms Teh (bank), ","")IF(INDEX('MOA role matrix'!$B$2:$D$13,11,MATCH($B54,'MOA role matrix'!$B$1:$D$1,0))="If finance","Ms Teh (bank) (if finance), ","")IF(INDEX('MOA role matrix'!$B$2:$D$13,11,MATCH($B54,'MOA role matrix'!$B$1:$D$1,0))="Auto","Ms Teh (bank) (auto), ","")IF(INDEX('MOA role matrix'!$B$2:$D$13,12,MATCH($B54,'MOA role matrix'!$B$1:$D$1,0))="Fill","DLCM, ","")IF(INDEX('MOA role matrix'!$B$2:$D$13,12,MATCH($B54,'MOA role matrix'!$B$1:$D$1,0))="If finance","DLCM (if finance), ","")IF(INDEX('MOA role matrix'!$B$2:$D$13,12,MATCH($B54,'MOA role matrix'!$B$1:$D$1,0))="Auto","DLCM (auto), ","")))</f>
        <v/>
      </c>
      <c r="D54" s="5">
        <f>IF($A54="","",IFERROR(INDEX(FILTER('Client contacts'!$B$2:$B$500,('Client contacts'!$A$2:$A$500=$A54)*('Client contacts'!$H$2:$H$500="Y"),""),1),""))</f>
        <v/>
      </c>
      <c r="E54" s="5">
        <f>IF($A54="","",IFERROR(INDEX(FILTER('Client contacts'!$C$2:$C$500,('Client contacts'!$A$2:$A$500=$A54)*('Client contacts'!$H$2:$H$500="Y"),""),1),""))</f>
        <v/>
      </c>
      <c r="F54" s="5">
        <f>IF($A54="","",IFERROR(INDEX(FILTER('Client contacts'!$B$2:$B$500,('Client contacts'!$A$2:$A$500=$A54)*('Client contacts'!$G$2:$G$500="Y"),""),1),""))</f>
        <v/>
      </c>
      <c r="G54" s="5">
        <f>IF($A54="","",IFERROR(INDEX(FILTER('Client contacts'!$C$2:$C$500,('Client contacts'!$A$2:$A$500=$A54)*('Client contacts'!$G$2:$G$500="Y"),""),1),""))</f>
        <v/>
      </c>
      <c r="H54" s="5">
        <f>IF($A54="","",IFERROR(INDEX(FILTER('Client contacts'!$B$2:$B$500,('Client contacts'!$A$2:$A$500=$A54)*('Client contacts'!$G$2:$G$500="Y"),""),2),""))</f>
        <v/>
      </c>
      <c r="I54" s="5">
        <f>IF($A54="","",IFERROR(INDEX(FILTER('Client contacts'!$C$2:$C$500,('Client contacts'!$A$2:$A$500=$A54)*('Client contacts'!$G$2:$G$500="Y"),""),2),""))</f>
        <v/>
      </c>
      <c r="J54" s="8" t="n"/>
      <c r="K54" s="8" t="n"/>
      <c r="L54" s="8" t="n"/>
      <c r="M54" s="8" t="n"/>
      <c r="N54" s="8" t="n"/>
      <c r="O54" s="8" t="n"/>
      <c r="P54" s="8" t="n"/>
      <c r="Q54" s="8" t="n"/>
      <c r="R54" s="5">
        <f>IF($A54="","",IFERROR(INDEX(Companies!$I$2:$I$500,MATCH($A54,Companies!$A$2:$A$500,0)),""))</f>
        <v/>
      </c>
      <c r="S54" s="8" t="n"/>
      <c r="T54" s="8" t="n"/>
      <c r="U54" s="8" t="n"/>
      <c r="V54" s="8" t="n"/>
      <c r="W54" s="8" t="n"/>
    </row>
    <row r="55">
      <c r="C55" s="5">
        <f>IF($B55="","",TRIM(IF(INDEX('MOA role matrix'!$B$2:$D$13,1,MATCH($B55,'MOA role matrix'!$B$1:$D$1,0))="Fill","Project initiator, ","")IF(INDEX('MOA role matrix'!$B$2:$D$13,1,MATCH($B55,'MOA role matrix'!$B$1:$D$1,0))="If finance","Project initiator (if finance), ","")IF(INDEX('MOA role matrix'!$B$2:$D$13,1,MATCH($B55,'MOA role matrix'!$B$1:$D$1,0))="Auto","Project initiator (auto), ","")IF(INDEX('MOA role matrix'!$B$2:$D$13,2,MATCH($B55,'MOA role matrix'!$B$1:$D$1,0))="Fill","MOA signers (client), ","")IF(INDEX('MOA role matrix'!$B$2:$D$13,2,MATCH($B55,'MOA role matrix'!$B$1:$D$1,0))="If finance","MOA signers (client) (if finance), ","")IF(INDEX('MOA role matrix'!$B$2:$D$13,2,MATCH($B55,'MOA role matrix'!$B$1:$D$1,0))="Auto","MOA signers (client) (auto), ","")IF(INDEX('MOA role matrix'!$B$2:$D$13,3,MATCH($B55,'MOA role matrix'!$B$1:$D$1,0))="Fill","CFO / Head of Finance, ","")IF(INDEX('MOA role matrix'!$B$2:$D$13,3,MATCH($B55,'MOA role matrix'!$B$1:$D$1,0))="If finance","CFO / Head of Finance (if finance), ","")IF(INDEX('MOA role matrix'!$B$2:$D$13,3,MATCH($B55,'MOA role matrix'!$B$1:$D$1,0))="Auto","CFO / Head of Finance (auto), ","")IF(INDEX('MOA role matrix'!$B$2:$D$13,4,MATCH($B55,'MOA role matrix'!$B$1:$D$1,0))="Fill","CEO / COO / GM, ","")IF(INDEX('MOA role matrix'!$B$2:$D$13,4,MATCH($B55,'MOA role matrix'!$B$1:$D$1,0))="If finance","CEO / COO / GM (if finance), ","")IF(INDEX('MOA role matrix'!$B$2:$D$13,4,MATCH($B55,'MOA role matrix'!$B$1:$D$1,0))="Auto","CEO / COO / GM (auto), ","")IF(INDEX('MOA role matrix'!$B$2:$D$13,5,MATCH($B55,'MOA role matrix'!$B$1:$D$1,0))="Fill","Board member 1, ","")IF(INDEX('MOA role matrix'!$B$2:$D$13,5,MATCH($B55,'MOA role matrix'!$B$1:$D$1,0))="If finance","Board member 1 (if finance), ","")IF(INDEX('MOA role matrix'!$B$2:$D$13,5,MATCH($B55,'MOA role matrix'!$B$1:$D$1,0))="Auto","Board member 1 (auto), ","")IF(INDEX('MOA role matrix'!$B$2:$D$13,6,MATCH($B55,'MOA role matrix'!$B$1:$D$1,0))="Fill","Board member 2, ","")IF(INDEX('MOA role matrix'!$B$2:$D$13,6,MATCH($B55,'MOA role matrix'!$B$1:$D$1,0))="If finance","Board member 2 (if finance), ","")IF(INDEX('MOA role matrix'!$B$2:$D$13,6,MATCH($B55,'MOA role matrix'!$B$1:$D$1,0))="Auto","Board member 2 (auto), ","")IF(INDEX('MOA role matrix'!$B$2:$D$13,7,MATCH($B55,'MOA role matrix'!$B$1:$D$1,0))="Fill","LOA holder 1, ","")IF(INDEX('MOA role matrix'!$B$2:$D$13,7,MATCH($B55,'MOA role matrix'!$B$1:$D$1,0))="If finance","LOA holder 1 (if finance), ","")IF(INDEX('MOA role matrix'!$B$2:$D$13,7,MATCH($B55,'MOA role matrix'!$B$1:$D$1,0))="Auto","LOA holder 1 (auto), ","")IF(INDEX('MOA role matrix'!$B$2:$D$13,8,MATCH($B55,'MOA role matrix'!$B$1:$D$1,0))="Fill","LOA holder 2, ","")IF(INDEX('MOA role matrix'!$B$2:$D$13,8,MATCH($B55,'MOA role matrix'!$B$1:$D$1,0))="If finance","LOA holder 2 (if finance), ","")IF(INDEX('MOA role matrix'!$B$2:$D$13,8,MATCH($B55,'MOA role matrix'!$B$1:$D$1,0))="Auto","LOA holder 2 (auto), ","")IF(INDEX('MOA role matrix'!$B$2:$D$13,9,MATCH($B55,'MOA role matrix'!$B$1:$D$1,0))="Fill","Senior Manager CoSec, ","")IF(INDEX('MOA role matrix'!$B$2:$D$13,9,MATCH($B55,'MOA role matrix'!$B$1:$D$1,0))="If finance","Senior Manager CoSec (if finance), ","")IF(INDEX('MOA role matrix'!$B$2:$D$13,9,MATCH($B55,'MOA role matrix'!$B$1:$D$1,0))="Auto","Senior Manager CoSec (auto), ","")IF(INDEX('MOA role matrix'!$B$2:$D$13,10,MATCH($B55,'MOA role matrix'!$B$1:$D$1,0))="Fill","Division MOI managers, ","")IF(INDEX('MOA role matrix'!$B$2:$D$13,10,MATCH($B55,'MOA role matrix'!$B$1:$D$1,0))="If finance","Division MOI managers (if finance), ","")IF(INDEX('MOA role matrix'!$B$2:$D$13,10,MATCH($B55,'MOA role matrix'!$B$1:$D$1,0))="Auto","Division MOI managers (auto), ","")IF(INDEX('MOA role matrix'!$B$2:$D$13,11,MATCH($B55,'MOA role matrix'!$B$1:$D$1,0))="Fill","Ms Teh (bank), ","")IF(INDEX('MOA role matrix'!$B$2:$D$13,11,MATCH($B55,'MOA role matrix'!$B$1:$D$1,0))="If finance","Ms Teh (bank) (if finance), ","")IF(INDEX('MOA role matrix'!$B$2:$D$13,11,MATCH($B55,'MOA role matrix'!$B$1:$D$1,0))="Auto","Ms Teh (bank) (auto), ","")IF(INDEX('MOA role matrix'!$B$2:$D$13,12,MATCH($B55,'MOA role matrix'!$B$1:$D$1,0))="Fill","DLCM, ","")IF(INDEX('MOA role matrix'!$B$2:$D$13,12,MATCH($B55,'MOA role matrix'!$B$1:$D$1,0))="If finance","DLCM (if finance), ","")IF(INDEX('MOA role matrix'!$B$2:$D$13,12,MATCH($B55,'MOA role matrix'!$B$1:$D$1,0))="Auto","DLCM (auto), ","")))</f>
        <v/>
      </c>
      <c r="D55" s="5">
        <f>IF($A55="","",IFERROR(INDEX(FILTER('Client contacts'!$B$2:$B$500,('Client contacts'!$A$2:$A$500=$A55)*('Client contacts'!$H$2:$H$500="Y"),""),1),""))</f>
        <v/>
      </c>
      <c r="E55" s="5">
        <f>IF($A55="","",IFERROR(INDEX(FILTER('Client contacts'!$C$2:$C$500,('Client contacts'!$A$2:$A$500=$A55)*('Client contacts'!$H$2:$H$500="Y"),""),1),""))</f>
        <v/>
      </c>
      <c r="F55" s="5">
        <f>IF($A55="","",IFERROR(INDEX(FILTER('Client contacts'!$B$2:$B$500,('Client contacts'!$A$2:$A$500=$A55)*('Client contacts'!$G$2:$G$500="Y"),""),1),""))</f>
        <v/>
      </c>
      <c r="G55" s="5">
        <f>IF($A55="","",IFERROR(INDEX(FILTER('Client contacts'!$C$2:$C$500,('Client contacts'!$A$2:$A$500=$A55)*('Client contacts'!$G$2:$G$500="Y"),""),1),""))</f>
        <v/>
      </c>
      <c r="H55" s="5">
        <f>IF($A55="","",IFERROR(INDEX(FILTER('Client contacts'!$B$2:$B$500,('Client contacts'!$A$2:$A$500=$A55)*('Client contacts'!$G$2:$G$500="Y"),""),2),""))</f>
        <v/>
      </c>
      <c r="I55" s="5">
        <f>IF($A55="","",IFERROR(INDEX(FILTER('Client contacts'!$C$2:$C$500,('Client contacts'!$A$2:$A$500=$A55)*('Client contacts'!$G$2:$G$500="Y"),""),2),""))</f>
        <v/>
      </c>
      <c r="J55" s="8" t="n"/>
      <c r="K55" s="8" t="n"/>
      <c r="L55" s="8" t="n"/>
      <c r="M55" s="8" t="n"/>
      <c r="N55" s="8" t="n"/>
      <c r="O55" s="8" t="n"/>
      <c r="P55" s="8" t="n"/>
      <c r="Q55" s="8" t="n"/>
      <c r="R55" s="5">
        <f>IF($A55="","",IFERROR(INDEX(Companies!$I$2:$I$500,MATCH($A55,Companies!$A$2:$A$500,0)),""))</f>
        <v/>
      </c>
      <c r="S55" s="8" t="n"/>
      <c r="T55" s="8" t="n"/>
      <c r="U55" s="8" t="n"/>
      <c r="V55" s="8" t="n"/>
      <c r="W55" s="8" t="n"/>
    </row>
    <row r="56">
      <c r="C56" s="5">
        <f>IF($B56="","",TRIM(IF(INDEX('MOA role matrix'!$B$2:$D$13,1,MATCH($B56,'MOA role matrix'!$B$1:$D$1,0))="Fill","Project initiator, ","")IF(INDEX('MOA role matrix'!$B$2:$D$13,1,MATCH($B56,'MOA role matrix'!$B$1:$D$1,0))="If finance","Project initiator (if finance), ","")IF(INDEX('MOA role matrix'!$B$2:$D$13,1,MATCH($B56,'MOA role matrix'!$B$1:$D$1,0))="Auto","Project initiator (auto), ","")IF(INDEX('MOA role matrix'!$B$2:$D$13,2,MATCH($B56,'MOA role matrix'!$B$1:$D$1,0))="Fill","MOA signers (client), ","")IF(INDEX('MOA role matrix'!$B$2:$D$13,2,MATCH($B56,'MOA role matrix'!$B$1:$D$1,0))="If finance","MOA signers (client) (if finance), ","")IF(INDEX('MOA role matrix'!$B$2:$D$13,2,MATCH($B56,'MOA role matrix'!$B$1:$D$1,0))="Auto","MOA signers (client) (auto), ","")IF(INDEX('MOA role matrix'!$B$2:$D$13,3,MATCH($B56,'MOA role matrix'!$B$1:$D$1,0))="Fill","CFO / Head of Finance, ","")IF(INDEX('MOA role matrix'!$B$2:$D$13,3,MATCH($B56,'MOA role matrix'!$B$1:$D$1,0))="If finance","CFO / Head of Finance (if finance), ","")IF(INDEX('MOA role matrix'!$B$2:$D$13,3,MATCH($B56,'MOA role matrix'!$B$1:$D$1,0))="Auto","CFO / Head of Finance (auto), ","")IF(INDEX('MOA role matrix'!$B$2:$D$13,4,MATCH($B56,'MOA role matrix'!$B$1:$D$1,0))="Fill","CEO / COO / GM, ","")IF(INDEX('MOA role matrix'!$B$2:$D$13,4,MATCH($B56,'MOA role matrix'!$B$1:$D$1,0))="If finance","CEO / COO / GM (if finance), ","")IF(INDEX('MOA role matrix'!$B$2:$D$13,4,MATCH($B56,'MOA role matrix'!$B$1:$D$1,0))="Auto","CEO / COO / GM (auto), ","")IF(INDEX('MOA role matrix'!$B$2:$D$13,5,MATCH($B56,'MOA role matrix'!$B$1:$D$1,0))="Fill","Board member 1, ","")IF(INDEX('MOA role matrix'!$B$2:$D$13,5,MATCH($B56,'MOA role matrix'!$B$1:$D$1,0))="If finance","Board member 1 (if finance), ","")IF(INDEX('MOA role matrix'!$B$2:$D$13,5,MATCH($B56,'MOA role matrix'!$B$1:$D$1,0))="Auto","Board member 1 (auto), ","")IF(INDEX('MOA role matrix'!$B$2:$D$13,6,MATCH($B56,'MOA role matrix'!$B$1:$D$1,0))="Fill","Board member 2, ","")IF(INDEX('MOA role matrix'!$B$2:$D$13,6,MATCH($B56,'MOA role matrix'!$B$1:$D$1,0))="If finance","Board member 2 (if finance), ","")IF(INDEX('MOA role matrix'!$B$2:$D$13,6,MATCH($B56,'MOA role matrix'!$B$1:$D$1,0))="Auto","Board member 2 (auto), ","")IF(INDEX('MOA role matrix'!$B$2:$D$13,7,MATCH($B56,'MOA role matrix'!$B$1:$D$1,0))="Fill","LOA holder 1, ","")IF(INDEX('MOA role matrix'!$B$2:$D$13,7,MATCH($B56,'MOA role matrix'!$B$1:$D$1,0))="If finance","LOA holder 1 (if finance), ","")IF(INDEX('MOA role matrix'!$B$2:$D$13,7,MATCH($B56,'MOA role matrix'!$B$1:$D$1,0))="Auto","LOA holder 1 (auto), ","")IF(INDEX('MOA role matrix'!$B$2:$D$13,8,MATCH($B56,'MOA role matrix'!$B$1:$D$1,0))="Fill","LOA holder 2, ","")IF(INDEX('MOA role matrix'!$B$2:$D$13,8,MATCH($B56,'MOA role matrix'!$B$1:$D$1,0))="If finance","LOA holder 2 (if finance), ","")IF(INDEX('MOA role matrix'!$B$2:$D$13,8,MATCH($B56,'MOA role matrix'!$B$1:$D$1,0))="Auto","LOA holder 2 (auto), ","")IF(INDEX('MOA role matrix'!$B$2:$D$13,9,MATCH($B56,'MOA role matrix'!$B$1:$D$1,0))="Fill","Senior Manager CoSec, ","")IF(INDEX('MOA role matrix'!$B$2:$D$13,9,MATCH($B56,'MOA role matrix'!$B$1:$D$1,0))="If finance","Senior Manager CoSec (if finance), ","")IF(INDEX('MOA role matrix'!$B$2:$D$13,9,MATCH($B56,'MOA role matrix'!$B$1:$D$1,0))="Auto","Senior Manager CoSec (auto), ","")IF(INDEX('MOA role matrix'!$B$2:$D$13,10,MATCH($B56,'MOA role matrix'!$B$1:$D$1,0))="Fill","Division MOI managers, ","")IF(INDEX('MOA role matrix'!$B$2:$D$13,10,MATCH($B56,'MOA role matrix'!$B$1:$D$1,0))="If finance","Division MOI managers (if finance), ","")IF(INDEX('MOA role matrix'!$B$2:$D$13,10,MATCH($B56,'MOA role matrix'!$B$1:$D$1,0))="Auto","Division MOI managers (auto), ","")IF(INDEX('MOA role matrix'!$B$2:$D$13,11,MATCH($B56,'MOA role matrix'!$B$1:$D$1,0))="Fill","Ms Teh (bank), ","")IF(INDEX('MOA role matrix'!$B$2:$D$13,11,MATCH($B56,'MOA role matrix'!$B$1:$D$1,0))="If finance","Ms Teh (bank) (if finance), ","")IF(INDEX('MOA role matrix'!$B$2:$D$13,11,MATCH($B56,'MOA role matrix'!$B$1:$D$1,0))="Auto","Ms Teh (bank) (auto), ","")IF(INDEX('MOA role matrix'!$B$2:$D$13,12,MATCH($B56,'MOA role matrix'!$B$1:$D$1,0))="Fill","DLCM, ","")IF(INDEX('MOA role matrix'!$B$2:$D$13,12,MATCH($B56,'MOA role matrix'!$B$1:$D$1,0))="If finance","DLCM (if finance), ","")IF(INDEX('MOA role matrix'!$B$2:$D$13,12,MATCH($B56,'MOA role matrix'!$B$1:$D$1,0))="Auto","DLCM (auto), ","")))</f>
        <v/>
      </c>
      <c r="D56" s="5">
        <f>IF($A56="","",IFERROR(INDEX(FILTER('Client contacts'!$B$2:$B$500,('Client contacts'!$A$2:$A$500=$A56)*('Client contacts'!$H$2:$H$500="Y"),""),1),""))</f>
        <v/>
      </c>
      <c r="E56" s="5">
        <f>IF($A56="","",IFERROR(INDEX(FILTER('Client contacts'!$C$2:$C$500,('Client contacts'!$A$2:$A$500=$A56)*('Client contacts'!$H$2:$H$500="Y"),""),1),""))</f>
        <v/>
      </c>
      <c r="F56" s="5">
        <f>IF($A56="","",IFERROR(INDEX(FILTER('Client contacts'!$B$2:$B$500,('Client contacts'!$A$2:$A$500=$A56)*('Client contacts'!$G$2:$G$500="Y"),""),1),""))</f>
        <v/>
      </c>
      <c r="G56" s="5">
        <f>IF($A56="","",IFERROR(INDEX(FILTER('Client contacts'!$C$2:$C$500,('Client contacts'!$A$2:$A$500=$A56)*('Client contacts'!$G$2:$G$500="Y"),""),1),""))</f>
        <v/>
      </c>
      <c r="H56" s="5">
        <f>IF($A56="","",IFERROR(INDEX(FILTER('Client contacts'!$B$2:$B$500,('Client contacts'!$A$2:$A$500=$A56)*('Client contacts'!$G$2:$G$500="Y"),""),2),""))</f>
        <v/>
      </c>
      <c r="I56" s="5">
        <f>IF($A56="","",IFERROR(INDEX(FILTER('Client contacts'!$C$2:$C$500,('Client contacts'!$A$2:$A$500=$A56)*('Client contacts'!$G$2:$G$500="Y"),""),2),""))</f>
        <v/>
      </c>
      <c r="J56" s="8" t="n"/>
      <c r="K56" s="8" t="n"/>
      <c r="L56" s="8" t="n"/>
      <c r="M56" s="8" t="n"/>
      <c r="N56" s="8" t="n"/>
      <c r="O56" s="8" t="n"/>
      <c r="P56" s="8" t="n"/>
      <c r="Q56" s="8" t="n"/>
      <c r="R56" s="5">
        <f>IF($A56="","",IFERROR(INDEX(Companies!$I$2:$I$500,MATCH($A56,Companies!$A$2:$A$500,0)),""))</f>
        <v/>
      </c>
      <c r="S56" s="8" t="n"/>
      <c r="T56" s="8" t="n"/>
      <c r="U56" s="8" t="n"/>
      <c r="V56" s="8" t="n"/>
      <c r="W56" s="8" t="n"/>
    </row>
    <row r="57">
      <c r="C57" s="5">
        <f>IF($B57="","",TRIM(IF(INDEX('MOA role matrix'!$B$2:$D$13,1,MATCH($B57,'MOA role matrix'!$B$1:$D$1,0))="Fill","Project initiator, ","")IF(INDEX('MOA role matrix'!$B$2:$D$13,1,MATCH($B57,'MOA role matrix'!$B$1:$D$1,0))="If finance","Project initiator (if finance), ","")IF(INDEX('MOA role matrix'!$B$2:$D$13,1,MATCH($B57,'MOA role matrix'!$B$1:$D$1,0))="Auto","Project initiator (auto), ","")IF(INDEX('MOA role matrix'!$B$2:$D$13,2,MATCH($B57,'MOA role matrix'!$B$1:$D$1,0))="Fill","MOA signers (client), ","")IF(INDEX('MOA role matrix'!$B$2:$D$13,2,MATCH($B57,'MOA role matrix'!$B$1:$D$1,0))="If finance","MOA signers (client) (if finance), ","")IF(INDEX('MOA role matrix'!$B$2:$D$13,2,MATCH($B57,'MOA role matrix'!$B$1:$D$1,0))="Auto","MOA signers (client) (auto), ","")IF(INDEX('MOA role matrix'!$B$2:$D$13,3,MATCH($B57,'MOA role matrix'!$B$1:$D$1,0))="Fill","CFO / Head of Finance, ","")IF(INDEX('MOA role matrix'!$B$2:$D$13,3,MATCH($B57,'MOA role matrix'!$B$1:$D$1,0))="If finance","CFO / Head of Finance (if finance), ","")IF(INDEX('MOA role matrix'!$B$2:$D$13,3,MATCH($B57,'MOA role matrix'!$B$1:$D$1,0))="Auto","CFO / Head of Finance (auto), ","")IF(INDEX('MOA role matrix'!$B$2:$D$13,4,MATCH($B57,'MOA role matrix'!$B$1:$D$1,0))="Fill","CEO / COO / GM, ","")IF(INDEX('MOA role matrix'!$B$2:$D$13,4,MATCH($B57,'MOA role matrix'!$B$1:$D$1,0))="If finance","CEO / COO / GM (if finance), ","")IF(INDEX('MOA role matrix'!$B$2:$D$13,4,MATCH($B57,'MOA role matrix'!$B$1:$D$1,0))="Auto","CEO / COO / GM (auto), ","")IF(INDEX('MOA role matrix'!$B$2:$D$13,5,MATCH($B57,'MOA role matrix'!$B$1:$D$1,0))="Fill","Board member 1, ","")IF(INDEX('MOA role matrix'!$B$2:$D$13,5,MATCH($B57,'MOA role matrix'!$B$1:$D$1,0))="If finance","Board member 1 (if finance), ","")IF(INDEX('MOA role matrix'!$B$2:$D$13,5,MATCH($B57,'MOA role matrix'!$B$1:$D$1,0))="Auto","Board member 1 (auto), ","")IF(INDEX('MOA role matrix'!$B$2:$D$13,6,MATCH($B57,'MOA role matrix'!$B$1:$D$1,0))="Fill","Board member 2, ","")IF(INDEX('MOA role matrix'!$B$2:$D$13,6,MATCH($B57,'MOA role matrix'!$B$1:$D$1,0))="If finance","Board member 2 (if finance), ","")IF(INDEX('MOA role matrix'!$B$2:$D$13,6,MATCH($B57,'MOA role matrix'!$B$1:$D$1,0))="Auto","Board member 2 (auto), ","")IF(INDEX('MOA role matrix'!$B$2:$D$13,7,MATCH($B57,'MOA role matrix'!$B$1:$D$1,0))="Fill","LOA holder 1, ","")IF(INDEX('MOA role matrix'!$B$2:$D$13,7,MATCH($B57,'MOA role matrix'!$B$1:$D$1,0))="If finance","LOA holder 1 (if finance), ","")IF(INDEX('MOA role matrix'!$B$2:$D$13,7,MATCH($B57,'MOA role matrix'!$B$1:$D$1,0))="Auto","LOA holder 1 (auto), ","")IF(INDEX('MOA role matrix'!$B$2:$D$13,8,MATCH($B57,'MOA role matrix'!$B$1:$D$1,0))="Fill","LOA holder 2, ","")IF(INDEX('MOA role matrix'!$B$2:$D$13,8,MATCH($B57,'MOA role matrix'!$B$1:$D$1,0))="If finance","LOA holder 2 (if finance), ","")IF(INDEX('MOA role matrix'!$B$2:$D$13,8,MATCH($B57,'MOA role matrix'!$B$1:$D$1,0))="Auto","LOA holder 2 (auto), ","")IF(INDEX('MOA role matrix'!$B$2:$D$13,9,MATCH($B57,'MOA role matrix'!$B$1:$D$1,0))="Fill","Senior Manager CoSec, ","")IF(INDEX('MOA role matrix'!$B$2:$D$13,9,MATCH($B57,'MOA role matrix'!$B$1:$D$1,0))="If finance","Senior Manager CoSec (if finance), ","")IF(INDEX('MOA role matrix'!$B$2:$D$13,9,MATCH($B57,'MOA role matrix'!$B$1:$D$1,0))="Auto","Senior Manager CoSec (auto), ","")IF(INDEX('MOA role matrix'!$B$2:$D$13,10,MATCH($B57,'MOA role matrix'!$B$1:$D$1,0))="Fill","Division MOI managers, ","")IF(INDEX('MOA role matrix'!$B$2:$D$13,10,MATCH($B57,'MOA role matrix'!$B$1:$D$1,0))="If finance","Division MOI managers (if finance), ","")IF(INDEX('MOA role matrix'!$B$2:$D$13,10,MATCH($B57,'MOA role matrix'!$B$1:$D$1,0))="Auto","Division MOI managers (auto), ","")IF(INDEX('MOA role matrix'!$B$2:$D$13,11,MATCH($B57,'MOA role matrix'!$B$1:$D$1,0))="Fill","Ms Teh (bank), ","")IF(INDEX('MOA role matrix'!$B$2:$D$13,11,MATCH($B57,'MOA role matrix'!$B$1:$D$1,0))="If finance","Ms Teh (bank) (if finance), ","")IF(INDEX('MOA role matrix'!$B$2:$D$13,11,MATCH($B57,'MOA role matrix'!$B$1:$D$1,0))="Auto","Ms Teh (bank) (auto), ","")IF(INDEX('MOA role matrix'!$B$2:$D$13,12,MATCH($B57,'MOA role matrix'!$B$1:$D$1,0))="Fill","DLCM, ","")IF(INDEX('MOA role matrix'!$B$2:$D$13,12,MATCH($B57,'MOA role matrix'!$B$1:$D$1,0))="If finance","DLCM (if finance), ","")IF(INDEX('MOA role matrix'!$B$2:$D$13,12,MATCH($B57,'MOA role matrix'!$B$1:$D$1,0))="Auto","DLCM (auto), ","")))</f>
        <v/>
      </c>
      <c r="D57" s="5">
        <f>IF($A57="","",IFERROR(INDEX(FILTER('Client contacts'!$B$2:$B$500,('Client contacts'!$A$2:$A$500=$A57)*('Client contacts'!$H$2:$H$500="Y"),""),1),""))</f>
        <v/>
      </c>
      <c r="E57" s="5">
        <f>IF($A57="","",IFERROR(INDEX(FILTER('Client contacts'!$C$2:$C$500,('Client contacts'!$A$2:$A$500=$A57)*('Client contacts'!$H$2:$H$500="Y"),""),1),""))</f>
        <v/>
      </c>
      <c r="F57" s="5">
        <f>IF($A57="","",IFERROR(INDEX(FILTER('Client contacts'!$B$2:$B$500,('Client contacts'!$A$2:$A$500=$A57)*('Client contacts'!$G$2:$G$500="Y"),""),1),""))</f>
        <v/>
      </c>
      <c r="G57" s="5">
        <f>IF($A57="","",IFERROR(INDEX(FILTER('Client contacts'!$C$2:$C$500,('Client contacts'!$A$2:$A$500=$A57)*('Client contacts'!$G$2:$G$500="Y"),""),1),""))</f>
        <v/>
      </c>
      <c r="H57" s="5">
        <f>IF($A57="","",IFERROR(INDEX(FILTER('Client contacts'!$B$2:$B$500,('Client contacts'!$A$2:$A$500=$A57)*('Client contacts'!$G$2:$G$500="Y"),""),2),""))</f>
        <v/>
      </c>
      <c r="I57" s="5">
        <f>IF($A57="","",IFERROR(INDEX(FILTER('Client contacts'!$C$2:$C$500,('Client contacts'!$A$2:$A$500=$A57)*('Client contacts'!$G$2:$G$500="Y"),""),2),""))</f>
        <v/>
      </c>
      <c r="J57" s="8" t="n"/>
      <c r="K57" s="8" t="n"/>
      <c r="L57" s="8" t="n"/>
      <c r="M57" s="8" t="n"/>
      <c r="N57" s="8" t="n"/>
      <c r="O57" s="8" t="n"/>
      <c r="P57" s="8" t="n"/>
      <c r="Q57" s="8" t="n"/>
      <c r="R57" s="5">
        <f>IF($A57="","",IFERROR(INDEX(Companies!$I$2:$I$500,MATCH($A57,Companies!$A$2:$A$500,0)),""))</f>
        <v/>
      </c>
      <c r="S57" s="8" t="n"/>
      <c r="T57" s="8" t="n"/>
      <c r="U57" s="8" t="n"/>
      <c r="V57" s="8" t="n"/>
      <c r="W57" s="8" t="n"/>
    </row>
    <row r="58">
      <c r="C58" s="5">
        <f>IF($B58="","",TRIM(IF(INDEX('MOA role matrix'!$B$2:$D$13,1,MATCH($B58,'MOA role matrix'!$B$1:$D$1,0))="Fill","Project initiator, ","")IF(INDEX('MOA role matrix'!$B$2:$D$13,1,MATCH($B58,'MOA role matrix'!$B$1:$D$1,0))="If finance","Project initiator (if finance), ","")IF(INDEX('MOA role matrix'!$B$2:$D$13,1,MATCH($B58,'MOA role matrix'!$B$1:$D$1,0))="Auto","Project initiator (auto), ","")IF(INDEX('MOA role matrix'!$B$2:$D$13,2,MATCH($B58,'MOA role matrix'!$B$1:$D$1,0))="Fill","MOA signers (client), ","")IF(INDEX('MOA role matrix'!$B$2:$D$13,2,MATCH($B58,'MOA role matrix'!$B$1:$D$1,0))="If finance","MOA signers (client) (if finance), ","")IF(INDEX('MOA role matrix'!$B$2:$D$13,2,MATCH($B58,'MOA role matrix'!$B$1:$D$1,0))="Auto","MOA signers (client) (auto), ","")IF(INDEX('MOA role matrix'!$B$2:$D$13,3,MATCH($B58,'MOA role matrix'!$B$1:$D$1,0))="Fill","CFO / Head of Finance, ","")IF(INDEX('MOA role matrix'!$B$2:$D$13,3,MATCH($B58,'MOA role matrix'!$B$1:$D$1,0))="If finance","CFO / Head of Finance (if finance), ","")IF(INDEX('MOA role matrix'!$B$2:$D$13,3,MATCH($B58,'MOA role matrix'!$B$1:$D$1,0))="Auto","CFO / Head of Finance (auto), ","")IF(INDEX('MOA role matrix'!$B$2:$D$13,4,MATCH($B58,'MOA role matrix'!$B$1:$D$1,0))="Fill","CEO / COO / GM, ","")IF(INDEX('MOA role matrix'!$B$2:$D$13,4,MATCH($B58,'MOA role matrix'!$B$1:$D$1,0))="If finance","CEO / COO / GM (if finance), ","")IF(INDEX('MOA role matrix'!$B$2:$D$13,4,MATCH($B58,'MOA role matrix'!$B$1:$D$1,0))="Auto","CEO / COO / GM (auto), ","")IF(INDEX('MOA role matrix'!$B$2:$D$13,5,MATCH($B58,'MOA role matrix'!$B$1:$D$1,0))="Fill","Board member 1, ","")IF(INDEX('MOA role matrix'!$B$2:$D$13,5,MATCH($B58,'MOA role matrix'!$B$1:$D$1,0))="If finance","Board member 1 (if finance), ","")IF(INDEX('MOA role matrix'!$B$2:$D$13,5,MATCH($B58,'MOA role matrix'!$B$1:$D$1,0))="Auto","Board member 1 (auto), ","")IF(INDEX('MOA role matrix'!$B$2:$D$13,6,MATCH($B58,'MOA role matrix'!$B$1:$D$1,0))="Fill","Board member 2, ","")IF(INDEX('MOA role matrix'!$B$2:$D$13,6,MATCH($B58,'MOA role matrix'!$B$1:$D$1,0))="If finance","Board member 2 (if finance), ","")IF(INDEX('MOA role matrix'!$B$2:$D$13,6,MATCH($B58,'MOA role matrix'!$B$1:$D$1,0))="Auto","Board member 2 (auto), ","")IF(INDEX('MOA role matrix'!$B$2:$D$13,7,MATCH($B58,'MOA role matrix'!$B$1:$D$1,0))="Fill","LOA holder 1, ","")IF(INDEX('MOA role matrix'!$B$2:$D$13,7,MATCH($B58,'MOA role matrix'!$B$1:$D$1,0))="If finance","LOA holder 1 (if finance), ","")IF(INDEX('MOA role matrix'!$B$2:$D$13,7,MATCH($B58,'MOA role matrix'!$B$1:$D$1,0))="Auto","LOA holder 1 (auto), ","")IF(INDEX('MOA role matrix'!$B$2:$D$13,8,MATCH($B58,'MOA role matrix'!$B$1:$D$1,0))="Fill","LOA holder 2, ","")IF(INDEX('MOA role matrix'!$B$2:$D$13,8,MATCH($B58,'MOA role matrix'!$B$1:$D$1,0))="If finance","LOA holder 2 (if finance), ","")IF(INDEX('MOA role matrix'!$B$2:$D$13,8,MATCH($B58,'MOA role matrix'!$B$1:$D$1,0))="Auto","LOA holder 2 (auto), ","")IF(INDEX('MOA role matrix'!$B$2:$D$13,9,MATCH($B58,'MOA role matrix'!$B$1:$D$1,0))="Fill","Senior Manager CoSec, ","")IF(INDEX('MOA role matrix'!$B$2:$D$13,9,MATCH($B58,'MOA role matrix'!$B$1:$D$1,0))="If finance","Senior Manager CoSec (if finance), ","")IF(INDEX('MOA role matrix'!$B$2:$D$13,9,MATCH($B58,'MOA role matrix'!$B$1:$D$1,0))="Auto","Senior Manager CoSec (auto), ","")IF(INDEX('MOA role matrix'!$B$2:$D$13,10,MATCH($B58,'MOA role matrix'!$B$1:$D$1,0))="Fill","Division MOI managers, ","")IF(INDEX('MOA role matrix'!$B$2:$D$13,10,MATCH($B58,'MOA role matrix'!$B$1:$D$1,0))="If finance","Division MOI managers (if finance), ","")IF(INDEX('MOA role matrix'!$B$2:$D$13,10,MATCH($B58,'MOA role matrix'!$B$1:$D$1,0))="Auto","Division MOI managers (auto), ","")IF(INDEX('MOA role matrix'!$B$2:$D$13,11,MATCH($B58,'MOA role matrix'!$B$1:$D$1,0))="Fill","Ms Teh (bank), ","")IF(INDEX('MOA role matrix'!$B$2:$D$13,11,MATCH($B58,'MOA role matrix'!$B$1:$D$1,0))="If finance","Ms Teh (bank) (if finance), ","")IF(INDEX('MOA role matrix'!$B$2:$D$13,11,MATCH($B58,'MOA role matrix'!$B$1:$D$1,0))="Auto","Ms Teh (bank) (auto), ","")IF(INDEX('MOA role matrix'!$B$2:$D$13,12,MATCH($B58,'MOA role matrix'!$B$1:$D$1,0))="Fill","DLCM, ","")IF(INDEX('MOA role matrix'!$B$2:$D$13,12,MATCH($B58,'MOA role matrix'!$B$1:$D$1,0))="If finance","DLCM (if finance), ","")IF(INDEX('MOA role matrix'!$B$2:$D$13,12,MATCH($B58,'MOA role matrix'!$B$1:$D$1,0))="Auto","DLCM (auto), ","")))</f>
        <v/>
      </c>
      <c r="D58" s="5">
        <f>IF($A58="","",IFERROR(INDEX(FILTER('Client contacts'!$B$2:$B$500,('Client contacts'!$A$2:$A$500=$A58)*('Client contacts'!$H$2:$H$500="Y"),""),1),""))</f>
        <v/>
      </c>
      <c r="E58" s="5">
        <f>IF($A58="","",IFERROR(INDEX(FILTER('Client contacts'!$C$2:$C$500,('Client contacts'!$A$2:$A$500=$A58)*('Client contacts'!$H$2:$H$500="Y"),""),1),""))</f>
        <v/>
      </c>
      <c r="F58" s="5">
        <f>IF($A58="","",IFERROR(INDEX(FILTER('Client contacts'!$B$2:$B$500,('Client contacts'!$A$2:$A$500=$A58)*('Client contacts'!$G$2:$G$500="Y"),""),1),""))</f>
        <v/>
      </c>
      <c r="G58" s="5">
        <f>IF($A58="","",IFERROR(INDEX(FILTER('Client contacts'!$C$2:$C$500,('Client contacts'!$A$2:$A$500=$A58)*('Client contacts'!$G$2:$G$500="Y"),""),1),""))</f>
        <v/>
      </c>
      <c r="H58" s="5">
        <f>IF($A58="","",IFERROR(INDEX(FILTER('Client contacts'!$B$2:$B$500,('Client contacts'!$A$2:$A$500=$A58)*('Client contacts'!$G$2:$G$500="Y"),""),2),""))</f>
        <v/>
      </c>
      <c r="I58" s="5">
        <f>IF($A58="","",IFERROR(INDEX(FILTER('Client contacts'!$C$2:$C$500,('Client contacts'!$A$2:$A$500=$A58)*('Client contacts'!$G$2:$G$500="Y"),""),2),""))</f>
        <v/>
      </c>
      <c r="J58" s="8" t="n"/>
      <c r="K58" s="8" t="n"/>
      <c r="L58" s="8" t="n"/>
      <c r="M58" s="8" t="n"/>
      <c r="N58" s="8" t="n"/>
      <c r="O58" s="8" t="n"/>
      <c r="P58" s="8" t="n"/>
      <c r="Q58" s="8" t="n"/>
      <c r="R58" s="5">
        <f>IF($A58="","",IFERROR(INDEX(Companies!$I$2:$I$500,MATCH($A58,Companies!$A$2:$A$500,0)),""))</f>
        <v/>
      </c>
      <c r="S58" s="8" t="n"/>
      <c r="T58" s="8" t="n"/>
      <c r="U58" s="8" t="n"/>
      <c r="V58" s="8" t="n"/>
      <c r="W58" s="8" t="n"/>
    </row>
    <row r="59">
      <c r="C59" s="5">
        <f>IF($B59="","",TRIM(IF(INDEX('MOA role matrix'!$B$2:$D$13,1,MATCH($B59,'MOA role matrix'!$B$1:$D$1,0))="Fill","Project initiator, ","")IF(INDEX('MOA role matrix'!$B$2:$D$13,1,MATCH($B59,'MOA role matrix'!$B$1:$D$1,0))="If finance","Project initiator (if finance), ","")IF(INDEX('MOA role matrix'!$B$2:$D$13,1,MATCH($B59,'MOA role matrix'!$B$1:$D$1,0))="Auto","Project initiator (auto), ","")IF(INDEX('MOA role matrix'!$B$2:$D$13,2,MATCH($B59,'MOA role matrix'!$B$1:$D$1,0))="Fill","MOA signers (client), ","")IF(INDEX('MOA role matrix'!$B$2:$D$13,2,MATCH($B59,'MOA role matrix'!$B$1:$D$1,0))="If finance","MOA signers (client) (if finance), ","")IF(INDEX('MOA role matrix'!$B$2:$D$13,2,MATCH($B59,'MOA role matrix'!$B$1:$D$1,0))="Auto","MOA signers (client) (auto), ","")IF(INDEX('MOA role matrix'!$B$2:$D$13,3,MATCH($B59,'MOA role matrix'!$B$1:$D$1,0))="Fill","CFO / Head of Finance, ","")IF(INDEX('MOA role matrix'!$B$2:$D$13,3,MATCH($B59,'MOA role matrix'!$B$1:$D$1,0))="If finance","CFO / Head of Finance (if finance), ","")IF(INDEX('MOA role matrix'!$B$2:$D$13,3,MATCH($B59,'MOA role matrix'!$B$1:$D$1,0))="Auto","CFO / Head of Finance (auto), ","")IF(INDEX('MOA role matrix'!$B$2:$D$13,4,MATCH($B59,'MOA role matrix'!$B$1:$D$1,0))="Fill","CEO / COO / GM, ","")IF(INDEX('MOA role matrix'!$B$2:$D$13,4,MATCH($B59,'MOA role matrix'!$B$1:$D$1,0))="If finance","CEO / COO / GM (if finance), ","")IF(INDEX('MOA role matrix'!$B$2:$D$13,4,MATCH($B59,'MOA role matrix'!$B$1:$D$1,0))="Auto","CEO / COO / GM (auto), ","")IF(INDEX('MOA role matrix'!$B$2:$D$13,5,MATCH($B59,'MOA role matrix'!$B$1:$D$1,0))="Fill","Board member 1, ","")IF(INDEX('MOA role matrix'!$B$2:$D$13,5,MATCH($B59,'MOA role matrix'!$B$1:$D$1,0))="If finance","Board member 1 (if finance), ","")IF(INDEX('MOA role matrix'!$B$2:$D$13,5,MATCH($B59,'MOA role matrix'!$B$1:$D$1,0))="Auto","Board member 1 (auto), ","")IF(INDEX('MOA role matrix'!$B$2:$D$13,6,MATCH($B59,'MOA role matrix'!$B$1:$D$1,0))="Fill","Board member 2, ","")IF(INDEX('MOA role matrix'!$B$2:$D$13,6,MATCH($B59,'MOA role matrix'!$B$1:$D$1,0))="If finance","Board member 2 (if finance), ","")IF(INDEX('MOA role matrix'!$B$2:$D$13,6,MATCH($B59,'MOA role matrix'!$B$1:$D$1,0))="Auto","Board member 2 (auto), ","")IF(INDEX('MOA role matrix'!$B$2:$D$13,7,MATCH($B59,'MOA role matrix'!$B$1:$D$1,0))="Fill","LOA holder 1, ","")IF(INDEX('MOA role matrix'!$B$2:$D$13,7,MATCH($B59,'MOA role matrix'!$B$1:$D$1,0))="If finance","LOA holder 1 (if finance), ","")IF(INDEX('MOA role matrix'!$B$2:$D$13,7,MATCH($B59,'MOA role matrix'!$B$1:$D$1,0))="Auto","LOA holder 1 (auto), ","")IF(INDEX('MOA role matrix'!$B$2:$D$13,8,MATCH($B59,'MOA role matrix'!$B$1:$D$1,0))="Fill","LOA holder 2, ","")IF(INDEX('MOA role matrix'!$B$2:$D$13,8,MATCH($B59,'MOA role matrix'!$B$1:$D$1,0))="If finance","LOA holder 2 (if finance), ","")IF(INDEX('MOA role matrix'!$B$2:$D$13,8,MATCH($B59,'MOA role matrix'!$B$1:$D$1,0))="Auto","LOA holder 2 (auto), ","")IF(INDEX('MOA role matrix'!$B$2:$D$13,9,MATCH($B59,'MOA role matrix'!$B$1:$D$1,0))="Fill","Senior Manager CoSec, ","")IF(INDEX('MOA role matrix'!$B$2:$D$13,9,MATCH($B59,'MOA role matrix'!$B$1:$D$1,0))="If finance","Senior Manager CoSec (if finance), ","")IF(INDEX('MOA role matrix'!$B$2:$D$13,9,MATCH($B59,'MOA role matrix'!$B$1:$D$1,0))="Auto","Senior Manager CoSec (auto), ","")IF(INDEX('MOA role matrix'!$B$2:$D$13,10,MATCH($B59,'MOA role matrix'!$B$1:$D$1,0))="Fill","Division MOI managers, ","")IF(INDEX('MOA role matrix'!$B$2:$D$13,10,MATCH($B59,'MOA role matrix'!$B$1:$D$1,0))="If finance","Division MOI managers (if finance), ","")IF(INDEX('MOA role matrix'!$B$2:$D$13,10,MATCH($B59,'MOA role matrix'!$B$1:$D$1,0))="Auto","Division MOI managers (auto), ","")IF(INDEX('MOA role matrix'!$B$2:$D$13,11,MATCH($B59,'MOA role matrix'!$B$1:$D$1,0))="Fill","Ms Teh (bank), ","")IF(INDEX('MOA role matrix'!$B$2:$D$13,11,MATCH($B59,'MOA role matrix'!$B$1:$D$1,0))="If finance","Ms Teh (bank) (if finance), ","")IF(INDEX('MOA role matrix'!$B$2:$D$13,11,MATCH($B59,'MOA role matrix'!$B$1:$D$1,0))="Auto","Ms Teh (bank) (auto), ","")IF(INDEX('MOA role matrix'!$B$2:$D$13,12,MATCH($B59,'MOA role matrix'!$B$1:$D$1,0))="Fill","DLCM, ","")IF(INDEX('MOA role matrix'!$B$2:$D$13,12,MATCH($B59,'MOA role matrix'!$B$1:$D$1,0))="If finance","DLCM (if finance), ","")IF(INDEX('MOA role matrix'!$B$2:$D$13,12,MATCH($B59,'MOA role matrix'!$B$1:$D$1,0))="Auto","DLCM (auto), ","")))</f>
        <v/>
      </c>
      <c r="D59" s="5">
        <f>IF($A59="","",IFERROR(INDEX(FILTER('Client contacts'!$B$2:$B$500,('Client contacts'!$A$2:$A$500=$A59)*('Client contacts'!$H$2:$H$500="Y"),""),1),""))</f>
        <v/>
      </c>
      <c r="E59" s="5">
        <f>IF($A59="","",IFERROR(INDEX(FILTER('Client contacts'!$C$2:$C$500,('Client contacts'!$A$2:$A$500=$A59)*('Client contacts'!$H$2:$H$500="Y"),""),1),""))</f>
        <v/>
      </c>
      <c r="F59" s="5">
        <f>IF($A59="","",IFERROR(INDEX(FILTER('Client contacts'!$B$2:$B$500,('Client contacts'!$A$2:$A$500=$A59)*('Client contacts'!$G$2:$G$500="Y"),""),1),""))</f>
        <v/>
      </c>
      <c r="G59" s="5">
        <f>IF($A59="","",IFERROR(INDEX(FILTER('Client contacts'!$C$2:$C$500,('Client contacts'!$A$2:$A$500=$A59)*('Client contacts'!$G$2:$G$500="Y"),""),1),""))</f>
        <v/>
      </c>
      <c r="H59" s="5">
        <f>IF($A59="","",IFERROR(INDEX(FILTER('Client contacts'!$B$2:$B$500,('Client contacts'!$A$2:$A$500=$A59)*('Client contacts'!$G$2:$G$500="Y"),""),2),""))</f>
        <v/>
      </c>
      <c r="I59" s="5">
        <f>IF($A59="","",IFERROR(INDEX(FILTER('Client contacts'!$C$2:$C$500,('Client contacts'!$A$2:$A$500=$A59)*('Client contacts'!$G$2:$G$500="Y"),""),2),""))</f>
        <v/>
      </c>
      <c r="J59" s="8" t="n"/>
      <c r="K59" s="8" t="n"/>
      <c r="L59" s="8" t="n"/>
      <c r="M59" s="8" t="n"/>
      <c r="N59" s="8" t="n"/>
      <c r="O59" s="8" t="n"/>
      <c r="P59" s="8" t="n"/>
      <c r="Q59" s="8" t="n"/>
      <c r="R59" s="5">
        <f>IF($A59="","",IFERROR(INDEX(Companies!$I$2:$I$500,MATCH($A59,Companies!$A$2:$A$500,0)),""))</f>
        <v/>
      </c>
      <c r="S59" s="8" t="n"/>
      <c r="T59" s="8" t="n"/>
      <c r="U59" s="8" t="n"/>
      <c r="V59" s="8" t="n"/>
      <c r="W59" s="8" t="n"/>
    </row>
    <row r="60">
      <c r="C60" s="5">
        <f>IF($B60="","",TRIM(IF(INDEX('MOA role matrix'!$B$2:$D$13,1,MATCH($B60,'MOA role matrix'!$B$1:$D$1,0))="Fill","Project initiator, ","")IF(INDEX('MOA role matrix'!$B$2:$D$13,1,MATCH($B60,'MOA role matrix'!$B$1:$D$1,0))="If finance","Project initiator (if finance), ","")IF(INDEX('MOA role matrix'!$B$2:$D$13,1,MATCH($B60,'MOA role matrix'!$B$1:$D$1,0))="Auto","Project initiator (auto), ","")IF(INDEX('MOA role matrix'!$B$2:$D$13,2,MATCH($B60,'MOA role matrix'!$B$1:$D$1,0))="Fill","MOA signers (client), ","")IF(INDEX('MOA role matrix'!$B$2:$D$13,2,MATCH($B60,'MOA role matrix'!$B$1:$D$1,0))="If finance","MOA signers (client) (if finance), ","")IF(INDEX('MOA role matrix'!$B$2:$D$13,2,MATCH($B60,'MOA role matrix'!$B$1:$D$1,0))="Auto","MOA signers (client) (auto), ","")IF(INDEX('MOA role matrix'!$B$2:$D$13,3,MATCH($B60,'MOA role matrix'!$B$1:$D$1,0))="Fill","CFO / Head of Finance, ","")IF(INDEX('MOA role matrix'!$B$2:$D$13,3,MATCH($B60,'MOA role matrix'!$B$1:$D$1,0))="If finance","CFO / Head of Finance (if finance), ","")IF(INDEX('MOA role matrix'!$B$2:$D$13,3,MATCH($B60,'MOA role matrix'!$B$1:$D$1,0))="Auto","CFO / Head of Finance (auto), ","")IF(INDEX('MOA role matrix'!$B$2:$D$13,4,MATCH($B60,'MOA role matrix'!$B$1:$D$1,0))="Fill","CEO / COO / GM, ","")IF(INDEX('MOA role matrix'!$B$2:$D$13,4,MATCH($B60,'MOA role matrix'!$B$1:$D$1,0))="If finance","CEO / COO / GM (if finance), ","")IF(INDEX('MOA role matrix'!$B$2:$D$13,4,MATCH($B60,'MOA role matrix'!$B$1:$D$1,0))="Auto","CEO / COO / GM (auto), ","")IF(INDEX('MOA role matrix'!$B$2:$D$13,5,MATCH($B60,'MOA role matrix'!$B$1:$D$1,0))="Fill","Board member 1, ","")IF(INDEX('MOA role matrix'!$B$2:$D$13,5,MATCH($B60,'MOA role matrix'!$B$1:$D$1,0))="If finance","Board member 1 (if finance), ","")IF(INDEX('MOA role matrix'!$B$2:$D$13,5,MATCH($B60,'MOA role matrix'!$B$1:$D$1,0))="Auto","Board member 1 (auto), ","")IF(INDEX('MOA role matrix'!$B$2:$D$13,6,MATCH($B60,'MOA role matrix'!$B$1:$D$1,0))="Fill","Board member 2, ","")IF(INDEX('MOA role matrix'!$B$2:$D$13,6,MATCH($B60,'MOA role matrix'!$B$1:$D$1,0))="If finance","Board member 2 (if finance), ","")IF(INDEX('MOA role matrix'!$B$2:$D$13,6,MATCH($B60,'MOA role matrix'!$B$1:$D$1,0))="Auto","Board member 2 (auto), ","")IF(INDEX('MOA role matrix'!$B$2:$D$13,7,MATCH($B60,'MOA role matrix'!$B$1:$D$1,0))="Fill","LOA holder 1, ","")IF(INDEX('MOA role matrix'!$B$2:$D$13,7,MATCH($B60,'MOA role matrix'!$B$1:$D$1,0))="If finance","LOA holder 1 (if finance), ","")IF(INDEX('MOA role matrix'!$B$2:$D$13,7,MATCH($B60,'MOA role matrix'!$B$1:$D$1,0))="Auto","LOA holder 1 (auto), ","")IF(INDEX('MOA role matrix'!$B$2:$D$13,8,MATCH($B60,'MOA role matrix'!$B$1:$D$1,0))="Fill","LOA holder 2, ","")IF(INDEX('MOA role matrix'!$B$2:$D$13,8,MATCH($B60,'MOA role matrix'!$B$1:$D$1,0))="If finance","LOA holder 2 (if finance), ","")IF(INDEX('MOA role matrix'!$B$2:$D$13,8,MATCH($B60,'MOA role matrix'!$B$1:$D$1,0))="Auto","LOA holder 2 (auto), ","")IF(INDEX('MOA role matrix'!$B$2:$D$13,9,MATCH($B60,'MOA role matrix'!$B$1:$D$1,0))="Fill","Senior Manager CoSec, ","")IF(INDEX('MOA role matrix'!$B$2:$D$13,9,MATCH($B60,'MOA role matrix'!$B$1:$D$1,0))="If finance","Senior Manager CoSec (if finance), ","")IF(INDEX('MOA role matrix'!$B$2:$D$13,9,MATCH($B60,'MOA role matrix'!$B$1:$D$1,0))="Auto","Senior Manager CoSec (auto), ","")IF(INDEX('MOA role matrix'!$B$2:$D$13,10,MATCH($B60,'MOA role matrix'!$B$1:$D$1,0))="Fill","Division MOI managers, ","")IF(INDEX('MOA role matrix'!$B$2:$D$13,10,MATCH($B60,'MOA role matrix'!$B$1:$D$1,0))="If finance","Division MOI managers (if finance), ","")IF(INDEX('MOA role matrix'!$B$2:$D$13,10,MATCH($B60,'MOA role matrix'!$B$1:$D$1,0))="Auto","Division MOI managers (auto), ","")IF(INDEX('MOA role matrix'!$B$2:$D$13,11,MATCH($B60,'MOA role matrix'!$B$1:$D$1,0))="Fill","Ms Teh (bank), ","")IF(INDEX('MOA role matrix'!$B$2:$D$13,11,MATCH($B60,'MOA role matrix'!$B$1:$D$1,0))="If finance","Ms Teh (bank) (if finance), ","")IF(INDEX('MOA role matrix'!$B$2:$D$13,11,MATCH($B60,'MOA role matrix'!$B$1:$D$1,0))="Auto","Ms Teh (bank) (auto), ","")IF(INDEX('MOA role matrix'!$B$2:$D$13,12,MATCH($B60,'MOA role matrix'!$B$1:$D$1,0))="Fill","DLCM, ","")IF(INDEX('MOA role matrix'!$B$2:$D$13,12,MATCH($B60,'MOA role matrix'!$B$1:$D$1,0))="If finance","DLCM (if finance), ","")IF(INDEX('MOA role matrix'!$B$2:$D$13,12,MATCH($B60,'MOA role matrix'!$B$1:$D$1,0))="Auto","DLCM (auto), ","")))</f>
        <v/>
      </c>
      <c r="D60" s="5">
        <f>IF($A60="","",IFERROR(INDEX(FILTER('Client contacts'!$B$2:$B$500,('Client contacts'!$A$2:$A$500=$A60)*('Client contacts'!$H$2:$H$500="Y"),""),1),""))</f>
        <v/>
      </c>
      <c r="E60" s="5">
        <f>IF($A60="","",IFERROR(INDEX(FILTER('Client contacts'!$C$2:$C$500,('Client contacts'!$A$2:$A$500=$A60)*('Client contacts'!$H$2:$H$500="Y"),""),1),""))</f>
        <v/>
      </c>
      <c r="F60" s="5">
        <f>IF($A60="","",IFERROR(INDEX(FILTER('Client contacts'!$B$2:$B$500,('Client contacts'!$A$2:$A$500=$A60)*('Client contacts'!$G$2:$G$500="Y"),""),1),""))</f>
        <v/>
      </c>
      <c r="G60" s="5">
        <f>IF($A60="","",IFERROR(INDEX(FILTER('Client contacts'!$C$2:$C$500,('Client contacts'!$A$2:$A$500=$A60)*('Client contacts'!$G$2:$G$500="Y"),""),1),""))</f>
        <v/>
      </c>
      <c r="H60" s="5">
        <f>IF($A60="","",IFERROR(INDEX(FILTER('Client contacts'!$B$2:$B$500,('Client contacts'!$A$2:$A$500=$A60)*('Client contacts'!$G$2:$G$500="Y"),""),2),""))</f>
        <v/>
      </c>
      <c r="I60" s="5">
        <f>IF($A60="","",IFERROR(INDEX(FILTER('Client contacts'!$C$2:$C$500,('Client contacts'!$A$2:$A$500=$A60)*('Client contacts'!$G$2:$G$500="Y"),""),2),""))</f>
        <v/>
      </c>
      <c r="J60" s="8" t="n"/>
      <c r="K60" s="8" t="n"/>
      <c r="L60" s="8" t="n"/>
      <c r="M60" s="8" t="n"/>
      <c r="N60" s="8" t="n"/>
      <c r="O60" s="8" t="n"/>
      <c r="P60" s="8" t="n"/>
      <c r="Q60" s="8" t="n"/>
      <c r="R60" s="5">
        <f>IF($A60="","",IFERROR(INDEX(Companies!$I$2:$I$500,MATCH($A60,Companies!$A$2:$A$500,0)),""))</f>
        <v/>
      </c>
      <c r="S60" s="8" t="n"/>
      <c r="T60" s="8" t="n"/>
      <c r="U60" s="8" t="n"/>
      <c r="V60" s="8" t="n"/>
      <c r="W60" s="8" t="n"/>
    </row>
    <row r="61">
      <c r="C61" s="5">
        <f>IF($B61="","",TRIM(IF(INDEX('MOA role matrix'!$B$2:$D$13,1,MATCH($B61,'MOA role matrix'!$B$1:$D$1,0))="Fill","Project initiator, ","")IF(INDEX('MOA role matrix'!$B$2:$D$13,1,MATCH($B61,'MOA role matrix'!$B$1:$D$1,0))="If finance","Project initiator (if finance), ","")IF(INDEX('MOA role matrix'!$B$2:$D$13,1,MATCH($B61,'MOA role matrix'!$B$1:$D$1,0))="Auto","Project initiator (auto), ","")IF(INDEX('MOA role matrix'!$B$2:$D$13,2,MATCH($B61,'MOA role matrix'!$B$1:$D$1,0))="Fill","MOA signers (client), ","")IF(INDEX('MOA role matrix'!$B$2:$D$13,2,MATCH($B61,'MOA role matrix'!$B$1:$D$1,0))="If finance","MOA signers (client) (if finance), ","")IF(INDEX('MOA role matrix'!$B$2:$D$13,2,MATCH($B61,'MOA role matrix'!$B$1:$D$1,0))="Auto","MOA signers (client) (auto), ","")IF(INDEX('MOA role matrix'!$B$2:$D$13,3,MATCH($B61,'MOA role matrix'!$B$1:$D$1,0))="Fill","CFO / Head of Finance, ","")IF(INDEX('MOA role matrix'!$B$2:$D$13,3,MATCH($B61,'MOA role matrix'!$B$1:$D$1,0))="If finance","CFO / Head of Finance (if finance), ","")IF(INDEX('MOA role matrix'!$B$2:$D$13,3,MATCH($B61,'MOA role matrix'!$B$1:$D$1,0))="Auto","CFO / Head of Finance (auto), ","")IF(INDEX('MOA role matrix'!$B$2:$D$13,4,MATCH($B61,'MOA role matrix'!$B$1:$D$1,0))="Fill","CEO / COO / GM, ","")IF(INDEX('MOA role matrix'!$B$2:$D$13,4,MATCH($B61,'MOA role matrix'!$B$1:$D$1,0))="If finance","CEO / COO / GM (if finance), ","")IF(INDEX('MOA role matrix'!$B$2:$D$13,4,MATCH($B61,'MOA role matrix'!$B$1:$D$1,0))="Auto","CEO / COO / GM (auto), ","")IF(INDEX('MOA role matrix'!$B$2:$D$13,5,MATCH($B61,'MOA role matrix'!$B$1:$D$1,0))="Fill","Board member 1, ","")IF(INDEX('MOA role matrix'!$B$2:$D$13,5,MATCH($B61,'MOA role matrix'!$B$1:$D$1,0))="If finance","Board member 1 (if finance), ","")IF(INDEX('MOA role matrix'!$B$2:$D$13,5,MATCH($B61,'MOA role matrix'!$B$1:$D$1,0))="Auto","Board member 1 (auto), ","")IF(INDEX('MOA role matrix'!$B$2:$D$13,6,MATCH($B61,'MOA role matrix'!$B$1:$D$1,0))="Fill","Board member 2, ","")IF(INDEX('MOA role matrix'!$B$2:$D$13,6,MATCH($B61,'MOA role matrix'!$B$1:$D$1,0))="If finance","Board member 2 (if finance), ","")IF(INDEX('MOA role matrix'!$B$2:$D$13,6,MATCH($B61,'MOA role matrix'!$B$1:$D$1,0))="Auto","Board member 2 (auto), ","")IF(INDEX('MOA role matrix'!$B$2:$D$13,7,MATCH($B61,'MOA role matrix'!$B$1:$D$1,0))="Fill","LOA holder 1, ","")IF(INDEX('MOA role matrix'!$B$2:$D$13,7,MATCH($B61,'MOA role matrix'!$B$1:$D$1,0))="If finance","LOA holder 1 (if finance), ","")IF(INDEX('MOA role matrix'!$B$2:$D$13,7,MATCH($B61,'MOA role matrix'!$B$1:$D$1,0))="Auto","LOA holder 1 (auto), ","")IF(INDEX('MOA role matrix'!$B$2:$D$13,8,MATCH($B61,'MOA role matrix'!$B$1:$D$1,0))="Fill","LOA holder 2, ","")IF(INDEX('MOA role matrix'!$B$2:$D$13,8,MATCH($B61,'MOA role matrix'!$B$1:$D$1,0))="If finance","LOA holder 2 (if finance), ","")IF(INDEX('MOA role matrix'!$B$2:$D$13,8,MATCH($B61,'MOA role matrix'!$B$1:$D$1,0))="Auto","LOA holder 2 (auto), ","")IF(INDEX('MOA role matrix'!$B$2:$D$13,9,MATCH($B61,'MOA role matrix'!$B$1:$D$1,0))="Fill","Senior Manager CoSec, ","")IF(INDEX('MOA role matrix'!$B$2:$D$13,9,MATCH($B61,'MOA role matrix'!$B$1:$D$1,0))="If finance","Senior Manager CoSec (if finance), ","")IF(INDEX('MOA role matrix'!$B$2:$D$13,9,MATCH($B61,'MOA role matrix'!$B$1:$D$1,0))="Auto","Senior Manager CoSec (auto), ","")IF(INDEX('MOA role matrix'!$B$2:$D$13,10,MATCH($B61,'MOA role matrix'!$B$1:$D$1,0))="Fill","Division MOI managers, ","")IF(INDEX('MOA role matrix'!$B$2:$D$13,10,MATCH($B61,'MOA role matrix'!$B$1:$D$1,0))="If finance","Division MOI managers (if finance), ","")IF(INDEX('MOA role matrix'!$B$2:$D$13,10,MATCH($B61,'MOA role matrix'!$B$1:$D$1,0))="Auto","Division MOI managers (auto), ","")IF(INDEX('MOA role matrix'!$B$2:$D$13,11,MATCH($B61,'MOA role matrix'!$B$1:$D$1,0))="Fill","Ms Teh (bank), ","")IF(INDEX('MOA role matrix'!$B$2:$D$13,11,MATCH($B61,'MOA role matrix'!$B$1:$D$1,0))="If finance","Ms Teh (bank) (if finance), ","")IF(INDEX('MOA role matrix'!$B$2:$D$13,11,MATCH($B61,'MOA role matrix'!$B$1:$D$1,0))="Auto","Ms Teh (bank) (auto), ","")IF(INDEX('MOA role matrix'!$B$2:$D$13,12,MATCH($B61,'MOA role matrix'!$B$1:$D$1,0))="Fill","DLCM, ","")IF(INDEX('MOA role matrix'!$B$2:$D$13,12,MATCH($B61,'MOA role matrix'!$B$1:$D$1,0))="If finance","DLCM (if finance), ","")IF(INDEX('MOA role matrix'!$B$2:$D$13,12,MATCH($B61,'MOA role matrix'!$B$1:$D$1,0))="Auto","DLCM (auto), ","")))</f>
        <v/>
      </c>
      <c r="D61" s="5">
        <f>IF($A61="","",IFERROR(INDEX(FILTER('Client contacts'!$B$2:$B$500,('Client contacts'!$A$2:$A$500=$A61)*('Client contacts'!$H$2:$H$500="Y"),""),1),""))</f>
        <v/>
      </c>
      <c r="E61" s="5">
        <f>IF($A61="","",IFERROR(INDEX(FILTER('Client contacts'!$C$2:$C$500,('Client contacts'!$A$2:$A$500=$A61)*('Client contacts'!$H$2:$H$500="Y"),""),1),""))</f>
        <v/>
      </c>
      <c r="F61" s="5">
        <f>IF($A61="","",IFERROR(INDEX(FILTER('Client contacts'!$B$2:$B$500,('Client contacts'!$A$2:$A$500=$A61)*('Client contacts'!$G$2:$G$500="Y"),""),1),""))</f>
        <v/>
      </c>
      <c r="G61" s="5">
        <f>IF($A61="","",IFERROR(INDEX(FILTER('Client contacts'!$C$2:$C$500,('Client contacts'!$A$2:$A$500=$A61)*('Client contacts'!$G$2:$G$500="Y"),""),1),""))</f>
        <v/>
      </c>
      <c r="H61" s="5">
        <f>IF($A61="","",IFERROR(INDEX(FILTER('Client contacts'!$B$2:$B$500,('Client contacts'!$A$2:$A$500=$A61)*('Client contacts'!$G$2:$G$500="Y"),""),2),""))</f>
        <v/>
      </c>
      <c r="I61" s="5">
        <f>IF($A61="","",IFERROR(INDEX(FILTER('Client contacts'!$C$2:$C$500,('Client contacts'!$A$2:$A$500=$A61)*('Client contacts'!$G$2:$G$500="Y"),""),2),""))</f>
        <v/>
      </c>
      <c r="J61" s="8" t="n"/>
      <c r="K61" s="8" t="n"/>
      <c r="L61" s="8" t="n"/>
      <c r="M61" s="8" t="n"/>
      <c r="N61" s="8" t="n"/>
      <c r="O61" s="8" t="n"/>
      <c r="P61" s="8" t="n"/>
      <c r="Q61" s="8" t="n"/>
      <c r="R61" s="5">
        <f>IF($A61="","",IFERROR(INDEX(Companies!$I$2:$I$500,MATCH($A61,Companies!$A$2:$A$500,0)),""))</f>
        <v/>
      </c>
      <c r="S61" s="8" t="n"/>
      <c r="T61" s="8" t="n"/>
      <c r="U61" s="8" t="n"/>
      <c r="V61" s="8" t="n"/>
      <c r="W61" s="8" t="n"/>
    </row>
    <row r="62">
      <c r="C62" s="5">
        <f>IF($B62="","",TRIM(IF(INDEX('MOA role matrix'!$B$2:$D$13,1,MATCH($B62,'MOA role matrix'!$B$1:$D$1,0))="Fill","Project initiator, ","")IF(INDEX('MOA role matrix'!$B$2:$D$13,1,MATCH($B62,'MOA role matrix'!$B$1:$D$1,0))="If finance","Project initiator (if finance), ","")IF(INDEX('MOA role matrix'!$B$2:$D$13,1,MATCH($B62,'MOA role matrix'!$B$1:$D$1,0))="Auto","Project initiator (auto), ","")IF(INDEX('MOA role matrix'!$B$2:$D$13,2,MATCH($B62,'MOA role matrix'!$B$1:$D$1,0))="Fill","MOA signers (client), ","")IF(INDEX('MOA role matrix'!$B$2:$D$13,2,MATCH($B62,'MOA role matrix'!$B$1:$D$1,0))="If finance","MOA signers (client) (if finance), ","")IF(INDEX('MOA role matrix'!$B$2:$D$13,2,MATCH($B62,'MOA role matrix'!$B$1:$D$1,0))="Auto","MOA signers (client) (auto), ","")IF(INDEX('MOA role matrix'!$B$2:$D$13,3,MATCH($B62,'MOA role matrix'!$B$1:$D$1,0))="Fill","CFO / Head of Finance, ","")IF(INDEX('MOA role matrix'!$B$2:$D$13,3,MATCH($B62,'MOA role matrix'!$B$1:$D$1,0))="If finance","CFO / Head of Finance (if finance), ","")IF(INDEX('MOA role matrix'!$B$2:$D$13,3,MATCH($B62,'MOA role matrix'!$B$1:$D$1,0))="Auto","CFO / Head of Finance (auto), ","")IF(INDEX('MOA role matrix'!$B$2:$D$13,4,MATCH($B62,'MOA role matrix'!$B$1:$D$1,0))="Fill","CEO / COO / GM, ","")IF(INDEX('MOA role matrix'!$B$2:$D$13,4,MATCH($B62,'MOA role matrix'!$B$1:$D$1,0))="If finance","CEO / COO / GM (if finance), ","")IF(INDEX('MOA role matrix'!$B$2:$D$13,4,MATCH($B62,'MOA role matrix'!$B$1:$D$1,0))="Auto","CEO / COO / GM (auto), ","")IF(INDEX('MOA role matrix'!$B$2:$D$13,5,MATCH($B62,'MOA role matrix'!$B$1:$D$1,0))="Fill","Board member 1, ","")IF(INDEX('MOA role matrix'!$B$2:$D$13,5,MATCH($B62,'MOA role matrix'!$B$1:$D$1,0))="If finance","Board member 1 (if finance), ","")IF(INDEX('MOA role matrix'!$B$2:$D$13,5,MATCH($B62,'MOA role matrix'!$B$1:$D$1,0))="Auto","Board member 1 (auto), ","")IF(INDEX('MOA role matrix'!$B$2:$D$13,6,MATCH($B62,'MOA role matrix'!$B$1:$D$1,0))="Fill","Board member 2, ","")IF(INDEX('MOA role matrix'!$B$2:$D$13,6,MATCH($B62,'MOA role matrix'!$B$1:$D$1,0))="If finance","Board member 2 (if finance), ","")IF(INDEX('MOA role matrix'!$B$2:$D$13,6,MATCH($B62,'MOA role matrix'!$B$1:$D$1,0))="Auto","Board member 2 (auto), ","")IF(INDEX('MOA role matrix'!$B$2:$D$13,7,MATCH($B62,'MOA role matrix'!$B$1:$D$1,0))="Fill","LOA holder 1, ","")IF(INDEX('MOA role matrix'!$B$2:$D$13,7,MATCH($B62,'MOA role matrix'!$B$1:$D$1,0))="If finance","LOA holder 1 (if finance), ","")IF(INDEX('MOA role matrix'!$B$2:$D$13,7,MATCH($B62,'MOA role matrix'!$B$1:$D$1,0))="Auto","LOA holder 1 (auto), ","")IF(INDEX('MOA role matrix'!$B$2:$D$13,8,MATCH($B62,'MOA role matrix'!$B$1:$D$1,0))="Fill","LOA holder 2, ","")IF(INDEX('MOA role matrix'!$B$2:$D$13,8,MATCH($B62,'MOA role matrix'!$B$1:$D$1,0))="If finance","LOA holder 2 (if finance), ","")IF(INDEX('MOA role matrix'!$B$2:$D$13,8,MATCH($B62,'MOA role matrix'!$B$1:$D$1,0))="Auto","LOA holder 2 (auto), ","")IF(INDEX('MOA role matrix'!$B$2:$D$13,9,MATCH($B62,'MOA role matrix'!$B$1:$D$1,0))="Fill","Senior Manager CoSec, ","")IF(INDEX('MOA role matrix'!$B$2:$D$13,9,MATCH($B62,'MOA role matrix'!$B$1:$D$1,0))="If finance","Senior Manager CoSec (if finance), ","")IF(INDEX('MOA role matrix'!$B$2:$D$13,9,MATCH($B62,'MOA role matrix'!$B$1:$D$1,0))="Auto","Senior Manager CoSec (auto), ","")IF(INDEX('MOA role matrix'!$B$2:$D$13,10,MATCH($B62,'MOA role matrix'!$B$1:$D$1,0))="Fill","Division MOI managers, ","")IF(INDEX('MOA role matrix'!$B$2:$D$13,10,MATCH($B62,'MOA role matrix'!$B$1:$D$1,0))="If finance","Division MOI managers (if finance), ","")IF(INDEX('MOA role matrix'!$B$2:$D$13,10,MATCH($B62,'MOA role matrix'!$B$1:$D$1,0))="Auto","Division MOI managers (auto), ","")IF(INDEX('MOA role matrix'!$B$2:$D$13,11,MATCH($B62,'MOA role matrix'!$B$1:$D$1,0))="Fill","Ms Teh (bank), ","")IF(INDEX('MOA role matrix'!$B$2:$D$13,11,MATCH($B62,'MOA role matrix'!$B$1:$D$1,0))="If finance","Ms Teh (bank) (if finance), ","")IF(INDEX('MOA role matrix'!$B$2:$D$13,11,MATCH($B62,'MOA role matrix'!$B$1:$D$1,0))="Auto","Ms Teh (bank) (auto), ","")IF(INDEX('MOA role matrix'!$B$2:$D$13,12,MATCH($B62,'MOA role matrix'!$B$1:$D$1,0))="Fill","DLCM, ","")IF(INDEX('MOA role matrix'!$B$2:$D$13,12,MATCH($B62,'MOA role matrix'!$B$1:$D$1,0))="If finance","DLCM (if finance), ","")IF(INDEX('MOA role matrix'!$B$2:$D$13,12,MATCH($B62,'MOA role matrix'!$B$1:$D$1,0))="Auto","DLCM (auto), ","")))</f>
        <v/>
      </c>
      <c r="D62" s="5">
        <f>IF($A62="","",IFERROR(INDEX(FILTER('Client contacts'!$B$2:$B$500,('Client contacts'!$A$2:$A$500=$A62)*('Client contacts'!$H$2:$H$500="Y"),""),1),""))</f>
        <v/>
      </c>
      <c r="E62" s="5">
        <f>IF($A62="","",IFERROR(INDEX(FILTER('Client contacts'!$C$2:$C$500,('Client contacts'!$A$2:$A$500=$A62)*('Client contacts'!$H$2:$H$500="Y"),""),1),""))</f>
        <v/>
      </c>
      <c r="F62" s="5">
        <f>IF($A62="","",IFERROR(INDEX(FILTER('Client contacts'!$B$2:$B$500,('Client contacts'!$A$2:$A$500=$A62)*('Client contacts'!$G$2:$G$500="Y"),""),1),""))</f>
        <v/>
      </c>
      <c r="G62" s="5">
        <f>IF($A62="","",IFERROR(INDEX(FILTER('Client contacts'!$C$2:$C$500,('Client contacts'!$A$2:$A$500=$A62)*('Client contacts'!$G$2:$G$500="Y"),""),1),""))</f>
        <v/>
      </c>
      <c r="H62" s="5">
        <f>IF($A62="","",IFERROR(INDEX(FILTER('Client contacts'!$B$2:$B$500,('Client contacts'!$A$2:$A$500=$A62)*('Client contacts'!$G$2:$G$500="Y"),""),2),""))</f>
        <v/>
      </c>
      <c r="I62" s="5">
        <f>IF($A62="","",IFERROR(INDEX(FILTER('Client contacts'!$C$2:$C$500,('Client contacts'!$A$2:$A$500=$A62)*('Client contacts'!$G$2:$G$500="Y"),""),2),""))</f>
        <v/>
      </c>
      <c r="J62" s="8" t="n"/>
      <c r="K62" s="8" t="n"/>
      <c r="L62" s="8" t="n"/>
      <c r="M62" s="8" t="n"/>
      <c r="N62" s="8" t="n"/>
      <c r="O62" s="8" t="n"/>
      <c r="P62" s="8" t="n"/>
      <c r="Q62" s="8" t="n"/>
      <c r="R62" s="5">
        <f>IF($A62="","",IFERROR(INDEX(Companies!$I$2:$I$500,MATCH($A62,Companies!$A$2:$A$500,0)),""))</f>
        <v/>
      </c>
      <c r="S62" s="8" t="n"/>
      <c r="T62" s="8" t="n"/>
      <c r="U62" s="8" t="n"/>
      <c r="V62" s="8" t="n"/>
      <c r="W62" s="8" t="n"/>
    </row>
    <row r="63">
      <c r="C63" s="5">
        <f>IF($B63="","",TRIM(IF(INDEX('MOA role matrix'!$B$2:$D$13,1,MATCH($B63,'MOA role matrix'!$B$1:$D$1,0))="Fill","Project initiator, ","")IF(INDEX('MOA role matrix'!$B$2:$D$13,1,MATCH($B63,'MOA role matrix'!$B$1:$D$1,0))="If finance","Project initiator (if finance), ","")IF(INDEX('MOA role matrix'!$B$2:$D$13,1,MATCH($B63,'MOA role matrix'!$B$1:$D$1,0))="Auto","Project initiator (auto), ","")IF(INDEX('MOA role matrix'!$B$2:$D$13,2,MATCH($B63,'MOA role matrix'!$B$1:$D$1,0))="Fill","MOA signers (client), ","")IF(INDEX('MOA role matrix'!$B$2:$D$13,2,MATCH($B63,'MOA role matrix'!$B$1:$D$1,0))="If finance","MOA signers (client) (if finance), ","")IF(INDEX('MOA role matrix'!$B$2:$D$13,2,MATCH($B63,'MOA role matrix'!$B$1:$D$1,0))="Auto","MOA signers (client) (auto), ","")IF(INDEX('MOA role matrix'!$B$2:$D$13,3,MATCH($B63,'MOA role matrix'!$B$1:$D$1,0))="Fill","CFO / Head of Finance, ","")IF(INDEX('MOA role matrix'!$B$2:$D$13,3,MATCH($B63,'MOA role matrix'!$B$1:$D$1,0))="If finance","CFO / Head of Finance (if finance), ","")IF(INDEX('MOA role matrix'!$B$2:$D$13,3,MATCH($B63,'MOA role matrix'!$B$1:$D$1,0))="Auto","CFO / Head of Finance (auto), ","")IF(INDEX('MOA role matrix'!$B$2:$D$13,4,MATCH($B63,'MOA role matrix'!$B$1:$D$1,0))="Fill","CEO / COO / GM, ","")IF(INDEX('MOA role matrix'!$B$2:$D$13,4,MATCH($B63,'MOA role matrix'!$B$1:$D$1,0))="If finance","CEO / COO / GM (if finance), ","")IF(INDEX('MOA role matrix'!$B$2:$D$13,4,MATCH($B63,'MOA role matrix'!$B$1:$D$1,0))="Auto","CEO / COO / GM (auto), ","")IF(INDEX('MOA role matrix'!$B$2:$D$13,5,MATCH($B63,'MOA role matrix'!$B$1:$D$1,0))="Fill","Board member 1, ","")IF(INDEX('MOA role matrix'!$B$2:$D$13,5,MATCH($B63,'MOA role matrix'!$B$1:$D$1,0))="If finance","Board member 1 (if finance), ","")IF(INDEX('MOA role matrix'!$B$2:$D$13,5,MATCH($B63,'MOA role matrix'!$B$1:$D$1,0))="Auto","Board member 1 (auto), ","")IF(INDEX('MOA role matrix'!$B$2:$D$13,6,MATCH($B63,'MOA role matrix'!$B$1:$D$1,0))="Fill","Board member 2, ","")IF(INDEX('MOA role matrix'!$B$2:$D$13,6,MATCH($B63,'MOA role matrix'!$B$1:$D$1,0))="If finance","Board member 2 (if finance), ","")IF(INDEX('MOA role matrix'!$B$2:$D$13,6,MATCH($B63,'MOA role matrix'!$B$1:$D$1,0))="Auto","Board member 2 (auto), ","")IF(INDEX('MOA role matrix'!$B$2:$D$13,7,MATCH($B63,'MOA role matrix'!$B$1:$D$1,0))="Fill","LOA holder 1, ","")IF(INDEX('MOA role matrix'!$B$2:$D$13,7,MATCH($B63,'MOA role matrix'!$B$1:$D$1,0))="If finance","LOA holder 1 (if finance), ","")IF(INDEX('MOA role matrix'!$B$2:$D$13,7,MATCH($B63,'MOA role matrix'!$B$1:$D$1,0))="Auto","LOA holder 1 (auto), ","")IF(INDEX('MOA role matrix'!$B$2:$D$13,8,MATCH($B63,'MOA role matrix'!$B$1:$D$1,0))="Fill","LOA holder 2, ","")IF(INDEX('MOA role matrix'!$B$2:$D$13,8,MATCH($B63,'MOA role matrix'!$B$1:$D$1,0))="If finance","LOA holder 2 (if finance), ","")IF(INDEX('MOA role matrix'!$B$2:$D$13,8,MATCH($B63,'MOA role matrix'!$B$1:$D$1,0))="Auto","LOA holder 2 (auto), ","")IF(INDEX('MOA role matrix'!$B$2:$D$13,9,MATCH($B63,'MOA role matrix'!$B$1:$D$1,0))="Fill","Senior Manager CoSec, ","")IF(INDEX('MOA role matrix'!$B$2:$D$13,9,MATCH($B63,'MOA role matrix'!$B$1:$D$1,0))="If finance","Senior Manager CoSec (if finance), ","")IF(INDEX('MOA role matrix'!$B$2:$D$13,9,MATCH($B63,'MOA role matrix'!$B$1:$D$1,0))="Auto","Senior Manager CoSec (auto), ","")IF(INDEX('MOA role matrix'!$B$2:$D$13,10,MATCH($B63,'MOA role matrix'!$B$1:$D$1,0))="Fill","Division MOI managers, ","")IF(INDEX('MOA role matrix'!$B$2:$D$13,10,MATCH($B63,'MOA role matrix'!$B$1:$D$1,0))="If finance","Division MOI managers (if finance), ","")IF(INDEX('MOA role matrix'!$B$2:$D$13,10,MATCH($B63,'MOA role matrix'!$B$1:$D$1,0))="Auto","Division MOI managers (auto), ","")IF(INDEX('MOA role matrix'!$B$2:$D$13,11,MATCH($B63,'MOA role matrix'!$B$1:$D$1,0))="Fill","Ms Teh (bank), ","")IF(INDEX('MOA role matrix'!$B$2:$D$13,11,MATCH($B63,'MOA role matrix'!$B$1:$D$1,0))="If finance","Ms Teh (bank) (if finance), ","")IF(INDEX('MOA role matrix'!$B$2:$D$13,11,MATCH($B63,'MOA role matrix'!$B$1:$D$1,0))="Auto","Ms Teh (bank) (auto), ","")IF(INDEX('MOA role matrix'!$B$2:$D$13,12,MATCH($B63,'MOA role matrix'!$B$1:$D$1,0))="Fill","DLCM, ","")IF(INDEX('MOA role matrix'!$B$2:$D$13,12,MATCH($B63,'MOA role matrix'!$B$1:$D$1,0))="If finance","DLCM (if finance), ","")IF(INDEX('MOA role matrix'!$B$2:$D$13,12,MATCH($B63,'MOA role matrix'!$B$1:$D$1,0))="Auto","DLCM (auto), ","")))</f>
        <v/>
      </c>
      <c r="D63" s="5">
        <f>IF($A63="","",IFERROR(INDEX(FILTER('Client contacts'!$B$2:$B$500,('Client contacts'!$A$2:$A$500=$A63)*('Client contacts'!$H$2:$H$500="Y"),""),1),""))</f>
        <v/>
      </c>
      <c r="E63" s="5">
        <f>IF($A63="","",IFERROR(INDEX(FILTER('Client contacts'!$C$2:$C$500,('Client contacts'!$A$2:$A$500=$A63)*('Client contacts'!$H$2:$H$500="Y"),""),1),""))</f>
        <v/>
      </c>
      <c r="F63" s="5">
        <f>IF($A63="","",IFERROR(INDEX(FILTER('Client contacts'!$B$2:$B$500,('Client contacts'!$A$2:$A$500=$A63)*('Client contacts'!$G$2:$G$500="Y"),""),1),""))</f>
        <v/>
      </c>
      <c r="G63" s="5">
        <f>IF($A63="","",IFERROR(INDEX(FILTER('Client contacts'!$C$2:$C$500,('Client contacts'!$A$2:$A$500=$A63)*('Client contacts'!$G$2:$G$500="Y"),""),1),""))</f>
        <v/>
      </c>
      <c r="H63" s="5">
        <f>IF($A63="","",IFERROR(INDEX(FILTER('Client contacts'!$B$2:$B$500,('Client contacts'!$A$2:$A$500=$A63)*('Client contacts'!$G$2:$G$500="Y"),""),2),""))</f>
        <v/>
      </c>
      <c r="I63" s="5">
        <f>IF($A63="","",IFERROR(INDEX(FILTER('Client contacts'!$C$2:$C$500,('Client contacts'!$A$2:$A$500=$A63)*('Client contacts'!$G$2:$G$500="Y"),""),2),""))</f>
        <v/>
      </c>
      <c r="J63" s="8" t="n"/>
      <c r="K63" s="8" t="n"/>
      <c r="L63" s="8" t="n"/>
      <c r="M63" s="8" t="n"/>
      <c r="N63" s="8" t="n"/>
      <c r="O63" s="8" t="n"/>
      <c r="P63" s="8" t="n"/>
      <c r="Q63" s="8" t="n"/>
      <c r="R63" s="5">
        <f>IF($A63="","",IFERROR(INDEX(Companies!$I$2:$I$500,MATCH($A63,Companies!$A$2:$A$500,0)),""))</f>
        <v/>
      </c>
      <c r="S63" s="8" t="n"/>
      <c r="T63" s="8" t="n"/>
      <c r="U63" s="8" t="n"/>
      <c r="V63" s="8" t="n"/>
      <c r="W63" s="8" t="n"/>
    </row>
    <row r="64">
      <c r="C64" s="5">
        <f>IF($B64="","",TRIM(IF(INDEX('MOA role matrix'!$B$2:$D$13,1,MATCH($B64,'MOA role matrix'!$B$1:$D$1,0))="Fill","Project initiator, ","")IF(INDEX('MOA role matrix'!$B$2:$D$13,1,MATCH($B64,'MOA role matrix'!$B$1:$D$1,0))="If finance","Project initiator (if finance), ","")IF(INDEX('MOA role matrix'!$B$2:$D$13,1,MATCH($B64,'MOA role matrix'!$B$1:$D$1,0))="Auto","Project initiator (auto), ","")IF(INDEX('MOA role matrix'!$B$2:$D$13,2,MATCH($B64,'MOA role matrix'!$B$1:$D$1,0))="Fill","MOA signers (client), ","")IF(INDEX('MOA role matrix'!$B$2:$D$13,2,MATCH($B64,'MOA role matrix'!$B$1:$D$1,0))="If finance","MOA signers (client) (if finance), ","")IF(INDEX('MOA role matrix'!$B$2:$D$13,2,MATCH($B64,'MOA role matrix'!$B$1:$D$1,0))="Auto","MOA signers (client) (auto), ","")IF(INDEX('MOA role matrix'!$B$2:$D$13,3,MATCH($B64,'MOA role matrix'!$B$1:$D$1,0))="Fill","CFO / Head of Finance, ","")IF(INDEX('MOA role matrix'!$B$2:$D$13,3,MATCH($B64,'MOA role matrix'!$B$1:$D$1,0))="If finance","CFO / Head of Finance (if finance), ","")IF(INDEX('MOA role matrix'!$B$2:$D$13,3,MATCH($B64,'MOA role matrix'!$B$1:$D$1,0))="Auto","CFO / Head of Finance (auto), ","")IF(INDEX('MOA role matrix'!$B$2:$D$13,4,MATCH($B64,'MOA role matrix'!$B$1:$D$1,0))="Fill","CEO / COO / GM, ","")IF(INDEX('MOA role matrix'!$B$2:$D$13,4,MATCH($B64,'MOA role matrix'!$B$1:$D$1,0))="If finance","CEO / COO / GM (if finance), ","")IF(INDEX('MOA role matrix'!$B$2:$D$13,4,MATCH($B64,'MOA role matrix'!$B$1:$D$1,0))="Auto","CEO / COO / GM (auto), ","")IF(INDEX('MOA role matrix'!$B$2:$D$13,5,MATCH($B64,'MOA role matrix'!$B$1:$D$1,0))="Fill","Board member 1, ","")IF(INDEX('MOA role matrix'!$B$2:$D$13,5,MATCH($B64,'MOA role matrix'!$B$1:$D$1,0))="If finance","Board member 1 (if finance), ","")IF(INDEX('MOA role matrix'!$B$2:$D$13,5,MATCH($B64,'MOA role matrix'!$B$1:$D$1,0))="Auto","Board member 1 (auto), ","")IF(INDEX('MOA role matrix'!$B$2:$D$13,6,MATCH($B64,'MOA role matrix'!$B$1:$D$1,0))="Fill","Board member 2, ","")IF(INDEX('MOA role matrix'!$B$2:$D$13,6,MATCH($B64,'MOA role matrix'!$B$1:$D$1,0))="If finance","Board member 2 (if finance), ","")IF(INDEX('MOA role matrix'!$B$2:$D$13,6,MATCH($B64,'MOA role matrix'!$B$1:$D$1,0))="Auto","Board member 2 (auto), ","")IF(INDEX('MOA role matrix'!$B$2:$D$13,7,MATCH($B64,'MOA role matrix'!$B$1:$D$1,0))="Fill","LOA holder 1, ","")IF(INDEX('MOA role matrix'!$B$2:$D$13,7,MATCH($B64,'MOA role matrix'!$B$1:$D$1,0))="If finance","LOA holder 1 (if finance), ","")IF(INDEX('MOA role matrix'!$B$2:$D$13,7,MATCH($B64,'MOA role matrix'!$B$1:$D$1,0))="Auto","LOA holder 1 (auto), ","")IF(INDEX('MOA role matrix'!$B$2:$D$13,8,MATCH($B64,'MOA role matrix'!$B$1:$D$1,0))="Fill","LOA holder 2, ","")IF(INDEX('MOA role matrix'!$B$2:$D$13,8,MATCH($B64,'MOA role matrix'!$B$1:$D$1,0))="If finance","LOA holder 2 (if finance), ","")IF(INDEX('MOA role matrix'!$B$2:$D$13,8,MATCH($B64,'MOA role matrix'!$B$1:$D$1,0))="Auto","LOA holder 2 (auto), ","")IF(INDEX('MOA role matrix'!$B$2:$D$13,9,MATCH($B64,'MOA role matrix'!$B$1:$D$1,0))="Fill","Senior Manager CoSec, ","")IF(INDEX('MOA role matrix'!$B$2:$D$13,9,MATCH($B64,'MOA role matrix'!$B$1:$D$1,0))="If finance","Senior Manager CoSec (if finance), ","")IF(INDEX('MOA role matrix'!$B$2:$D$13,9,MATCH($B64,'MOA role matrix'!$B$1:$D$1,0))="Auto","Senior Manager CoSec (auto), ","")IF(INDEX('MOA role matrix'!$B$2:$D$13,10,MATCH($B64,'MOA role matrix'!$B$1:$D$1,0))="Fill","Division MOI managers, ","")IF(INDEX('MOA role matrix'!$B$2:$D$13,10,MATCH($B64,'MOA role matrix'!$B$1:$D$1,0))="If finance","Division MOI managers (if finance), ","")IF(INDEX('MOA role matrix'!$B$2:$D$13,10,MATCH($B64,'MOA role matrix'!$B$1:$D$1,0))="Auto","Division MOI managers (auto), ","")IF(INDEX('MOA role matrix'!$B$2:$D$13,11,MATCH($B64,'MOA role matrix'!$B$1:$D$1,0))="Fill","Ms Teh (bank), ","")IF(INDEX('MOA role matrix'!$B$2:$D$13,11,MATCH($B64,'MOA role matrix'!$B$1:$D$1,0))="If finance","Ms Teh (bank) (if finance), ","")IF(INDEX('MOA role matrix'!$B$2:$D$13,11,MATCH($B64,'MOA role matrix'!$B$1:$D$1,0))="Auto","Ms Teh (bank) (auto), ","")IF(INDEX('MOA role matrix'!$B$2:$D$13,12,MATCH($B64,'MOA role matrix'!$B$1:$D$1,0))="Fill","DLCM, ","")IF(INDEX('MOA role matrix'!$B$2:$D$13,12,MATCH($B64,'MOA role matrix'!$B$1:$D$1,0))="If finance","DLCM (if finance), ","")IF(INDEX('MOA role matrix'!$B$2:$D$13,12,MATCH($B64,'MOA role matrix'!$B$1:$D$1,0))="Auto","DLCM (auto), ","")))</f>
        <v/>
      </c>
      <c r="D64" s="5">
        <f>IF($A64="","",IFERROR(INDEX(FILTER('Client contacts'!$B$2:$B$500,('Client contacts'!$A$2:$A$500=$A64)*('Client contacts'!$H$2:$H$500="Y"),""),1),""))</f>
        <v/>
      </c>
      <c r="E64" s="5">
        <f>IF($A64="","",IFERROR(INDEX(FILTER('Client contacts'!$C$2:$C$500,('Client contacts'!$A$2:$A$500=$A64)*('Client contacts'!$H$2:$H$500="Y"),""),1),""))</f>
        <v/>
      </c>
      <c r="F64" s="5">
        <f>IF($A64="","",IFERROR(INDEX(FILTER('Client contacts'!$B$2:$B$500,('Client contacts'!$A$2:$A$500=$A64)*('Client contacts'!$G$2:$G$500="Y"),""),1),""))</f>
        <v/>
      </c>
      <c r="G64" s="5">
        <f>IF($A64="","",IFERROR(INDEX(FILTER('Client contacts'!$C$2:$C$500,('Client contacts'!$A$2:$A$500=$A64)*('Client contacts'!$G$2:$G$500="Y"),""),1),""))</f>
        <v/>
      </c>
      <c r="H64" s="5">
        <f>IF($A64="","",IFERROR(INDEX(FILTER('Client contacts'!$B$2:$B$500,('Client contacts'!$A$2:$A$500=$A64)*('Client contacts'!$G$2:$G$500="Y"),""),2),""))</f>
        <v/>
      </c>
      <c r="I64" s="5">
        <f>IF($A64="","",IFERROR(INDEX(FILTER('Client contacts'!$C$2:$C$500,('Client contacts'!$A$2:$A$500=$A64)*('Client contacts'!$G$2:$G$500="Y"),""),2),""))</f>
        <v/>
      </c>
      <c r="J64" s="8" t="n"/>
      <c r="K64" s="8" t="n"/>
      <c r="L64" s="8" t="n"/>
      <c r="M64" s="8" t="n"/>
      <c r="N64" s="8" t="n"/>
      <c r="O64" s="8" t="n"/>
      <c r="P64" s="8" t="n"/>
      <c r="Q64" s="8" t="n"/>
      <c r="R64" s="5">
        <f>IF($A64="","",IFERROR(INDEX(Companies!$I$2:$I$500,MATCH($A64,Companies!$A$2:$A$500,0)),""))</f>
        <v/>
      </c>
      <c r="S64" s="8" t="n"/>
      <c r="T64" s="8" t="n"/>
      <c r="U64" s="8" t="n"/>
      <c r="V64" s="8" t="n"/>
      <c r="W64" s="8" t="n"/>
    </row>
    <row r="65">
      <c r="C65" s="5">
        <f>IF($B65="","",TRIM(IF(INDEX('MOA role matrix'!$B$2:$D$13,1,MATCH($B65,'MOA role matrix'!$B$1:$D$1,0))="Fill","Project initiator, ","")IF(INDEX('MOA role matrix'!$B$2:$D$13,1,MATCH($B65,'MOA role matrix'!$B$1:$D$1,0))="If finance","Project initiator (if finance), ","")IF(INDEX('MOA role matrix'!$B$2:$D$13,1,MATCH($B65,'MOA role matrix'!$B$1:$D$1,0))="Auto","Project initiator (auto), ","")IF(INDEX('MOA role matrix'!$B$2:$D$13,2,MATCH($B65,'MOA role matrix'!$B$1:$D$1,0))="Fill","MOA signers (client), ","")IF(INDEX('MOA role matrix'!$B$2:$D$13,2,MATCH($B65,'MOA role matrix'!$B$1:$D$1,0))="If finance","MOA signers (client) (if finance), ","")IF(INDEX('MOA role matrix'!$B$2:$D$13,2,MATCH($B65,'MOA role matrix'!$B$1:$D$1,0))="Auto","MOA signers (client) (auto), ","")IF(INDEX('MOA role matrix'!$B$2:$D$13,3,MATCH($B65,'MOA role matrix'!$B$1:$D$1,0))="Fill","CFO / Head of Finance, ","")IF(INDEX('MOA role matrix'!$B$2:$D$13,3,MATCH($B65,'MOA role matrix'!$B$1:$D$1,0))="If finance","CFO / Head of Finance (if finance), ","")IF(INDEX('MOA role matrix'!$B$2:$D$13,3,MATCH($B65,'MOA role matrix'!$B$1:$D$1,0))="Auto","CFO / Head of Finance (auto), ","")IF(INDEX('MOA role matrix'!$B$2:$D$13,4,MATCH($B65,'MOA role matrix'!$B$1:$D$1,0))="Fill","CEO / COO / GM, ","")IF(INDEX('MOA role matrix'!$B$2:$D$13,4,MATCH($B65,'MOA role matrix'!$B$1:$D$1,0))="If finance","CEO / COO / GM (if finance), ","")IF(INDEX('MOA role matrix'!$B$2:$D$13,4,MATCH($B65,'MOA role matrix'!$B$1:$D$1,0))="Auto","CEO / COO / GM (auto), ","")IF(INDEX('MOA role matrix'!$B$2:$D$13,5,MATCH($B65,'MOA role matrix'!$B$1:$D$1,0))="Fill","Board member 1, ","")IF(INDEX('MOA role matrix'!$B$2:$D$13,5,MATCH($B65,'MOA role matrix'!$B$1:$D$1,0))="If finance","Board member 1 (if finance), ","")IF(INDEX('MOA role matrix'!$B$2:$D$13,5,MATCH($B65,'MOA role matrix'!$B$1:$D$1,0))="Auto","Board member 1 (auto), ","")IF(INDEX('MOA role matrix'!$B$2:$D$13,6,MATCH($B65,'MOA role matrix'!$B$1:$D$1,0))="Fill","Board member 2, ","")IF(INDEX('MOA role matrix'!$B$2:$D$13,6,MATCH($B65,'MOA role matrix'!$B$1:$D$1,0))="If finance","Board member 2 (if finance), ","")IF(INDEX('MOA role matrix'!$B$2:$D$13,6,MATCH($B65,'MOA role matrix'!$B$1:$D$1,0))="Auto","Board member 2 (auto), ","")IF(INDEX('MOA role matrix'!$B$2:$D$13,7,MATCH($B65,'MOA role matrix'!$B$1:$D$1,0))="Fill","LOA holder 1, ","")IF(INDEX('MOA role matrix'!$B$2:$D$13,7,MATCH($B65,'MOA role matrix'!$B$1:$D$1,0))="If finance","LOA holder 1 (if finance), ","")IF(INDEX('MOA role matrix'!$B$2:$D$13,7,MATCH($B65,'MOA role matrix'!$B$1:$D$1,0))="Auto","LOA holder 1 (auto), ","")IF(INDEX('MOA role matrix'!$B$2:$D$13,8,MATCH($B65,'MOA role matrix'!$B$1:$D$1,0))="Fill","LOA holder 2, ","")IF(INDEX('MOA role matrix'!$B$2:$D$13,8,MATCH($B65,'MOA role matrix'!$B$1:$D$1,0))="If finance","LOA holder 2 (if finance), ","")IF(INDEX('MOA role matrix'!$B$2:$D$13,8,MATCH($B65,'MOA role matrix'!$B$1:$D$1,0))="Auto","LOA holder 2 (auto), ","")IF(INDEX('MOA role matrix'!$B$2:$D$13,9,MATCH($B65,'MOA role matrix'!$B$1:$D$1,0))="Fill","Senior Manager CoSec, ","")IF(INDEX('MOA role matrix'!$B$2:$D$13,9,MATCH($B65,'MOA role matrix'!$B$1:$D$1,0))="If finance","Senior Manager CoSec (if finance), ","")IF(INDEX('MOA role matrix'!$B$2:$D$13,9,MATCH($B65,'MOA role matrix'!$B$1:$D$1,0))="Auto","Senior Manager CoSec (auto), ","")IF(INDEX('MOA role matrix'!$B$2:$D$13,10,MATCH($B65,'MOA role matrix'!$B$1:$D$1,0))="Fill","Division MOI managers, ","")IF(INDEX('MOA role matrix'!$B$2:$D$13,10,MATCH($B65,'MOA role matrix'!$B$1:$D$1,0))="If finance","Division MOI managers (if finance), ","")IF(INDEX('MOA role matrix'!$B$2:$D$13,10,MATCH($B65,'MOA role matrix'!$B$1:$D$1,0))="Auto","Division MOI managers (auto), ","")IF(INDEX('MOA role matrix'!$B$2:$D$13,11,MATCH($B65,'MOA role matrix'!$B$1:$D$1,0))="Fill","Ms Teh (bank), ","")IF(INDEX('MOA role matrix'!$B$2:$D$13,11,MATCH($B65,'MOA role matrix'!$B$1:$D$1,0))="If finance","Ms Teh (bank) (if finance), ","")IF(INDEX('MOA role matrix'!$B$2:$D$13,11,MATCH($B65,'MOA role matrix'!$B$1:$D$1,0))="Auto","Ms Teh (bank) (auto), ","")IF(INDEX('MOA role matrix'!$B$2:$D$13,12,MATCH($B65,'MOA role matrix'!$B$1:$D$1,0))="Fill","DLCM, ","")IF(INDEX('MOA role matrix'!$B$2:$D$13,12,MATCH($B65,'MOA role matrix'!$B$1:$D$1,0))="If finance","DLCM (if finance), ","")IF(INDEX('MOA role matrix'!$B$2:$D$13,12,MATCH($B65,'MOA role matrix'!$B$1:$D$1,0))="Auto","DLCM (auto), ","")))</f>
        <v/>
      </c>
      <c r="D65" s="5">
        <f>IF($A65="","",IFERROR(INDEX(FILTER('Client contacts'!$B$2:$B$500,('Client contacts'!$A$2:$A$500=$A65)*('Client contacts'!$H$2:$H$500="Y"),""),1),""))</f>
        <v/>
      </c>
      <c r="E65" s="5">
        <f>IF($A65="","",IFERROR(INDEX(FILTER('Client contacts'!$C$2:$C$500,('Client contacts'!$A$2:$A$500=$A65)*('Client contacts'!$H$2:$H$500="Y"),""),1),""))</f>
        <v/>
      </c>
      <c r="F65" s="5">
        <f>IF($A65="","",IFERROR(INDEX(FILTER('Client contacts'!$B$2:$B$500,('Client contacts'!$A$2:$A$500=$A65)*('Client contacts'!$G$2:$G$500="Y"),""),1),""))</f>
        <v/>
      </c>
      <c r="G65" s="5">
        <f>IF($A65="","",IFERROR(INDEX(FILTER('Client contacts'!$C$2:$C$500,('Client contacts'!$A$2:$A$500=$A65)*('Client contacts'!$G$2:$G$500="Y"),""),1),""))</f>
        <v/>
      </c>
      <c r="H65" s="5">
        <f>IF($A65="","",IFERROR(INDEX(FILTER('Client contacts'!$B$2:$B$500,('Client contacts'!$A$2:$A$500=$A65)*('Client contacts'!$G$2:$G$500="Y"),""),2),""))</f>
        <v/>
      </c>
      <c r="I65" s="5">
        <f>IF($A65="","",IFERROR(INDEX(FILTER('Client contacts'!$C$2:$C$500,('Client contacts'!$A$2:$A$500=$A65)*('Client contacts'!$G$2:$G$500="Y"),""),2),""))</f>
        <v/>
      </c>
      <c r="J65" s="8" t="n"/>
      <c r="K65" s="8" t="n"/>
      <c r="L65" s="8" t="n"/>
      <c r="M65" s="8" t="n"/>
      <c r="N65" s="8" t="n"/>
      <c r="O65" s="8" t="n"/>
      <c r="P65" s="8" t="n"/>
      <c r="Q65" s="8" t="n"/>
      <c r="R65" s="5">
        <f>IF($A65="","",IFERROR(INDEX(Companies!$I$2:$I$500,MATCH($A65,Companies!$A$2:$A$500,0)),""))</f>
        <v/>
      </c>
      <c r="S65" s="8" t="n"/>
      <c r="T65" s="8" t="n"/>
      <c r="U65" s="8" t="n"/>
      <c r="V65" s="8" t="n"/>
      <c r="W65" s="8" t="n"/>
    </row>
    <row r="66">
      <c r="C66" s="5">
        <f>IF($B66="","",TRIM(IF(INDEX('MOA role matrix'!$B$2:$D$13,1,MATCH($B66,'MOA role matrix'!$B$1:$D$1,0))="Fill","Project initiator, ","")IF(INDEX('MOA role matrix'!$B$2:$D$13,1,MATCH($B66,'MOA role matrix'!$B$1:$D$1,0))="If finance","Project initiator (if finance), ","")IF(INDEX('MOA role matrix'!$B$2:$D$13,1,MATCH($B66,'MOA role matrix'!$B$1:$D$1,0))="Auto","Project initiator (auto), ","")IF(INDEX('MOA role matrix'!$B$2:$D$13,2,MATCH($B66,'MOA role matrix'!$B$1:$D$1,0))="Fill","MOA signers (client), ","")IF(INDEX('MOA role matrix'!$B$2:$D$13,2,MATCH($B66,'MOA role matrix'!$B$1:$D$1,0))="If finance","MOA signers (client) (if finance), ","")IF(INDEX('MOA role matrix'!$B$2:$D$13,2,MATCH($B66,'MOA role matrix'!$B$1:$D$1,0))="Auto","MOA signers (client) (auto), ","")IF(INDEX('MOA role matrix'!$B$2:$D$13,3,MATCH($B66,'MOA role matrix'!$B$1:$D$1,0))="Fill","CFO / Head of Finance, ","")IF(INDEX('MOA role matrix'!$B$2:$D$13,3,MATCH($B66,'MOA role matrix'!$B$1:$D$1,0))="If finance","CFO / Head of Finance (if finance), ","")IF(INDEX('MOA role matrix'!$B$2:$D$13,3,MATCH($B66,'MOA role matrix'!$B$1:$D$1,0))="Auto","CFO / Head of Finance (auto), ","")IF(INDEX('MOA role matrix'!$B$2:$D$13,4,MATCH($B66,'MOA role matrix'!$B$1:$D$1,0))="Fill","CEO / COO / GM, ","")IF(INDEX('MOA role matrix'!$B$2:$D$13,4,MATCH($B66,'MOA role matrix'!$B$1:$D$1,0))="If finance","CEO / COO / GM (if finance), ","")IF(INDEX('MOA role matrix'!$B$2:$D$13,4,MATCH($B66,'MOA role matrix'!$B$1:$D$1,0))="Auto","CEO / COO / GM (auto), ","")IF(INDEX('MOA role matrix'!$B$2:$D$13,5,MATCH($B66,'MOA role matrix'!$B$1:$D$1,0))="Fill","Board member 1, ","")IF(INDEX('MOA role matrix'!$B$2:$D$13,5,MATCH($B66,'MOA role matrix'!$B$1:$D$1,0))="If finance","Board member 1 (if finance), ","")IF(INDEX('MOA role matrix'!$B$2:$D$13,5,MATCH($B66,'MOA role matrix'!$B$1:$D$1,0))="Auto","Board member 1 (auto), ","")IF(INDEX('MOA role matrix'!$B$2:$D$13,6,MATCH($B66,'MOA role matrix'!$B$1:$D$1,0))="Fill","Board member 2, ","")IF(INDEX('MOA role matrix'!$B$2:$D$13,6,MATCH($B66,'MOA role matrix'!$B$1:$D$1,0))="If finance","Board member 2 (if finance), ","")IF(INDEX('MOA role matrix'!$B$2:$D$13,6,MATCH($B66,'MOA role matrix'!$B$1:$D$1,0))="Auto","Board member 2 (auto), ","")IF(INDEX('MOA role matrix'!$B$2:$D$13,7,MATCH($B66,'MOA role matrix'!$B$1:$D$1,0))="Fill","LOA holder 1, ","")IF(INDEX('MOA role matrix'!$B$2:$D$13,7,MATCH($B66,'MOA role matrix'!$B$1:$D$1,0))="If finance","LOA holder 1 (if finance), ","")IF(INDEX('MOA role matrix'!$B$2:$D$13,7,MATCH($B66,'MOA role matrix'!$B$1:$D$1,0))="Auto","LOA holder 1 (auto), ","")IF(INDEX('MOA role matrix'!$B$2:$D$13,8,MATCH($B66,'MOA role matrix'!$B$1:$D$1,0))="Fill","LOA holder 2, ","")IF(INDEX('MOA role matrix'!$B$2:$D$13,8,MATCH($B66,'MOA role matrix'!$B$1:$D$1,0))="If finance","LOA holder 2 (if finance), ","")IF(INDEX('MOA role matrix'!$B$2:$D$13,8,MATCH($B66,'MOA role matrix'!$B$1:$D$1,0))="Auto","LOA holder 2 (auto), ","")IF(INDEX('MOA role matrix'!$B$2:$D$13,9,MATCH($B66,'MOA role matrix'!$B$1:$D$1,0))="Fill","Senior Manager CoSec, ","")IF(INDEX('MOA role matrix'!$B$2:$D$13,9,MATCH($B66,'MOA role matrix'!$B$1:$D$1,0))="If finance","Senior Manager CoSec (if finance), ","")IF(INDEX('MOA role matrix'!$B$2:$D$13,9,MATCH($B66,'MOA role matrix'!$B$1:$D$1,0))="Auto","Senior Manager CoSec (auto), ","")IF(INDEX('MOA role matrix'!$B$2:$D$13,10,MATCH($B66,'MOA role matrix'!$B$1:$D$1,0))="Fill","Division MOI managers, ","")IF(INDEX('MOA role matrix'!$B$2:$D$13,10,MATCH($B66,'MOA role matrix'!$B$1:$D$1,0))="If finance","Division MOI managers (if finance), ","")IF(INDEX('MOA role matrix'!$B$2:$D$13,10,MATCH($B66,'MOA role matrix'!$B$1:$D$1,0))="Auto","Division MOI managers (auto), ","")IF(INDEX('MOA role matrix'!$B$2:$D$13,11,MATCH($B66,'MOA role matrix'!$B$1:$D$1,0))="Fill","Ms Teh (bank), ","")IF(INDEX('MOA role matrix'!$B$2:$D$13,11,MATCH($B66,'MOA role matrix'!$B$1:$D$1,0))="If finance","Ms Teh (bank) (if finance), ","")IF(INDEX('MOA role matrix'!$B$2:$D$13,11,MATCH($B66,'MOA role matrix'!$B$1:$D$1,0))="Auto","Ms Teh (bank) (auto), ","")IF(INDEX('MOA role matrix'!$B$2:$D$13,12,MATCH($B66,'MOA role matrix'!$B$1:$D$1,0))="Fill","DLCM, ","")IF(INDEX('MOA role matrix'!$B$2:$D$13,12,MATCH($B66,'MOA role matrix'!$B$1:$D$1,0))="If finance","DLCM (if finance), ","")IF(INDEX('MOA role matrix'!$B$2:$D$13,12,MATCH($B66,'MOA role matrix'!$B$1:$D$1,0))="Auto","DLCM (auto), ","")))</f>
        <v/>
      </c>
      <c r="D66" s="5">
        <f>IF($A66="","",IFERROR(INDEX(FILTER('Client contacts'!$B$2:$B$500,('Client contacts'!$A$2:$A$500=$A66)*('Client contacts'!$H$2:$H$500="Y"),""),1),""))</f>
        <v/>
      </c>
      <c r="E66" s="5">
        <f>IF($A66="","",IFERROR(INDEX(FILTER('Client contacts'!$C$2:$C$500,('Client contacts'!$A$2:$A$500=$A66)*('Client contacts'!$H$2:$H$500="Y"),""),1),""))</f>
        <v/>
      </c>
      <c r="F66" s="5">
        <f>IF($A66="","",IFERROR(INDEX(FILTER('Client contacts'!$B$2:$B$500,('Client contacts'!$A$2:$A$500=$A66)*('Client contacts'!$G$2:$G$500="Y"),""),1),""))</f>
        <v/>
      </c>
      <c r="G66" s="5">
        <f>IF($A66="","",IFERROR(INDEX(FILTER('Client contacts'!$C$2:$C$500,('Client contacts'!$A$2:$A$500=$A66)*('Client contacts'!$G$2:$G$500="Y"),""),1),""))</f>
        <v/>
      </c>
      <c r="H66" s="5">
        <f>IF($A66="","",IFERROR(INDEX(FILTER('Client contacts'!$B$2:$B$500,('Client contacts'!$A$2:$A$500=$A66)*('Client contacts'!$G$2:$G$500="Y"),""),2),""))</f>
        <v/>
      </c>
      <c r="I66" s="5">
        <f>IF($A66="","",IFERROR(INDEX(FILTER('Client contacts'!$C$2:$C$500,('Client contacts'!$A$2:$A$500=$A66)*('Client contacts'!$G$2:$G$500="Y"),""),2),""))</f>
        <v/>
      </c>
      <c r="J66" s="8" t="n"/>
      <c r="K66" s="8" t="n"/>
      <c r="L66" s="8" t="n"/>
      <c r="M66" s="8" t="n"/>
      <c r="N66" s="8" t="n"/>
      <c r="O66" s="8" t="n"/>
      <c r="P66" s="8" t="n"/>
      <c r="Q66" s="8" t="n"/>
      <c r="R66" s="5">
        <f>IF($A66="","",IFERROR(INDEX(Companies!$I$2:$I$500,MATCH($A66,Companies!$A$2:$A$500,0)),""))</f>
        <v/>
      </c>
      <c r="S66" s="8" t="n"/>
      <c r="T66" s="8" t="n"/>
      <c r="U66" s="8" t="n"/>
      <c r="V66" s="8" t="n"/>
      <c r="W66" s="8" t="n"/>
    </row>
    <row r="67">
      <c r="C67" s="5">
        <f>IF($B67="","",TRIM(IF(INDEX('MOA role matrix'!$B$2:$D$13,1,MATCH($B67,'MOA role matrix'!$B$1:$D$1,0))="Fill","Project initiator, ","")IF(INDEX('MOA role matrix'!$B$2:$D$13,1,MATCH($B67,'MOA role matrix'!$B$1:$D$1,0))="If finance","Project initiator (if finance), ","")IF(INDEX('MOA role matrix'!$B$2:$D$13,1,MATCH($B67,'MOA role matrix'!$B$1:$D$1,0))="Auto","Project initiator (auto), ","")IF(INDEX('MOA role matrix'!$B$2:$D$13,2,MATCH($B67,'MOA role matrix'!$B$1:$D$1,0))="Fill","MOA signers (client), ","")IF(INDEX('MOA role matrix'!$B$2:$D$13,2,MATCH($B67,'MOA role matrix'!$B$1:$D$1,0))="If finance","MOA signers (client) (if finance), ","")IF(INDEX('MOA role matrix'!$B$2:$D$13,2,MATCH($B67,'MOA role matrix'!$B$1:$D$1,0))="Auto","MOA signers (client) (auto), ","")IF(INDEX('MOA role matrix'!$B$2:$D$13,3,MATCH($B67,'MOA role matrix'!$B$1:$D$1,0))="Fill","CFO / Head of Finance, ","")IF(INDEX('MOA role matrix'!$B$2:$D$13,3,MATCH($B67,'MOA role matrix'!$B$1:$D$1,0))="If finance","CFO / Head of Finance (if finance), ","")IF(INDEX('MOA role matrix'!$B$2:$D$13,3,MATCH($B67,'MOA role matrix'!$B$1:$D$1,0))="Auto","CFO / Head of Finance (auto), ","")IF(INDEX('MOA role matrix'!$B$2:$D$13,4,MATCH($B67,'MOA role matrix'!$B$1:$D$1,0))="Fill","CEO / COO / GM, ","")IF(INDEX('MOA role matrix'!$B$2:$D$13,4,MATCH($B67,'MOA role matrix'!$B$1:$D$1,0))="If finance","CEO / COO / GM (if finance), ","")IF(INDEX('MOA role matrix'!$B$2:$D$13,4,MATCH($B67,'MOA role matrix'!$B$1:$D$1,0))="Auto","CEO / COO / GM (auto), ","")IF(INDEX('MOA role matrix'!$B$2:$D$13,5,MATCH($B67,'MOA role matrix'!$B$1:$D$1,0))="Fill","Board member 1, ","")IF(INDEX('MOA role matrix'!$B$2:$D$13,5,MATCH($B67,'MOA role matrix'!$B$1:$D$1,0))="If finance","Board member 1 (if finance), ","")IF(INDEX('MOA role matrix'!$B$2:$D$13,5,MATCH($B67,'MOA role matrix'!$B$1:$D$1,0))="Auto","Board member 1 (auto), ","")IF(INDEX('MOA role matrix'!$B$2:$D$13,6,MATCH($B67,'MOA role matrix'!$B$1:$D$1,0))="Fill","Board member 2, ","")IF(INDEX('MOA role matrix'!$B$2:$D$13,6,MATCH($B67,'MOA role matrix'!$B$1:$D$1,0))="If finance","Board member 2 (if finance), ","")IF(INDEX('MOA role matrix'!$B$2:$D$13,6,MATCH($B67,'MOA role matrix'!$B$1:$D$1,0))="Auto","Board member 2 (auto), ","")IF(INDEX('MOA role matrix'!$B$2:$D$13,7,MATCH($B67,'MOA role matrix'!$B$1:$D$1,0))="Fill","LOA holder 1, ","")IF(INDEX('MOA role matrix'!$B$2:$D$13,7,MATCH($B67,'MOA role matrix'!$B$1:$D$1,0))="If finance","LOA holder 1 (if finance), ","")IF(INDEX('MOA role matrix'!$B$2:$D$13,7,MATCH($B67,'MOA role matrix'!$B$1:$D$1,0))="Auto","LOA holder 1 (auto), ","")IF(INDEX('MOA role matrix'!$B$2:$D$13,8,MATCH($B67,'MOA role matrix'!$B$1:$D$1,0))="Fill","LOA holder 2, ","")IF(INDEX('MOA role matrix'!$B$2:$D$13,8,MATCH($B67,'MOA role matrix'!$B$1:$D$1,0))="If finance","LOA holder 2 (if finance), ","")IF(INDEX('MOA role matrix'!$B$2:$D$13,8,MATCH($B67,'MOA role matrix'!$B$1:$D$1,0))="Auto","LOA holder 2 (auto), ","")IF(INDEX('MOA role matrix'!$B$2:$D$13,9,MATCH($B67,'MOA role matrix'!$B$1:$D$1,0))="Fill","Senior Manager CoSec, ","")IF(INDEX('MOA role matrix'!$B$2:$D$13,9,MATCH($B67,'MOA role matrix'!$B$1:$D$1,0))="If finance","Senior Manager CoSec (if finance), ","")IF(INDEX('MOA role matrix'!$B$2:$D$13,9,MATCH($B67,'MOA role matrix'!$B$1:$D$1,0))="Auto","Senior Manager CoSec (auto), ","")IF(INDEX('MOA role matrix'!$B$2:$D$13,10,MATCH($B67,'MOA role matrix'!$B$1:$D$1,0))="Fill","Division MOI managers, ","")IF(INDEX('MOA role matrix'!$B$2:$D$13,10,MATCH($B67,'MOA role matrix'!$B$1:$D$1,0))="If finance","Division MOI managers (if finance), ","")IF(INDEX('MOA role matrix'!$B$2:$D$13,10,MATCH($B67,'MOA role matrix'!$B$1:$D$1,0))="Auto","Division MOI managers (auto), ","")IF(INDEX('MOA role matrix'!$B$2:$D$13,11,MATCH($B67,'MOA role matrix'!$B$1:$D$1,0))="Fill","Ms Teh (bank), ","")IF(INDEX('MOA role matrix'!$B$2:$D$13,11,MATCH($B67,'MOA role matrix'!$B$1:$D$1,0))="If finance","Ms Teh (bank) (if finance), ","")IF(INDEX('MOA role matrix'!$B$2:$D$13,11,MATCH($B67,'MOA role matrix'!$B$1:$D$1,0))="Auto","Ms Teh (bank) (auto), ","")IF(INDEX('MOA role matrix'!$B$2:$D$13,12,MATCH($B67,'MOA role matrix'!$B$1:$D$1,0))="Fill","DLCM, ","")IF(INDEX('MOA role matrix'!$B$2:$D$13,12,MATCH($B67,'MOA role matrix'!$B$1:$D$1,0))="If finance","DLCM (if finance), ","")IF(INDEX('MOA role matrix'!$B$2:$D$13,12,MATCH($B67,'MOA role matrix'!$B$1:$D$1,0))="Auto","DLCM (auto), ","")))</f>
        <v/>
      </c>
      <c r="D67" s="5">
        <f>IF($A67="","",IFERROR(INDEX(FILTER('Client contacts'!$B$2:$B$500,('Client contacts'!$A$2:$A$500=$A67)*('Client contacts'!$H$2:$H$500="Y"),""),1),""))</f>
        <v/>
      </c>
      <c r="E67" s="5">
        <f>IF($A67="","",IFERROR(INDEX(FILTER('Client contacts'!$C$2:$C$500,('Client contacts'!$A$2:$A$500=$A67)*('Client contacts'!$H$2:$H$500="Y"),""),1),""))</f>
        <v/>
      </c>
      <c r="F67" s="5">
        <f>IF($A67="","",IFERROR(INDEX(FILTER('Client contacts'!$B$2:$B$500,('Client contacts'!$A$2:$A$500=$A67)*('Client contacts'!$G$2:$G$500="Y"),""),1),""))</f>
        <v/>
      </c>
      <c r="G67" s="5">
        <f>IF($A67="","",IFERROR(INDEX(FILTER('Client contacts'!$C$2:$C$500,('Client contacts'!$A$2:$A$500=$A67)*('Client contacts'!$G$2:$G$500="Y"),""),1),""))</f>
        <v/>
      </c>
      <c r="H67" s="5">
        <f>IF($A67="","",IFERROR(INDEX(FILTER('Client contacts'!$B$2:$B$500,('Client contacts'!$A$2:$A$500=$A67)*('Client contacts'!$G$2:$G$500="Y"),""),2),""))</f>
        <v/>
      </c>
      <c r="I67" s="5">
        <f>IF($A67="","",IFERROR(INDEX(FILTER('Client contacts'!$C$2:$C$500,('Client contacts'!$A$2:$A$500=$A67)*('Client contacts'!$G$2:$G$500="Y"),""),2),""))</f>
        <v/>
      </c>
      <c r="J67" s="8" t="n"/>
      <c r="K67" s="8" t="n"/>
      <c r="L67" s="8" t="n"/>
      <c r="M67" s="8" t="n"/>
      <c r="N67" s="8" t="n"/>
      <c r="O67" s="8" t="n"/>
      <c r="P67" s="8" t="n"/>
      <c r="Q67" s="8" t="n"/>
      <c r="R67" s="5">
        <f>IF($A67="","",IFERROR(INDEX(Companies!$I$2:$I$500,MATCH($A67,Companies!$A$2:$A$500,0)),""))</f>
        <v/>
      </c>
      <c r="S67" s="8" t="n"/>
      <c r="T67" s="8" t="n"/>
      <c r="U67" s="8" t="n"/>
      <c r="V67" s="8" t="n"/>
      <c r="W67" s="8" t="n"/>
    </row>
    <row r="68">
      <c r="C68" s="5">
        <f>IF($B68="","",TRIM(IF(INDEX('MOA role matrix'!$B$2:$D$13,1,MATCH($B68,'MOA role matrix'!$B$1:$D$1,0))="Fill","Project initiator, ","")IF(INDEX('MOA role matrix'!$B$2:$D$13,1,MATCH($B68,'MOA role matrix'!$B$1:$D$1,0))="If finance","Project initiator (if finance), ","")IF(INDEX('MOA role matrix'!$B$2:$D$13,1,MATCH($B68,'MOA role matrix'!$B$1:$D$1,0))="Auto","Project initiator (auto), ","")IF(INDEX('MOA role matrix'!$B$2:$D$13,2,MATCH($B68,'MOA role matrix'!$B$1:$D$1,0))="Fill","MOA signers (client), ","")IF(INDEX('MOA role matrix'!$B$2:$D$13,2,MATCH($B68,'MOA role matrix'!$B$1:$D$1,0))="If finance","MOA signers (client) (if finance), ","")IF(INDEX('MOA role matrix'!$B$2:$D$13,2,MATCH($B68,'MOA role matrix'!$B$1:$D$1,0))="Auto","MOA signers (client) (auto), ","")IF(INDEX('MOA role matrix'!$B$2:$D$13,3,MATCH($B68,'MOA role matrix'!$B$1:$D$1,0))="Fill","CFO / Head of Finance, ","")IF(INDEX('MOA role matrix'!$B$2:$D$13,3,MATCH($B68,'MOA role matrix'!$B$1:$D$1,0))="If finance","CFO / Head of Finance (if finance), ","")IF(INDEX('MOA role matrix'!$B$2:$D$13,3,MATCH($B68,'MOA role matrix'!$B$1:$D$1,0))="Auto","CFO / Head of Finance (auto), ","")IF(INDEX('MOA role matrix'!$B$2:$D$13,4,MATCH($B68,'MOA role matrix'!$B$1:$D$1,0))="Fill","CEO / COO / GM, ","")IF(INDEX('MOA role matrix'!$B$2:$D$13,4,MATCH($B68,'MOA role matrix'!$B$1:$D$1,0))="If finance","CEO / COO / GM (if finance), ","")IF(INDEX('MOA role matrix'!$B$2:$D$13,4,MATCH($B68,'MOA role matrix'!$B$1:$D$1,0))="Auto","CEO / COO / GM (auto), ","")IF(INDEX('MOA role matrix'!$B$2:$D$13,5,MATCH($B68,'MOA role matrix'!$B$1:$D$1,0))="Fill","Board member 1, ","")IF(INDEX('MOA role matrix'!$B$2:$D$13,5,MATCH($B68,'MOA role matrix'!$B$1:$D$1,0))="If finance","Board member 1 (if finance), ","")IF(INDEX('MOA role matrix'!$B$2:$D$13,5,MATCH($B68,'MOA role matrix'!$B$1:$D$1,0))="Auto","Board member 1 (auto), ","")IF(INDEX('MOA role matrix'!$B$2:$D$13,6,MATCH($B68,'MOA role matrix'!$B$1:$D$1,0))="Fill","Board member 2, ","")IF(INDEX('MOA role matrix'!$B$2:$D$13,6,MATCH($B68,'MOA role matrix'!$B$1:$D$1,0))="If finance","Board member 2 (if finance), ","")IF(INDEX('MOA role matrix'!$B$2:$D$13,6,MATCH($B68,'MOA role matrix'!$B$1:$D$1,0))="Auto","Board member 2 (auto), ","")IF(INDEX('MOA role matrix'!$B$2:$D$13,7,MATCH($B68,'MOA role matrix'!$B$1:$D$1,0))="Fill","LOA holder 1, ","")IF(INDEX('MOA role matrix'!$B$2:$D$13,7,MATCH($B68,'MOA role matrix'!$B$1:$D$1,0))="If finance","LOA holder 1 (if finance), ","")IF(INDEX('MOA role matrix'!$B$2:$D$13,7,MATCH($B68,'MOA role matrix'!$B$1:$D$1,0))="Auto","LOA holder 1 (auto), ","")IF(INDEX('MOA role matrix'!$B$2:$D$13,8,MATCH($B68,'MOA role matrix'!$B$1:$D$1,0))="Fill","LOA holder 2, ","")IF(INDEX('MOA role matrix'!$B$2:$D$13,8,MATCH($B68,'MOA role matrix'!$B$1:$D$1,0))="If finance","LOA holder 2 (if finance), ","")IF(INDEX('MOA role matrix'!$B$2:$D$13,8,MATCH($B68,'MOA role matrix'!$B$1:$D$1,0))="Auto","LOA holder 2 (auto), ","")IF(INDEX('MOA role matrix'!$B$2:$D$13,9,MATCH($B68,'MOA role matrix'!$B$1:$D$1,0))="Fill","Senior Manager CoSec, ","")IF(INDEX('MOA role matrix'!$B$2:$D$13,9,MATCH($B68,'MOA role matrix'!$B$1:$D$1,0))="If finance","Senior Manager CoSec (if finance), ","")IF(INDEX('MOA role matrix'!$B$2:$D$13,9,MATCH($B68,'MOA role matrix'!$B$1:$D$1,0))="Auto","Senior Manager CoSec (auto), ","")IF(INDEX('MOA role matrix'!$B$2:$D$13,10,MATCH($B68,'MOA role matrix'!$B$1:$D$1,0))="Fill","Division MOI managers, ","")IF(INDEX('MOA role matrix'!$B$2:$D$13,10,MATCH($B68,'MOA role matrix'!$B$1:$D$1,0))="If finance","Division MOI managers (if finance), ","")IF(INDEX('MOA role matrix'!$B$2:$D$13,10,MATCH($B68,'MOA role matrix'!$B$1:$D$1,0))="Auto","Division MOI managers (auto), ","")IF(INDEX('MOA role matrix'!$B$2:$D$13,11,MATCH($B68,'MOA role matrix'!$B$1:$D$1,0))="Fill","Ms Teh (bank), ","")IF(INDEX('MOA role matrix'!$B$2:$D$13,11,MATCH($B68,'MOA role matrix'!$B$1:$D$1,0))="If finance","Ms Teh (bank) (if finance), ","")IF(INDEX('MOA role matrix'!$B$2:$D$13,11,MATCH($B68,'MOA role matrix'!$B$1:$D$1,0))="Auto","Ms Teh (bank) (auto), ","")IF(INDEX('MOA role matrix'!$B$2:$D$13,12,MATCH($B68,'MOA role matrix'!$B$1:$D$1,0))="Fill","DLCM, ","")IF(INDEX('MOA role matrix'!$B$2:$D$13,12,MATCH($B68,'MOA role matrix'!$B$1:$D$1,0))="If finance","DLCM (if finance), ","")IF(INDEX('MOA role matrix'!$B$2:$D$13,12,MATCH($B68,'MOA role matrix'!$B$1:$D$1,0))="Auto","DLCM (auto), ","")))</f>
        <v/>
      </c>
      <c r="D68" s="5">
        <f>IF($A68="","",IFERROR(INDEX(FILTER('Client contacts'!$B$2:$B$500,('Client contacts'!$A$2:$A$500=$A68)*('Client contacts'!$H$2:$H$500="Y"),""),1),""))</f>
        <v/>
      </c>
      <c r="E68" s="5">
        <f>IF($A68="","",IFERROR(INDEX(FILTER('Client contacts'!$C$2:$C$500,('Client contacts'!$A$2:$A$500=$A68)*('Client contacts'!$H$2:$H$500="Y"),""),1),""))</f>
        <v/>
      </c>
      <c r="F68" s="5">
        <f>IF($A68="","",IFERROR(INDEX(FILTER('Client contacts'!$B$2:$B$500,('Client contacts'!$A$2:$A$500=$A68)*('Client contacts'!$G$2:$G$500="Y"),""),1),""))</f>
        <v/>
      </c>
      <c r="G68" s="5">
        <f>IF($A68="","",IFERROR(INDEX(FILTER('Client contacts'!$C$2:$C$500,('Client contacts'!$A$2:$A$500=$A68)*('Client contacts'!$G$2:$G$500="Y"),""),1),""))</f>
        <v/>
      </c>
      <c r="H68" s="5">
        <f>IF($A68="","",IFERROR(INDEX(FILTER('Client contacts'!$B$2:$B$500,('Client contacts'!$A$2:$A$500=$A68)*('Client contacts'!$G$2:$G$500="Y"),""),2),""))</f>
        <v/>
      </c>
      <c r="I68" s="5">
        <f>IF($A68="","",IFERROR(INDEX(FILTER('Client contacts'!$C$2:$C$500,('Client contacts'!$A$2:$A$500=$A68)*('Client contacts'!$G$2:$G$500="Y"),""),2),""))</f>
        <v/>
      </c>
      <c r="J68" s="8" t="n"/>
      <c r="K68" s="8" t="n"/>
      <c r="L68" s="8" t="n"/>
      <c r="M68" s="8" t="n"/>
      <c r="N68" s="8" t="n"/>
      <c r="O68" s="8" t="n"/>
      <c r="P68" s="8" t="n"/>
      <c r="Q68" s="8" t="n"/>
      <c r="R68" s="5">
        <f>IF($A68="","",IFERROR(INDEX(Companies!$I$2:$I$500,MATCH($A68,Companies!$A$2:$A$500,0)),""))</f>
        <v/>
      </c>
      <c r="S68" s="8" t="n"/>
      <c r="T68" s="8" t="n"/>
      <c r="U68" s="8" t="n"/>
      <c r="V68" s="8" t="n"/>
      <c r="W68" s="8" t="n"/>
    </row>
    <row r="69">
      <c r="C69" s="5">
        <f>IF($B69="","",TRIM(IF(INDEX('MOA role matrix'!$B$2:$D$13,1,MATCH($B69,'MOA role matrix'!$B$1:$D$1,0))="Fill","Project initiator, ","")IF(INDEX('MOA role matrix'!$B$2:$D$13,1,MATCH($B69,'MOA role matrix'!$B$1:$D$1,0))="If finance","Project initiator (if finance), ","")IF(INDEX('MOA role matrix'!$B$2:$D$13,1,MATCH($B69,'MOA role matrix'!$B$1:$D$1,0))="Auto","Project initiator (auto), ","")IF(INDEX('MOA role matrix'!$B$2:$D$13,2,MATCH($B69,'MOA role matrix'!$B$1:$D$1,0))="Fill","MOA signers (client), ","")IF(INDEX('MOA role matrix'!$B$2:$D$13,2,MATCH($B69,'MOA role matrix'!$B$1:$D$1,0))="If finance","MOA signers (client) (if finance), ","")IF(INDEX('MOA role matrix'!$B$2:$D$13,2,MATCH($B69,'MOA role matrix'!$B$1:$D$1,0))="Auto","MOA signers (client) (auto), ","")IF(INDEX('MOA role matrix'!$B$2:$D$13,3,MATCH($B69,'MOA role matrix'!$B$1:$D$1,0))="Fill","CFO / Head of Finance, ","")IF(INDEX('MOA role matrix'!$B$2:$D$13,3,MATCH($B69,'MOA role matrix'!$B$1:$D$1,0))="If finance","CFO / Head of Finance (if finance), ","")IF(INDEX('MOA role matrix'!$B$2:$D$13,3,MATCH($B69,'MOA role matrix'!$B$1:$D$1,0))="Auto","CFO / Head of Finance (auto), ","")IF(INDEX('MOA role matrix'!$B$2:$D$13,4,MATCH($B69,'MOA role matrix'!$B$1:$D$1,0))="Fill","CEO / COO / GM, ","")IF(INDEX('MOA role matrix'!$B$2:$D$13,4,MATCH($B69,'MOA role matrix'!$B$1:$D$1,0))="If finance","CEO / COO / GM (if finance), ","")IF(INDEX('MOA role matrix'!$B$2:$D$13,4,MATCH($B69,'MOA role matrix'!$B$1:$D$1,0))="Auto","CEO / COO / GM (auto), ","")IF(INDEX('MOA role matrix'!$B$2:$D$13,5,MATCH($B69,'MOA role matrix'!$B$1:$D$1,0))="Fill","Board member 1, ","")IF(INDEX('MOA role matrix'!$B$2:$D$13,5,MATCH($B69,'MOA role matrix'!$B$1:$D$1,0))="If finance","Board member 1 (if finance), ","")IF(INDEX('MOA role matrix'!$B$2:$D$13,5,MATCH($B69,'MOA role matrix'!$B$1:$D$1,0))="Auto","Board member 1 (auto), ","")IF(INDEX('MOA role matrix'!$B$2:$D$13,6,MATCH($B69,'MOA role matrix'!$B$1:$D$1,0))="Fill","Board member 2, ","")IF(INDEX('MOA role matrix'!$B$2:$D$13,6,MATCH($B69,'MOA role matrix'!$B$1:$D$1,0))="If finance","Board member 2 (if finance), ","")IF(INDEX('MOA role matrix'!$B$2:$D$13,6,MATCH($B69,'MOA role matrix'!$B$1:$D$1,0))="Auto","Board member 2 (auto), ","")IF(INDEX('MOA role matrix'!$B$2:$D$13,7,MATCH($B69,'MOA role matrix'!$B$1:$D$1,0))="Fill","LOA holder 1, ","")IF(INDEX('MOA role matrix'!$B$2:$D$13,7,MATCH($B69,'MOA role matrix'!$B$1:$D$1,0))="If finance","LOA holder 1 (if finance), ","")IF(INDEX('MOA role matrix'!$B$2:$D$13,7,MATCH($B69,'MOA role matrix'!$B$1:$D$1,0))="Auto","LOA holder 1 (auto), ","")IF(INDEX('MOA role matrix'!$B$2:$D$13,8,MATCH($B69,'MOA role matrix'!$B$1:$D$1,0))="Fill","LOA holder 2, ","")IF(INDEX('MOA role matrix'!$B$2:$D$13,8,MATCH($B69,'MOA role matrix'!$B$1:$D$1,0))="If finance","LOA holder 2 (if finance), ","")IF(INDEX('MOA role matrix'!$B$2:$D$13,8,MATCH($B69,'MOA role matrix'!$B$1:$D$1,0))="Auto","LOA holder 2 (auto), ","")IF(INDEX('MOA role matrix'!$B$2:$D$13,9,MATCH($B69,'MOA role matrix'!$B$1:$D$1,0))="Fill","Senior Manager CoSec, ","")IF(INDEX('MOA role matrix'!$B$2:$D$13,9,MATCH($B69,'MOA role matrix'!$B$1:$D$1,0))="If finance","Senior Manager CoSec (if finance), ","")IF(INDEX('MOA role matrix'!$B$2:$D$13,9,MATCH($B69,'MOA role matrix'!$B$1:$D$1,0))="Auto","Senior Manager CoSec (auto), ","")IF(INDEX('MOA role matrix'!$B$2:$D$13,10,MATCH($B69,'MOA role matrix'!$B$1:$D$1,0))="Fill","Division MOI managers, ","")IF(INDEX('MOA role matrix'!$B$2:$D$13,10,MATCH($B69,'MOA role matrix'!$B$1:$D$1,0))="If finance","Division MOI managers (if finance), ","")IF(INDEX('MOA role matrix'!$B$2:$D$13,10,MATCH($B69,'MOA role matrix'!$B$1:$D$1,0))="Auto","Division MOI managers (auto), ","")IF(INDEX('MOA role matrix'!$B$2:$D$13,11,MATCH($B69,'MOA role matrix'!$B$1:$D$1,0))="Fill","Ms Teh (bank), ","")IF(INDEX('MOA role matrix'!$B$2:$D$13,11,MATCH($B69,'MOA role matrix'!$B$1:$D$1,0))="If finance","Ms Teh (bank) (if finance), ","")IF(INDEX('MOA role matrix'!$B$2:$D$13,11,MATCH($B69,'MOA role matrix'!$B$1:$D$1,0))="Auto","Ms Teh (bank) (auto), ","")IF(INDEX('MOA role matrix'!$B$2:$D$13,12,MATCH($B69,'MOA role matrix'!$B$1:$D$1,0))="Fill","DLCM, ","")IF(INDEX('MOA role matrix'!$B$2:$D$13,12,MATCH($B69,'MOA role matrix'!$B$1:$D$1,0))="If finance","DLCM (if finance), ","")IF(INDEX('MOA role matrix'!$B$2:$D$13,12,MATCH($B69,'MOA role matrix'!$B$1:$D$1,0))="Auto","DLCM (auto), ","")))</f>
        <v/>
      </c>
      <c r="D69" s="5">
        <f>IF($A69="","",IFERROR(INDEX(FILTER('Client contacts'!$B$2:$B$500,('Client contacts'!$A$2:$A$500=$A69)*('Client contacts'!$H$2:$H$500="Y"),""),1),""))</f>
        <v/>
      </c>
      <c r="E69" s="5">
        <f>IF($A69="","",IFERROR(INDEX(FILTER('Client contacts'!$C$2:$C$500,('Client contacts'!$A$2:$A$500=$A69)*('Client contacts'!$H$2:$H$500="Y"),""),1),""))</f>
        <v/>
      </c>
      <c r="F69" s="5">
        <f>IF($A69="","",IFERROR(INDEX(FILTER('Client contacts'!$B$2:$B$500,('Client contacts'!$A$2:$A$500=$A69)*('Client contacts'!$G$2:$G$500="Y"),""),1),""))</f>
        <v/>
      </c>
      <c r="G69" s="5">
        <f>IF($A69="","",IFERROR(INDEX(FILTER('Client contacts'!$C$2:$C$500,('Client contacts'!$A$2:$A$500=$A69)*('Client contacts'!$G$2:$G$500="Y"),""),1),""))</f>
        <v/>
      </c>
      <c r="H69" s="5">
        <f>IF($A69="","",IFERROR(INDEX(FILTER('Client contacts'!$B$2:$B$500,('Client contacts'!$A$2:$A$500=$A69)*('Client contacts'!$G$2:$G$500="Y"),""),2),""))</f>
        <v/>
      </c>
      <c r="I69" s="5">
        <f>IF($A69="","",IFERROR(INDEX(FILTER('Client contacts'!$C$2:$C$500,('Client contacts'!$A$2:$A$500=$A69)*('Client contacts'!$G$2:$G$500="Y"),""),2),""))</f>
        <v/>
      </c>
      <c r="J69" s="8" t="n"/>
      <c r="K69" s="8" t="n"/>
      <c r="L69" s="8" t="n"/>
      <c r="M69" s="8" t="n"/>
      <c r="N69" s="8" t="n"/>
      <c r="O69" s="8" t="n"/>
      <c r="P69" s="8" t="n"/>
      <c r="Q69" s="8" t="n"/>
      <c r="R69" s="5">
        <f>IF($A69="","",IFERROR(INDEX(Companies!$I$2:$I$500,MATCH($A69,Companies!$A$2:$A$500,0)),""))</f>
        <v/>
      </c>
      <c r="S69" s="8" t="n"/>
      <c r="T69" s="8" t="n"/>
      <c r="U69" s="8" t="n"/>
      <c r="V69" s="8" t="n"/>
      <c r="W69" s="8" t="n"/>
    </row>
    <row r="70">
      <c r="C70" s="5">
        <f>IF($B70="","",TRIM(IF(INDEX('MOA role matrix'!$B$2:$D$13,1,MATCH($B70,'MOA role matrix'!$B$1:$D$1,0))="Fill","Project initiator, ","")IF(INDEX('MOA role matrix'!$B$2:$D$13,1,MATCH($B70,'MOA role matrix'!$B$1:$D$1,0))="If finance","Project initiator (if finance), ","")IF(INDEX('MOA role matrix'!$B$2:$D$13,1,MATCH($B70,'MOA role matrix'!$B$1:$D$1,0))="Auto","Project initiator (auto), ","")IF(INDEX('MOA role matrix'!$B$2:$D$13,2,MATCH($B70,'MOA role matrix'!$B$1:$D$1,0))="Fill","MOA signers (client), ","")IF(INDEX('MOA role matrix'!$B$2:$D$13,2,MATCH($B70,'MOA role matrix'!$B$1:$D$1,0))="If finance","MOA signers (client) (if finance), ","")IF(INDEX('MOA role matrix'!$B$2:$D$13,2,MATCH($B70,'MOA role matrix'!$B$1:$D$1,0))="Auto","MOA signers (client) (auto), ","")IF(INDEX('MOA role matrix'!$B$2:$D$13,3,MATCH($B70,'MOA role matrix'!$B$1:$D$1,0))="Fill","CFO / Head of Finance, ","")IF(INDEX('MOA role matrix'!$B$2:$D$13,3,MATCH($B70,'MOA role matrix'!$B$1:$D$1,0))="If finance","CFO / Head of Finance (if finance), ","")IF(INDEX('MOA role matrix'!$B$2:$D$13,3,MATCH($B70,'MOA role matrix'!$B$1:$D$1,0))="Auto","CFO / Head of Finance (auto), ","")IF(INDEX('MOA role matrix'!$B$2:$D$13,4,MATCH($B70,'MOA role matrix'!$B$1:$D$1,0))="Fill","CEO / COO / GM, ","")IF(INDEX('MOA role matrix'!$B$2:$D$13,4,MATCH($B70,'MOA role matrix'!$B$1:$D$1,0))="If finance","CEO / COO / GM (if finance), ","")IF(INDEX('MOA role matrix'!$B$2:$D$13,4,MATCH($B70,'MOA role matrix'!$B$1:$D$1,0))="Auto","CEO / COO / GM (auto), ","")IF(INDEX('MOA role matrix'!$B$2:$D$13,5,MATCH($B70,'MOA role matrix'!$B$1:$D$1,0))="Fill","Board member 1, ","")IF(INDEX('MOA role matrix'!$B$2:$D$13,5,MATCH($B70,'MOA role matrix'!$B$1:$D$1,0))="If finance","Board member 1 (if finance), ","")IF(INDEX('MOA role matrix'!$B$2:$D$13,5,MATCH($B70,'MOA role matrix'!$B$1:$D$1,0))="Auto","Board member 1 (auto), ","")IF(INDEX('MOA role matrix'!$B$2:$D$13,6,MATCH($B70,'MOA role matrix'!$B$1:$D$1,0))="Fill","Board member 2, ","")IF(INDEX('MOA role matrix'!$B$2:$D$13,6,MATCH($B70,'MOA role matrix'!$B$1:$D$1,0))="If finance","Board member 2 (if finance), ","")IF(INDEX('MOA role matrix'!$B$2:$D$13,6,MATCH($B70,'MOA role matrix'!$B$1:$D$1,0))="Auto","Board member 2 (auto), ","")IF(INDEX('MOA role matrix'!$B$2:$D$13,7,MATCH($B70,'MOA role matrix'!$B$1:$D$1,0))="Fill","LOA holder 1, ","")IF(INDEX('MOA role matrix'!$B$2:$D$13,7,MATCH($B70,'MOA role matrix'!$B$1:$D$1,0))="If finance","LOA holder 1 (if finance), ","")IF(INDEX('MOA role matrix'!$B$2:$D$13,7,MATCH($B70,'MOA role matrix'!$B$1:$D$1,0))="Auto","LOA holder 1 (auto), ","")IF(INDEX('MOA role matrix'!$B$2:$D$13,8,MATCH($B70,'MOA role matrix'!$B$1:$D$1,0))="Fill","LOA holder 2, ","")IF(INDEX('MOA role matrix'!$B$2:$D$13,8,MATCH($B70,'MOA role matrix'!$B$1:$D$1,0))="If finance","LOA holder 2 (if finance), ","")IF(INDEX('MOA role matrix'!$B$2:$D$13,8,MATCH($B70,'MOA role matrix'!$B$1:$D$1,0))="Auto","LOA holder 2 (auto), ","")IF(INDEX('MOA role matrix'!$B$2:$D$13,9,MATCH($B70,'MOA role matrix'!$B$1:$D$1,0))="Fill","Senior Manager CoSec, ","")IF(INDEX('MOA role matrix'!$B$2:$D$13,9,MATCH($B70,'MOA role matrix'!$B$1:$D$1,0))="If finance","Senior Manager CoSec (if finance), ","")IF(INDEX('MOA role matrix'!$B$2:$D$13,9,MATCH($B70,'MOA role matrix'!$B$1:$D$1,0))="Auto","Senior Manager CoSec (auto), ","")IF(INDEX('MOA role matrix'!$B$2:$D$13,10,MATCH($B70,'MOA role matrix'!$B$1:$D$1,0))="Fill","Division MOI managers, ","")IF(INDEX('MOA role matrix'!$B$2:$D$13,10,MATCH($B70,'MOA role matrix'!$B$1:$D$1,0))="If finance","Division MOI managers (if finance), ","")IF(INDEX('MOA role matrix'!$B$2:$D$13,10,MATCH($B70,'MOA role matrix'!$B$1:$D$1,0))="Auto","Division MOI managers (auto), ","")IF(INDEX('MOA role matrix'!$B$2:$D$13,11,MATCH($B70,'MOA role matrix'!$B$1:$D$1,0))="Fill","Ms Teh (bank), ","")IF(INDEX('MOA role matrix'!$B$2:$D$13,11,MATCH($B70,'MOA role matrix'!$B$1:$D$1,0))="If finance","Ms Teh (bank) (if finance), ","")IF(INDEX('MOA role matrix'!$B$2:$D$13,11,MATCH($B70,'MOA role matrix'!$B$1:$D$1,0))="Auto","Ms Teh (bank) (auto), ","")IF(INDEX('MOA role matrix'!$B$2:$D$13,12,MATCH($B70,'MOA role matrix'!$B$1:$D$1,0))="Fill","DLCM, ","")IF(INDEX('MOA role matrix'!$B$2:$D$13,12,MATCH($B70,'MOA role matrix'!$B$1:$D$1,0))="If finance","DLCM (if finance), ","")IF(INDEX('MOA role matrix'!$B$2:$D$13,12,MATCH($B70,'MOA role matrix'!$B$1:$D$1,0))="Auto","DLCM (auto), ","")))</f>
        <v/>
      </c>
      <c r="D70" s="5">
        <f>IF($A70="","",IFERROR(INDEX(FILTER('Client contacts'!$B$2:$B$500,('Client contacts'!$A$2:$A$500=$A70)*('Client contacts'!$H$2:$H$500="Y"),""),1),""))</f>
        <v/>
      </c>
      <c r="E70" s="5">
        <f>IF($A70="","",IFERROR(INDEX(FILTER('Client contacts'!$C$2:$C$500,('Client contacts'!$A$2:$A$500=$A70)*('Client contacts'!$H$2:$H$500="Y"),""),1),""))</f>
        <v/>
      </c>
      <c r="F70" s="5">
        <f>IF($A70="","",IFERROR(INDEX(FILTER('Client contacts'!$B$2:$B$500,('Client contacts'!$A$2:$A$500=$A70)*('Client contacts'!$G$2:$G$500="Y"),""),1),""))</f>
        <v/>
      </c>
      <c r="G70" s="5">
        <f>IF($A70="","",IFERROR(INDEX(FILTER('Client contacts'!$C$2:$C$500,('Client contacts'!$A$2:$A$500=$A70)*('Client contacts'!$G$2:$G$500="Y"),""),1),""))</f>
        <v/>
      </c>
      <c r="H70" s="5">
        <f>IF($A70="","",IFERROR(INDEX(FILTER('Client contacts'!$B$2:$B$500,('Client contacts'!$A$2:$A$500=$A70)*('Client contacts'!$G$2:$G$500="Y"),""),2),""))</f>
        <v/>
      </c>
      <c r="I70" s="5">
        <f>IF($A70="","",IFERROR(INDEX(FILTER('Client contacts'!$C$2:$C$500,('Client contacts'!$A$2:$A$500=$A70)*('Client contacts'!$G$2:$G$500="Y"),""),2),""))</f>
        <v/>
      </c>
      <c r="J70" s="8" t="n"/>
      <c r="K70" s="8" t="n"/>
      <c r="L70" s="8" t="n"/>
      <c r="M70" s="8" t="n"/>
      <c r="N70" s="8" t="n"/>
      <c r="O70" s="8" t="n"/>
      <c r="P70" s="8" t="n"/>
      <c r="Q70" s="8" t="n"/>
      <c r="R70" s="5">
        <f>IF($A70="","",IFERROR(INDEX(Companies!$I$2:$I$500,MATCH($A70,Companies!$A$2:$A$500,0)),""))</f>
        <v/>
      </c>
      <c r="S70" s="8" t="n"/>
      <c r="T70" s="8" t="n"/>
      <c r="U70" s="8" t="n"/>
      <c r="V70" s="8" t="n"/>
      <c r="W70" s="8" t="n"/>
    </row>
    <row r="71">
      <c r="C71" s="5">
        <f>IF($B71="","",TRIM(IF(INDEX('MOA role matrix'!$B$2:$D$13,1,MATCH($B71,'MOA role matrix'!$B$1:$D$1,0))="Fill","Project initiator, ","")IF(INDEX('MOA role matrix'!$B$2:$D$13,1,MATCH($B71,'MOA role matrix'!$B$1:$D$1,0))="If finance","Project initiator (if finance), ","")IF(INDEX('MOA role matrix'!$B$2:$D$13,1,MATCH($B71,'MOA role matrix'!$B$1:$D$1,0))="Auto","Project initiator (auto), ","")IF(INDEX('MOA role matrix'!$B$2:$D$13,2,MATCH($B71,'MOA role matrix'!$B$1:$D$1,0))="Fill","MOA signers (client), ","")IF(INDEX('MOA role matrix'!$B$2:$D$13,2,MATCH($B71,'MOA role matrix'!$B$1:$D$1,0))="If finance","MOA signers (client) (if finance), ","")IF(INDEX('MOA role matrix'!$B$2:$D$13,2,MATCH($B71,'MOA role matrix'!$B$1:$D$1,0))="Auto","MOA signers (client) (auto), ","")IF(INDEX('MOA role matrix'!$B$2:$D$13,3,MATCH($B71,'MOA role matrix'!$B$1:$D$1,0))="Fill","CFO / Head of Finance, ","")IF(INDEX('MOA role matrix'!$B$2:$D$13,3,MATCH($B71,'MOA role matrix'!$B$1:$D$1,0))="If finance","CFO / Head of Finance (if finance), ","")IF(INDEX('MOA role matrix'!$B$2:$D$13,3,MATCH($B71,'MOA role matrix'!$B$1:$D$1,0))="Auto","CFO / Head of Finance (auto), ","")IF(INDEX('MOA role matrix'!$B$2:$D$13,4,MATCH($B71,'MOA role matrix'!$B$1:$D$1,0))="Fill","CEO / COO / GM, ","")IF(INDEX('MOA role matrix'!$B$2:$D$13,4,MATCH($B71,'MOA role matrix'!$B$1:$D$1,0))="If finance","CEO / COO / GM (if finance), ","")IF(INDEX('MOA role matrix'!$B$2:$D$13,4,MATCH($B71,'MOA role matrix'!$B$1:$D$1,0))="Auto","CEO / COO / GM (auto), ","")IF(INDEX('MOA role matrix'!$B$2:$D$13,5,MATCH($B71,'MOA role matrix'!$B$1:$D$1,0))="Fill","Board member 1, ","")IF(INDEX('MOA role matrix'!$B$2:$D$13,5,MATCH($B71,'MOA role matrix'!$B$1:$D$1,0))="If finance","Board member 1 (if finance), ","")IF(INDEX('MOA role matrix'!$B$2:$D$13,5,MATCH($B71,'MOA role matrix'!$B$1:$D$1,0))="Auto","Board member 1 (auto), ","")IF(INDEX('MOA role matrix'!$B$2:$D$13,6,MATCH($B71,'MOA role matrix'!$B$1:$D$1,0))="Fill","Board member 2, ","")IF(INDEX('MOA role matrix'!$B$2:$D$13,6,MATCH($B71,'MOA role matrix'!$B$1:$D$1,0))="If finance","Board member 2 (if finance), ","")IF(INDEX('MOA role matrix'!$B$2:$D$13,6,MATCH($B71,'MOA role matrix'!$B$1:$D$1,0))="Auto","Board member 2 (auto), ","")IF(INDEX('MOA role matrix'!$B$2:$D$13,7,MATCH($B71,'MOA role matrix'!$B$1:$D$1,0))="Fill","LOA holder 1, ","")IF(INDEX('MOA role matrix'!$B$2:$D$13,7,MATCH($B71,'MOA role matrix'!$B$1:$D$1,0))="If finance","LOA holder 1 (if finance), ","")IF(INDEX('MOA role matrix'!$B$2:$D$13,7,MATCH($B71,'MOA role matrix'!$B$1:$D$1,0))="Auto","LOA holder 1 (auto), ","")IF(INDEX('MOA role matrix'!$B$2:$D$13,8,MATCH($B71,'MOA role matrix'!$B$1:$D$1,0))="Fill","LOA holder 2, ","")IF(INDEX('MOA role matrix'!$B$2:$D$13,8,MATCH($B71,'MOA role matrix'!$B$1:$D$1,0))="If finance","LOA holder 2 (if finance), ","")IF(INDEX('MOA role matrix'!$B$2:$D$13,8,MATCH($B71,'MOA role matrix'!$B$1:$D$1,0))="Auto","LOA holder 2 (auto), ","")IF(INDEX('MOA role matrix'!$B$2:$D$13,9,MATCH($B71,'MOA role matrix'!$B$1:$D$1,0))="Fill","Senior Manager CoSec, ","")IF(INDEX('MOA role matrix'!$B$2:$D$13,9,MATCH($B71,'MOA role matrix'!$B$1:$D$1,0))="If finance","Senior Manager CoSec (if finance), ","")IF(INDEX('MOA role matrix'!$B$2:$D$13,9,MATCH($B71,'MOA role matrix'!$B$1:$D$1,0))="Auto","Senior Manager CoSec (auto), ","")IF(INDEX('MOA role matrix'!$B$2:$D$13,10,MATCH($B71,'MOA role matrix'!$B$1:$D$1,0))="Fill","Division MOI managers, ","")IF(INDEX('MOA role matrix'!$B$2:$D$13,10,MATCH($B71,'MOA role matrix'!$B$1:$D$1,0))="If finance","Division MOI managers (if finance), ","")IF(INDEX('MOA role matrix'!$B$2:$D$13,10,MATCH($B71,'MOA role matrix'!$B$1:$D$1,0))="Auto","Division MOI managers (auto), ","")IF(INDEX('MOA role matrix'!$B$2:$D$13,11,MATCH($B71,'MOA role matrix'!$B$1:$D$1,0))="Fill","Ms Teh (bank), ","")IF(INDEX('MOA role matrix'!$B$2:$D$13,11,MATCH($B71,'MOA role matrix'!$B$1:$D$1,0))="If finance","Ms Teh (bank) (if finance), ","")IF(INDEX('MOA role matrix'!$B$2:$D$13,11,MATCH($B71,'MOA role matrix'!$B$1:$D$1,0))="Auto","Ms Teh (bank) (auto), ","")IF(INDEX('MOA role matrix'!$B$2:$D$13,12,MATCH($B71,'MOA role matrix'!$B$1:$D$1,0))="Fill","DLCM, ","")IF(INDEX('MOA role matrix'!$B$2:$D$13,12,MATCH($B71,'MOA role matrix'!$B$1:$D$1,0))="If finance","DLCM (if finance), ","")IF(INDEX('MOA role matrix'!$B$2:$D$13,12,MATCH($B71,'MOA role matrix'!$B$1:$D$1,0))="Auto","DLCM (auto), ","")))</f>
        <v/>
      </c>
      <c r="D71" s="5">
        <f>IF($A71="","",IFERROR(INDEX(FILTER('Client contacts'!$B$2:$B$500,('Client contacts'!$A$2:$A$500=$A71)*('Client contacts'!$H$2:$H$500="Y"),""),1),""))</f>
        <v/>
      </c>
      <c r="E71" s="5">
        <f>IF($A71="","",IFERROR(INDEX(FILTER('Client contacts'!$C$2:$C$500,('Client contacts'!$A$2:$A$500=$A71)*('Client contacts'!$H$2:$H$500="Y"),""),1),""))</f>
        <v/>
      </c>
      <c r="F71" s="5">
        <f>IF($A71="","",IFERROR(INDEX(FILTER('Client contacts'!$B$2:$B$500,('Client contacts'!$A$2:$A$500=$A71)*('Client contacts'!$G$2:$G$500="Y"),""),1),""))</f>
        <v/>
      </c>
      <c r="G71" s="5">
        <f>IF($A71="","",IFERROR(INDEX(FILTER('Client contacts'!$C$2:$C$500,('Client contacts'!$A$2:$A$500=$A71)*('Client contacts'!$G$2:$G$500="Y"),""),1),""))</f>
        <v/>
      </c>
      <c r="H71" s="5">
        <f>IF($A71="","",IFERROR(INDEX(FILTER('Client contacts'!$B$2:$B$500,('Client contacts'!$A$2:$A$500=$A71)*('Client contacts'!$G$2:$G$500="Y"),""),2),""))</f>
        <v/>
      </c>
      <c r="I71" s="5">
        <f>IF($A71="","",IFERROR(INDEX(FILTER('Client contacts'!$C$2:$C$500,('Client contacts'!$A$2:$A$500=$A71)*('Client contacts'!$G$2:$G$500="Y"),""),2),""))</f>
        <v/>
      </c>
      <c r="J71" s="8" t="n"/>
      <c r="K71" s="8" t="n"/>
      <c r="L71" s="8" t="n"/>
      <c r="M71" s="8" t="n"/>
      <c r="N71" s="8" t="n"/>
      <c r="O71" s="8" t="n"/>
      <c r="P71" s="8" t="n"/>
      <c r="Q71" s="8" t="n"/>
      <c r="R71" s="5">
        <f>IF($A71="","",IFERROR(INDEX(Companies!$I$2:$I$500,MATCH($A71,Companies!$A$2:$A$500,0)),""))</f>
        <v/>
      </c>
      <c r="S71" s="8" t="n"/>
      <c r="T71" s="8" t="n"/>
      <c r="U71" s="8" t="n"/>
      <c r="V71" s="8" t="n"/>
      <c r="W71" s="8" t="n"/>
    </row>
    <row r="72">
      <c r="C72" s="5">
        <f>IF($B72="","",TRIM(IF(INDEX('MOA role matrix'!$B$2:$D$13,1,MATCH($B72,'MOA role matrix'!$B$1:$D$1,0))="Fill","Project initiator, ","")IF(INDEX('MOA role matrix'!$B$2:$D$13,1,MATCH($B72,'MOA role matrix'!$B$1:$D$1,0))="If finance","Project initiator (if finance), ","")IF(INDEX('MOA role matrix'!$B$2:$D$13,1,MATCH($B72,'MOA role matrix'!$B$1:$D$1,0))="Auto","Project initiator (auto), ","")IF(INDEX('MOA role matrix'!$B$2:$D$13,2,MATCH($B72,'MOA role matrix'!$B$1:$D$1,0))="Fill","MOA signers (client), ","")IF(INDEX('MOA role matrix'!$B$2:$D$13,2,MATCH($B72,'MOA role matrix'!$B$1:$D$1,0))="If finance","MOA signers (client) (if finance), ","")IF(INDEX('MOA role matrix'!$B$2:$D$13,2,MATCH($B72,'MOA role matrix'!$B$1:$D$1,0))="Auto","MOA signers (client) (auto), ","")IF(INDEX('MOA role matrix'!$B$2:$D$13,3,MATCH($B72,'MOA role matrix'!$B$1:$D$1,0))="Fill","CFO / Head of Finance, ","")IF(INDEX('MOA role matrix'!$B$2:$D$13,3,MATCH($B72,'MOA role matrix'!$B$1:$D$1,0))="If finance","CFO / Head of Finance (if finance), ","")IF(INDEX('MOA role matrix'!$B$2:$D$13,3,MATCH($B72,'MOA role matrix'!$B$1:$D$1,0))="Auto","CFO / Head of Finance (auto), ","")IF(INDEX('MOA role matrix'!$B$2:$D$13,4,MATCH($B72,'MOA role matrix'!$B$1:$D$1,0))="Fill","CEO / COO / GM, ","")IF(INDEX('MOA role matrix'!$B$2:$D$13,4,MATCH($B72,'MOA role matrix'!$B$1:$D$1,0))="If finance","CEO / COO / GM (if finance), ","")IF(INDEX('MOA role matrix'!$B$2:$D$13,4,MATCH($B72,'MOA role matrix'!$B$1:$D$1,0))="Auto","CEO / COO / GM (auto), ","")IF(INDEX('MOA role matrix'!$B$2:$D$13,5,MATCH($B72,'MOA role matrix'!$B$1:$D$1,0))="Fill","Board member 1, ","")IF(INDEX('MOA role matrix'!$B$2:$D$13,5,MATCH($B72,'MOA role matrix'!$B$1:$D$1,0))="If finance","Board member 1 (if finance), ","")IF(INDEX('MOA role matrix'!$B$2:$D$13,5,MATCH($B72,'MOA role matrix'!$B$1:$D$1,0))="Auto","Board member 1 (auto), ","")IF(INDEX('MOA role matrix'!$B$2:$D$13,6,MATCH($B72,'MOA role matrix'!$B$1:$D$1,0))="Fill","Board member 2, ","")IF(INDEX('MOA role matrix'!$B$2:$D$13,6,MATCH($B72,'MOA role matrix'!$B$1:$D$1,0))="If finance","Board member 2 (if finance), ","")IF(INDEX('MOA role matrix'!$B$2:$D$13,6,MATCH($B72,'MOA role matrix'!$B$1:$D$1,0))="Auto","Board member 2 (auto), ","")IF(INDEX('MOA role matrix'!$B$2:$D$13,7,MATCH($B72,'MOA role matrix'!$B$1:$D$1,0))="Fill","LOA holder 1, ","")IF(INDEX('MOA role matrix'!$B$2:$D$13,7,MATCH($B72,'MOA role matrix'!$B$1:$D$1,0))="If finance","LOA holder 1 (if finance), ","")IF(INDEX('MOA role matrix'!$B$2:$D$13,7,MATCH($B72,'MOA role matrix'!$B$1:$D$1,0))="Auto","LOA holder 1 (auto), ","")IF(INDEX('MOA role matrix'!$B$2:$D$13,8,MATCH($B72,'MOA role matrix'!$B$1:$D$1,0))="Fill","LOA holder 2, ","")IF(INDEX('MOA role matrix'!$B$2:$D$13,8,MATCH($B72,'MOA role matrix'!$B$1:$D$1,0))="If finance","LOA holder 2 (if finance), ","")IF(INDEX('MOA role matrix'!$B$2:$D$13,8,MATCH($B72,'MOA role matrix'!$B$1:$D$1,0))="Auto","LOA holder 2 (auto), ","")IF(INDEX('MOA role matrix'!$B$2:$D$13,9,MATCH($B72,'MOA role matrix'!$B$1:$D$1,0))="Fill","Senior Manager CoSec, ","")IF(INDEX('MOA role matrix'!$B$2:$D$13,9,MATCH($B72,'MOA role matrix'!$B$1:$D$1,0))="If finance","Senior Manager CoSec (if finance), ","")IF(INDEX('MOA role matrix'!$B$2:$D$13,9,MATCH($B72,'MOA role matrix'!$B$1:$D$1,0))="Auto","Senior Manager CoSec (auto), ","")IF(INDEX('MOA role matrix'!$B$2:$D$13,10,MATCH($B72,'MOA role matrix'!$B$1:$D$1,0))="Fill","Division MOI managers, ","")IF(INDEX('MOA role matrix'!$B$2:$D$13,10,MATCH($B72,'MOA role matrix'!$B$1:$D$1,0))="If finance","Division MOI managers (if finance), ","")IF(INDEX('MOA role matrix'!$B$2:$D$13,10,MATCH($B72,'MOA role matrix'!$B$1:$D$1,0))="Auto","Division MOI managers (auto), ","")IF(INDEX('MOA role matrix'!$B$2:$D$13,11,MATCH($B72,'MOA role matrix'!$B$1:$D$1,0))="Fill","Ms Teh (bank), ","")IF(INDEX('MOA role matrix'!$B$2:$D$13,11,MATCH($B72,'MOA role matrix'!$B$1:$D$1,0))="If finance","Ms Teh (bank) (if finance), ","")IF(INDEX('MOA role matrix'!$B$2:$D$13,11,MATCH($B72,'MOA role matrix'!$B$1:$D$1,0))="Auto","Ms Teh (bank) (auto), ","")IF(INDEX('MOA role matrix'!$B$2:$D$13,12,MATCH($B72,'MOA role matrix'!$B$1:$D$1,0))="Fill","DLCM, ","")IF(INDEX('MOA role matrix'!$B$2:$D$13,12,MATCH($B72,'MOA role matrix'!$B$1:$D$1,0))="If finance","DLCM (if finance), ","")IF(INDEX('MOA role matrix'!$B$2:$D$13,12,MATCH($B72,'MOA role matrix'!$B$1:$D$1,0))="Auto","DLCM (auto), ","")))</f>
        <v/>
      </c>
      <c r="D72" s="5">
        <f>IF($A72="","",IFERROR(INDEX(FILTER('Client contacts'!$B$2:$B$500,('Client contacts'!$A$2:$A$500=$A72)*('Client contacts'!$H$2:$H$500="Y"),""),1),""))</f>
        <v/>
      </c>
      <c r="E72" s="5">
        <f>IF($A72="","",IFERROR(INDEX(FILTER('Client contacts'!$C$2:$C$500,('Client contacts'!$A$2:$A$500=$A72)*('Client contacts'!$H$2:$H$500="Y"),""),1),""))</f>
        <v/>
      </c>
      <c r="F72" s="5">
        <f>IF($A72="","",IFERROR(INDEX(FILTER('Client contacts'!$B$2:$B$500,('Client contacts'!$A$2:$A$500=$A72)*('Client contacts'!$G$2:$G$500="Y"),""),1),""))</f>
        <v/>
      </c>
      <c r="G72" s="5">
        <f>IF($A72="","",IFERROR(INDEX(FILTER('Client contacts'!$C$2:$C$500,('Client contacts'!$A$2:$A$500=$A72)*('Client contacts'!$G$2:$G$500="Y"),""),1),""))</f>
        <v/>
      </c>
      <c r="H72" s="5">
        <f>IF($A72="","",IFERROR(INDEX(FILTER('Client contacts'!$B$2:$B$500,('Client contacts'!$A$2:$A$500=$A72)*('Client contacts'!$G$2:$G$500="Y"),""),2),""))</f>
        <v/>
      </c>
      <c r="I72" s="5">
        <f>IF($A72="","",IFERROR(INDEX(FILTER('Client contacts'!$C$2:$C$500,('Client contacts'!$A$2:$A$500=$A72)*('Client contacts'!$G$2:$G$500="Y"),""),2),""))</f>
        <v/>
      </c>
      <c r="J72" s="8" t="n"/>
      <c r="K72" s="8" t="n"/>
      <c r="L72" s="8" t="n"/>
      <c r="M72" s="8" t="n"/>
      <c r="N72" s="8" t="n"/>
      <c r="O72" s="8" t="n"/>
      <c r="P72" s="8" t="n"/>
      <c r="Q72" s="8" t="n"/>
      <c r="R72" s="5">
        <f>IF($A72="","",IFERROR(INDEX(Companies!$I$2:$I$500,MATCH($A72,Companies!$A$2:$A$500,0)),""))</f>
        <v/>
      </c>
      <c r="S72" s="8" t="n"/>
      <c r="T72" s="8" t="n"/>
      <c r="U72" s="8" t="n"/>
      <c r="V72" s="8" t="n"/>
      <c r="W72" s="8" t="n"/>
    </row>
    <row r="73">
      <c r="C73" s="5">
        <f>IF($B73="","",TRIM(IF(INDEX('MOA role matrix'!$B$2:$D$13,1,MATCH($B73,'MOA role matrix'!$B$1:$D$1,0))="Fill","Project initiator, ","")IF(INDEX('MOA role matrix'!$B$2:$D$13,1,MATCH($B73,'MOA role matrix'!$B$1:$D$1,0))="If finance","Project initiator (if finance), ","")IF(INDEX('MOA role matrix'!$B$2:$D$13,1,MATCH($B73,'MOA role matrix'!$B$1:$D$1,0))="Auto","Project initiator (auto), ","")IF(INDEX('MOA role matrix'!$B$2:$D$13,2,MATCH($B73,'MOA role matrix'!$B$1:$D$1,0))="Fill","MOA signers (client), ","")IF(INDEX('MOA role matrix'!$B$2:$D$13,2,MATCH($B73,'MOA role matrix'!$B$1:$D$1,0))="If finance","MOA signers (client) (if finance), ","")IF(INDEX('MOA role matrix'!$B$2:$D$13,2,MATCH($B73,'MOA role matrix'!$B$1:$D$1,0))="Auto","MOA signers (client) (auto), ","")IF(INDEX('MOA role matrix'!$B$2:$D$13,3,MATCH($B73,'MOA role matrix'!$B$1:$D$1,0))="Fill","CFO / Head of Finance, ","")IF(INDEX('MOA role matrix'!$B$2:$D$13,3,MATCH($B73,'MOA role matrix'!$B$1:$D$1,0))="If finance","CFO / Head of Finance (if finance), ","")IF(INDEX('MOA role matrix'!$B$2:$D$13,3,MATCH($B73,'MOA role matrix'!$B$1:$D$1,0))="Auto","CFO / Head of Finance (auto), ","")IF(INDEX('MOA role matrix'!$B$2:$D$13,4,MATCH($B73,'MOA role matrix'!$B$1:$D$1,0))="Fill","CEO / COO / GM, ","")IF(INDEX('MOA role matrix'!$B$2:$D$13,4,MATCH($B73,'MOA role matrix'!$B$1:$D$1,0))="If finance","CEO / COO / GM (if finance), ","")IF(INDEX('MOA role matrix'!$B$2:$D$13,4,MATCH($B73,'MOA role matrix'!$B$1:$D$1,0))="Auto","CEO / COO / GM (auto), ","")IF(INDEX('MOA role matrix'!$B$2:$D$13,5,MATCH($B73,'MOA role matrix'!$B$1:$D$1,0))="Fill","Board member 1, ","")IF(INDEX('MOA role matrix'!$B$2:$D$13,5,MATCH($B73,'MOA role matrix'!$B$1:$D$1,0))="If finance","Board member 1 (if finance), ","")IF(INDEX('MOA role matrix'!$B$2:$D$13,5,MATCH($B73,'MOA role matrix'!$B$1:$D$1,0))="Auto","Board member 1 (auto), ","")IF(INDEX('MOA role matrix'!$B$2:$D$13,6,MATCH($B73,'MOA role matrix'!$B$1:$D$1,0))="Fill","Board member 2, ","")IF(INDEX('MOA role matrix'!$B$2:$D$13,6,MATCH($B73,'MOA role matrix'!$B$1:$D$1,0))="If finance","Board member 2 (if finance), ","")IF(INDEX('MOA role matrix'!$B$2:$D$13,6,MATCH($B73,'MOA role matrix'!$B$1:$D$1,0))="Auto","Board member 2 (auto), ","")IF(INDEX('MOA role matrix'!$B$2:$D$13,7,MATCH($B73,'MOA role matrix'!$B$1:$D$1,0))="Fill","LOA holder 1, ","")IF(INDEX('MOA role matrix'!$B$2:$D$13,7,MATCH($B73,'MOA role matrix'!$B$1:$D$1,0))="If finance","LOA holder 1 (if finance), ","")IF(INDEX('MOA role matrix'!$B$2:$D$13,7,MATCH($B73,'MOA role matrix'!$B$1:$D$1,0))="Auto","LOA holder 1 (auto), ","")IF(INDEX('MOA role matrix'!$B$2:$D$13,8,MATCH($B73,'MOA role matrix'!$B$1:$D$1,0))="Fill","LOA holder 2, ","")IF(INDEX('MOA role matrix'!$B$2:$D$13,8,MATCH($B73,'MOA role matrix'!$B$1:$D$1,0))="If finance","LOA holder 2 (if finance), ","")IF(INDEX('MOA role matrix'!$B$2:$D$13,8,MATCH($B73,'MOA role matrix'!$B$1:$D$1,0))="Auto","LOA holder 2 (auto), ","")IF(INDEX('MOA role matrix'!$B$2:$D$13,9,MATCH($B73,'MOA role matrix'!$B$1:$D$1,0))="Fill","Senior Manager CoSec, ","")IF(INDEX('MOA role matrix'!$B$2:$D$13,9,MATCH($B73,'MOA role matrix'!$B$1:$D$1,0))="If finance","Senior Manager CoSec (if finance), ","")IF(INDEX('MOA role matrix'!$B$2:$D$13,9,MATCH($B73,'MOA role matrix'!$B$1:$D$1,0))="Auto","Senior Manager CoSec (auto), ","")IF(INDEX('MOA role matrix'!$B$2:$D$13,10,MATCH($B73,'MOA role matrix'!$B$1:$D$1,0))="Fill","Division MOI managers, ","")IF(INDEX('MOA role matrix'!$B$2:$D$13,10,MATCH($B73,'MOA role matrix'!$B$1:$D$1,0))="If finance","Division MOI managers (if finance), ","")IF(INDEX('MOA role matrix'!$B$2:$D$13,10,MATCH($B73,'MOA role matrix'!$B$1:$D$1,0))="Auto","Division MOI managers (auto), ","")IF(INDEX('MOA role matrix'!$B$2:$D$13,11,MATCH($B73,'MOA role matrix'!$B$1:$D$1,0))="Fill","Ms Teh (bank), ","")IF(INDEX('MOA role matrix'!$B$2:$D$13,11,MATCH($B73,'MOA role matrix'!$B$1:$D$1,0))="If finance","Ms Teh (bank) (if finance), ","")IF(INDEX('MOA role matrix'!$B$2:$D$13,11,MATCH($B73,'MOA role matrix'!$B$1:$D$1,0))="Auto","Ms Teh (bank) (auto), ","")IF(INDEX('MOA role matrix'!$B$2:$D$13,12,MATCH($B73,'MOA role matrix'!$B$1:$D$1,0))="Fill","DLCM, ","")IF(INDEX('MOA role matrix'!$B$2:$D$13,12,MATCH($B73,'MOA role matrix'!$B$1:$D$1,0))="If finance","DLCM (if finance), ","")IF(INDEX('MOA role matrix'!$B$2:$D$13,12,MATCH($B73,'MOA role matrix'!$B$1:$D$1,0))="Auto","DLCM (auto), ","")))</f>
        <v/>
      </c>
      <c r="D73" s="5">
        <f>IF($A73="","",IFERROR(INDEX(FILTER('Client contacts'!$B$2:$B$500,('Client contacts'!$A$2:$A$500=$A73)*('Client contacts'!$H$2:$H$500="Y"),""),1),""))</f>
        <v/>
      </c>
      <c r="E73" s="5">
        <f>IF($A73="","",IFERROR(INDEX(FILTER('Client contacts'!$C$2:$C$500,('Client contacts'!$A$2:$A$500=$A73)*('Client contacts'!$H$2:$H$500="Y"),""),1),""))</f>
        <v/>
      </c>
      <c r="F73" s="5">
        <f>IF($A73="","",IFERROR(INDEX(FILTER('Client contacts'!$B$2:$B$500,('Client contacts'!$A$2:$A$500=$A73)*('Client contacts'!$G$2:$G$500="Y"),""),1),""))</f>
        <v/>
      </c>
      <c r="G73" s="5">
        <f>IF($A73="","",IFERROR(INDEX(FILTER('Client contacts'!$C$2:$C$500,('Client contacts'!$A$2:$A$500=$A73)*('Client contacts'!$G$2:$G$500="Y"),""),1),""))</f>
        <v/>
      </c>
      <c r="H73" s="5">
        <f>IF($A73="","",IFERROR(INDEX(FILTER('Client contacts'!$B$2:$B$500,('Client contacts'!$A$2:$A$500=$A73)*('Client contacts'!$G$2:$G$500="Y"),""),2),""))</f>
        <v/>
      </c>
      <c r="I73" s="5">
        <f>IF($A73="","",IFERROR(INDEX(FILTER('Client contacts'!$C$2:$C$500,('Client contacts'!$A$2:$A$500=$A73)*('Client contacts'!$G$2:$G$500="Y"),""),2),""))</f>
        <v/>
      </c>
      <c r="J73" s="8" t="n"/>
      <c r="K73" s="8" t="n"/>
      <c r="L73" s="8" t="n"/>
      <c r="M73" s="8" t="n"/>
      <c r="N73" s="8" t="n"/>
      <c r="O73" s="8" t="n"/>
      <c r="P73" s="8" t="n"/>
      <c r="Q73" s="8" t="n"/>
      <c r="R73" s="5">
        <f>IF($A73="","",IFERROR(INDEX(Companies!$I$2:$I$500,MATCH($A73,Companies!$A$2:$A$500,0)),""))</f>
        <v/>
      </c>
      <c r="S73" s="8" t="n"/>
      <c r="T73" s="8" t="n"/>
      <c r="U73" s="8" t="n"/>
      <c r="V73" s="8" t="n"/>
      <c r="W73" s="8" t="n"/>
    </row>
    <row r="74">
      <c r="C74" s="5">
        <f>IF($B74="","",TRIM(IF(INDEX('MOA role matrix'!$B$2:$D$13,1,MATCH($B74,'MOA role matrix'!$B$1:$D$1,0))="Fill","Project initiator, ","")IF(INDEX('MOA role matrix'!$B$2:$D$13,1,MATCH($B74,'MOA role matrix'!$B$1:$D$1,0))="If finance","Project initiator (if finance), ","")IF(INDEX('MOA role matrix'!$B$2:$D$13,1,MATCH($B74,'MOA role matrix'!$B$1:$D$1,0))="Auto","Project initiator (auto), ","")IF(INDEX('MOA role matrix'!$B$2:$D$13,2,MATCH($B74,'MOA role matrix'!$B$1:$D$1,0))="Fill","MOA signers (client), ","")IF(INDEX('MOA role matrix'!$B$2:$D$13,2,MATCH($B74,'MOA role matrix'!$B$1:$D$1,0))="If finance","MOA signers (client) (if finance), ","")IF(INDEX('MOA role matrix'!$B$2:$D$13,2,MATCH($B74,'MOA role matrix'!$B$1:$D$1,0))="Auto","MOA signers (client) (auto), ","")IF(INDEX('MOA role matrix'!$B$2:$D$13,3,MATCH($B74,'MOA role matrix'!$B$1:$D$1,0))="Fill","CFO / Head of Finance, ","")IF(INDEX('MOA role matrix'!$B$2:$D$13,3,MATCH($B74,'MOA role matrix'!$B$1:$D$1,0))="If finance","CFO / Head of Finance (if finance), ","")IF(INDEX('MOA role matrix'!$B$2:$D$13,3,MATCH($B74,'MOA role matrix'!$B$1:$D$1,0))="Auto","CFO / Head of Finance (auto), ","")IF(INDEX('MOA role matrix'!$B$2:$D$13,4,MATCH($B74,'MOA role matrix'!$B$1:$D$1,0))="Fill","CEO / COO / GM, ","")IF(INDEX('MOA role matrix'!$B$2:$D$13,4,MATCH($B74,'MOA role matrix'!$B$1:$D$1,0))="If finance","CEO / COO / GM (if finance), ","")IF(INDEX('MOA role matrix'!$B$2:$D$13,4,MATCH($B74,'MOA role matrix'!$B$1:$D$1,0))="Auto","CEO / COO / GM (auto), ","")IF(INDEX('MOA role matrix'!$B$2:$D$13,5,MATCH($B74,'MOA role matrix'!$B$1:$D$1,0))="Fill","Board member 1, ","")IF(INDEX('MOA role matrix'!$B$2:$D$13,5,MATCH($B74,'MOA role matrix'!$B$1:$D$1,0))="If finance","Board member 1 (if finance), ","")IF(INDEX('MOA role matrix'!$B$2:$D$13,5,MATCH($B74,'MOA role matrix'!$B$1:$D$1,0))="Auto","Board member 1 (auto), ","")IF(INDEX('MOA role matrix'!$B$2:$D$13,6,MATCH($B74,'MOA role matrix'!$B$1:$D$1,0))="Fill","Board member 2, ","")IF(INDEX('MOA role matrix'!$B$2:$D$13,6,MATCH($B74,'MOA role matrix'!$B$1:$D$1,0))="If finance","Board member 2 (if finance), ","")IF(INDEX('MOA role matrix'!$B$2:$D$13,6,MATCH($B74,'MOA role matrix'!$B$1:$D$1,0))="Auto","Board member 2 (auto), ","")IF(INDEX('MOA role matrix'!$B$2:$D$13,7,MATCH($B74,'MOA role matrix'!$B$1:$D$1,0))="Fill","LOA holder 1, ","")IF(INDEX('MOA role matrix'!$B$2:$D$13,7,MATCH($B74,'MOA role matrix'!$B$1:$D$1,0))="If finance","LOA holder 1 (if finance), ","")IF(INDEX('MOA role matrix'!$B$2:$D$13,7,MATCH($B74,'MOA role matrix'!$B$1:$D$1,0))="Auto","LOA holder 1 (auto), ","")IF(INDEX('MOA role matrix'!$B$2:$D$13,8,MATCH($B74,'MOA role matrix'!$B$1:$D$1,0))="Fill","LOA holder 2, ","")IF(INDEX('MOA role matrix'!$B$2:$D$13,8,MATCH($B74,'MOA role matrix'!$B$1:$D$1,0))="If finance","LOA holder 2 (if finance), ","")IF(INDEX('MOA role matrix'!$B$2:$D$13,8,MATCH($B74,'MOA role matrix'!$B$1:$D$1,0))="Auto","LOA holder 2 (auto), ","")IF(INDEX('MOA role matrix'!$B$2:$D$13,9,MATCH($B74,'MOA role matrix'!$B$1:$D$1,0))="Fill","Senior Manager CoSec, ","")IF(INDEX('MOA role matrix'!$B$2:$D$13,9,MATCH($B74,'MOA role matrix'!$B$1:$D$1,0))="If finance","Senior Manager CoSec (if finance), ","")IF(INDEX('MOA role matrix'!$B$2:$D$13,9,MATCH($B74,'MOA role matrix'!$B$1:$D$1,0))="Auto","Senior Manager CoSec (auto), ","")IF(INDEX('MOA role matrix'!$B$2:$D$13,10,MATCH($B74,'MOA role matrix'!$B$1:$D$1,0))="Fill","Division MOI managers, ","")IF(INDEX('MOA role matrix'!$B$2:$D$13,10,MATCH($B74,'MOA role matrix'!$B$1:$D$1,0))="If finance","Division MOI managers (if finance), ","")IF(INDEX('MOA role matrix'!$B$2:$D$13,10,MATCH($B74,'MOA role matrix'!$B$1:$D$1,0))="Auto","Division MOI managers (auto), ","")IF(INDEX('MOA role matrix'!$B$2:$D$13,11,MATCH($B74,'MOA role matrix'!$B$1:$D$1,0))="Fill","Ms Teh (bank), ","")IF(INDEX('MOA role matrix'!$B$2:$D$13,11,MATCH($B74,'MOA role matrix'!$B$1:$D$1,0))="If finance","Ms Teh (bank) (if finance), ","")IF(INDEX('MOA role matrix'!$B$2:$D$13,11,MATCH($B74,'MOA role matrix'!$B$1:$D$1,0))="Auto","Ms Teh (bank) (auto), ","")IF(INDEX('MOA role matrix'!$B$2:$D$13,12,MATCH($B74,'MOA role matrix'!$B$1:$D$1,0))="Fill","DLCM, ","")IF(INDEX('MOA role matrix'!$B$2:$D$13,12,MATCH($B74,'MOA role matrix'!$B$1:$D$1,0))="If finance","DLCM (if finance), ","")IF(INDEX('MOA role matrix'!$B$2:$D$13,12,MATCH($B74,'MOA role matrix'!$B$1:$D$1,0))="Auto","DLCM (auto), ","")))</f>
        <v/>
      </c>
      <c r="D74" s="5">
        <f>IF($A74="","",IFERROR(INDEX(FILTER('Client contacts'!$B$2:$B$500,('Client contacts'!$A$2:$A$500=$A74)*('Client contacts'!$H$2:$H$500="Y"),""),1),""))</f>
        <v/>
      </c>
      <c r="E74" s="5">
        <f>IF($A74="","",IFERROR(INDEX(FILTER('Client contacts'!$C$2:$C$500,('Client contacts'!$A$2:$A$500=$A74)*('Client contacts'!$H$2:$H$500="Y"),""),1),""))</f>
        <v/>
      </c>
      <c r="F74" s="5">
        <f>IF($A74="","",IFERROR(INDEX(FILTER('Client contacts'!$B$2:$B$500,('Client contacts'!$A$2:$A$500=$A74)*('Client contacts'!$G$2:$G$500="Y"),""),1),""))</f>
        <v/>
      </c>
      <c r="G74" s="5">
        <f>IF($A74="","",IFERROR(INDEX(FILTER('Client contacts'!$C$2:$C$500,('Client contacts'!$A$2:$A$500=$A74)*('Client contacts'!$G$2:$G$500="Y"),""),1),""))</f>
        <v/>
      </c>
      <c r="H74" s="5">
        <f>IF($A74="","",IFERROR(INDEX(FILTER('Client contacts'!$B$2:$B$500,('Client contacts'!$A$2:$A$500=$A74)*('Client contacts'!$G$2:$G$500="Y"),""),2),""))</f>
        <v/>
      </c>
      <c r="I74" s="5">
        <f>IF($A74="","",IFERROR(INDEX(FILTER('Client contacts'!$C$2:$C$500,('Client contacts'!$A$2:$A$500=$A74)*('Client contacts'!$G$2:$G$500="Y"),""),2),""))</f>
        <v/>
      </c>
      <c r="J74" s="8" t="n"/>
      <c r="K74" s="8" t="n"/>
      <c r="L74" s="8" t="n"/>
      <c r="M74" s="8" t="n"/>
      <c r="N74" s="8" t="n"/>
      <c r="O74" s="8" t="n"/>
      <c r="P74" s="8" t="n"/>
      <c r="Q74" s="8" t="n"/>
      <c r="R74" s="5">
        <f>IF($A74="","",IFERROR(INDEX(Companies!$I$2:$I$500,MATCH($A74,Companies!$A$2:$A$500,0)),""))</f>
        <v/>
      </c>
      <c r="S74" s="8" t="n"/>
      <c r="T74" s="8" t="n"/>
      <c r="U74" s="8" t="n"/>
      <c r="V74" s="8" t="n"/>
      <c r="W74" s="8" t="n"/>
    </row>
    <row r="75">
      <c r="C75" s="5">
        <f>IF($B75="","",TRIM(IF(INDEX('MOA role matrix'!$B$2:$D$13,1,MATCH($B75,'MOA role matrix'!$B$1:$D$1,0))="Fill","Project initiator, ","")IF(INDEX('MOA role matrix'!$B$2:$D$13,1,MATCH($B75,'MOA role matrix'!$B$1:$D$1,0))="If finance","Project initiator (if finance), ","")IF(INDEX('MOA role matrix'!$B$2:$D$13,1,MATCH($B75,'MOA role matrix'!$B$1:$D$1,0))="Auto","Project initiator (auto), ","")IF(INDEX('MOA role matrix'!$B$2:$D$13,2,MATCH($B75,'MOA role matrix'!$B$1:$D$1,0))="Fill","MOA signers (client), ","")IF(INDEX('MOA role matrix'!$B$2:$D$13,2,MATCH($B75,'MOA role matrix'!$B$1:$D$1,0))="If finance","MOA signers (client) (if finance), ","")IF(INDEX('MOA role matrix'!$B$2:$D$13,2,MATCH($B75,'MOA role matrix'!$B$1:$D$1,0))="Auto","MOA signers (client) (auto), ","")IF(INDEX('MOA role matrix'!$B$2:$D$13,3,MATCH($B75,'MOA role matrix'!$B$1:$D$1,0))="Fill","CFO / Head of Finance, ","")IF(INDEX('MOA role matrix'!$B$2:$D$13,3,MATCH($B75,'MOA role matrix'!$B$1:$D$1,0))="If finance","CFO / Head of Finance (if finance), ","")IF(INDEX('MOA role matrix'!$B$2:$D$13,3,MATCH($B75,'MOA role matrix'!$B$1:$D$1,0))="Auto","CFO / Head of Finance (auto), ","")IF(INDEX('MOA role matrix'!$B$2:$D$13,4,MATCH($B75,'MOA role matrix'!$B$1:$D$1,0))="Fill","CEO / COO / GM, ","")IF(INDEX('MOA role matrix'!$B$2:$D$13,4,MATCH($B75,'MOA role matrix'!$B$1:$D$1,0))="If finance","CEO / COO / GM (if finance), ","")IF(INDEX('MOA role matrix'!$B$2:$D$13,4,MATCH($B75,'MOA role matrix'!$B$1:$D$1,0))="Auto","CEO / COO / GM (auto), ","")IF(INDEX('MOA role matrix'!$B$2:$D$13,5,MATCH($B75,'MOA role matrix'!$B$1:$D$1,0))="Fill","Board member 1, ","")IF(INDEX('MOA role matrix'!$B$2:$D$13,5,MATCH($B75,'MOA role matrix'!$B$1:$D$1,0))="If finance","Board member 1 (if finance), ","")IF(INDEX('MOA role matrix'!$B$2:$D$13,5,MATCH($B75,'MOA role matrix'!$B$1:$D$1,0))="Auto","Board member 1 (auto), ","")IF(INDEX('MOA role matrix'!$B$2:$D$13,6,MATCH($B75,'MOA role matrix'!$B$1:$D$1,0))="Fill","Board member 2, ","")IF(INDEX('MOA role matrix'!$B$2:$D$13,6,MATCH($B75,'MOA role matrix'!$B$1:$D$1,0))="If finance","Board member 2 (if finance), ","")IF(INDEX('MOA role matrix'!$B$2:$D$13,6,MATCH($B75,'MOA role matrix'!$B$1:$D$1,0))="Auto","Board member 2 (auto), ","")IF(INDEX('MOA role matrix'!$B$2:$D$13,7,MATCH($B75,'MOA role matrix'!$B$1:$D$1,0))="Fill","LOA holder 1, ","")IF(INDEX('MOA role matrix'!$B$2:$D$13,7,MATCH($B75,'MOA role matrix'!$B$1:$D$1,0))="If finance","LOA holder 1 (if finance), ","")IF(INDEX('MOA role matrix'!$B$2:$D$13,7,MATCH($B75,'MOA role matrix'!$B$1:$D$1,0))="Auto","LOA holder 1 (auto), ","")IF(INDEX('MOA role matrix'!$B$2:$D$13,8,MATCH($B75,'MOA role matrix'!$B$1:$D$1,0))="Fill","LOA holder 2, ","")IF(INDEX('MOA role matrix'!$B$2:$D$13,8,MATCH($B75,'MOA role matrix'!$B$1:$D$1,0))="If finance","LOA holder 2 (if finance), ","")IF(INDEX('MOA role matrix'!$B$2:$D$13,8,MATCH($B75,'MOA role matrix'!$B$1:$D$1,0))="Auto","LOA holder 2 (auto), ","")IF(INDEX('MOA role matrix'!$B$2:$D$13,9,MATCH($B75,'MOA role matrix'!$B$1:$D$1,0))="Fill","Senior Manager CoSec, ","")IF(INDEX('MOA role matrix'!$B$2:$D$13,9,MATCH($B75,'MOA role matrix'!$B$1:$D$1,0))="If finance","Senior Manager CoSec (if finance), ","")IF(INDEX('MOA role matrix'!$B$2:$D$13,9,MATCH($B75,'MOA role matrix'!$B$1:$D$1,0))="Auto","Senior Manager CoSec (auto), ","")IF(INDEX('MOA role matrix'!$B$2:$D$13,10,MATCH($B75,'MOA role matrix'!$B$1:$D$1,0))="Fill","Division MOI managers, ","")IF(INDEX('MOA role matrix'!$B$2:$D$13,10,MATCH($B75,'MOA role matrix'!$B$1:$D$1,0))="If finance","Division MOI managers (if finance), ","")IF(INDEX('MOA role matrix'!$B$2:$D$13,10,MATCH($B75,'MOA role matrix'!$B$1:$D$1,0))="Auto","Division MOI managers (auto), ","")IF(INDEX('MOA role matrix'!$B$2:$D$13,11,MATCH($B75,'MOA role matrix'!$B$1:$D$1,0))="Fill","Ms Teh (bank), ","")IF(INDEX('MOA role matrix'!$B$2:$D$13,11,MATCH($B75,'MOA role matrix'!$B$1:$D$1,0))="If finance","Ms Teh (bank) (if finance), ","")IF(INDEX('MOA role matrix'!$B$2:$D$13,11,MATCH($B75,'MOA role matrix'!$B$1:$D$1,0))="Auto","Ms Teh (bank) (auto), ","")IF(INDEX('MOA role matrix'!$B$2:$D$13,12,MATCH($B75,'MOA role matrix'!$B$1:$D$1,0))="Fill","DLCM, ","")IF(INDEX('MOA role matrix'!$B$2:$D$13,12,MATCH($B75,'MOA role matrix'!$B$1:$D$1,0))="If finance","DLCM (if finance), ","")IF(INDEX('MOA role matrix'!$B$2:$D$13,12,MATCH($B75,'MOA role matrix'!$B$1:$D$1,0))="Auto","DLCM (auto), ","")))</f>
        <v/>
      </c>
      <c r="D75" s="5">
        <f>IF($A75="","",IFERROR(INDEX(FILTER('Client contacts'!$B$2:$B$500,('Client contacts'!$A$2:$A$500=$A75)*('Client contacts'!$H$2:$H$500="Y"),""),1),""))</f>
        <v/>
      </c>
      <c r="E75" s="5">
        <f>IF($A75="","",IFERROR(INDEX(FILTER('Client contacts'!$C$2:$C$500,('Client contacts'!$A$2:$A$500=$A75)*('Client contacts'!$H$2:$H$500="Y"),""),1),""))</f>
        <v/>
      </c>
      <c r="F75" s="5">
        <f>IF($A75="","",IFERROR(INDEX(FILTER('Client contacts'!$B$2:$B$500,('Client contacts'!$A$2:$A$500=$A75)*('Client contacts'!$G$2:$G$500="Y"),""),1),""))</f>
        <v/>
      </c>
      <c r="G75" s="5">
        <f>IF($A75="","",IFERROR(INDEX(FILTER('Client contacts'!$C$2:$C$500,('Client contacts'!$A$2:$A$500=$A75)*('Client contacts'!$G$2:$G$500="Y"),""),1),""))</f>
        <v/>
      </c>
      <c r="H75" s="5">
        <f>IF($A75="","",IFERROR(INDEX(FILTER('Client contacts'!$B$2:$B$500,('Client contacts'!$A$2:$A$500=$A75)*('Client contacts'!$G$2:$G$500="Y"),""),2),""))</f>
        <v/>
      </c>
      <c r="I75" s="5">
        <f>IF($A75="","",IFERROR(INDEX(FILTER('Client contacts'!$C$2:$C$500,('Client contacts'!$A$2:$A$500=$A75)*('Client contacts'!$G$2:$G$500="Y"),""),2),""))</f>
        <v/>
      </c>
      <c r="J75" s="8" t="n"/>
      <c r="K75" s="8" t="n"/>
      <c r="L75" s="8" t="n"/>
      <c r="M75" s="8" t="n"/>
      <c r="N75" s="8" t="n"/>
      <c r="O75" s="8" t="n"/>
      <c r="P75" s="8" t="n"/>
      <c r="Q75" s="8" t="n"/>
      <c r="R75" s="5">
        <f>IF($A75="","",IFERROR(INDEX(Companies!$I$2:$I$500,MATCH($A75,Companies!$A$2:$A$500,0)),""))</f>
        <v/>
      </c>
      <c r="S75" s="8" t="n"/>
      <c r="T75" s="8" t="n"/>
      <c r="U75" s="8" t="n"/>
      <c r="V75" s="8" t="n"/>
      <c r="W75" s="8" t="n"/>
    </row>
    <row r="76">
      <c r="C76" s="5">
        <f>IF($B76="","",TRIM(IF(INDEX('MOA role matrix'!$B$2:$D$13,1,MATCH($B76,'MOA role matrix'!$B$1:$D$1,0))="Fill","Project initiator, ","")IF(INDEX('MOA role matrix'!$B$2:$D$13,1,MATCH($B76,'MOA role matrix'!$B$1:$D$1,0))="If finance","Project initiator (if finance), ","")IF(INDEX('MOA role matrix'!$B$2:$D$13,1,MATCH($B76,'MOA role matrix'!$B$1:$D$1,0))="Auto","Project initiator (auto), ","")IF(INDEX('MOA role matrix'!$B$2:$D$13,2,MATCH($B76,'MOA role matrix'!$B$1:$D$1,0))="Fill","MOA signers (client), ","")IF(INDEX('MOA role matrix'!$B$2:$D$13,2,MATCH($B76,'MOA role matrix'!$B$1:$D$1,0))="If finance","MOA signers (client) (if finance), ","")IF(INDEX('MOA role matrix'!$B$2:$D$13,2,MATCH($B76,'MOA role matrix'!$B$1:$D$1,0))="Auto","MOA signers (client) (auto), ","")IF(INDEX('MOA role matrix'!$B$2:$D$13,3,MATCH($B76,'MOA role matrix'!$B$1:$D$1,0))="Fill","CFO / Head of Finance, ","")IF(INDEX('MOA role matrix'!$B$2:$D$13,3,MATCH($B76,'MOA role matrix'!$B$1:$D$1,0))="If finance","CFO / Head of Finance (if finance), ","")IF(INDEX('MOA role matrix'!$B$2:$D$13,3,MATCH($B76,'MOA role matrix'!$B$1:$D$1,0))="Auto","CFO / Head of Finance (auto), ","")IF(INDEX('MOA role matrix'!$B$2:$D$13,4,MATCH($B76,'MOA role matrix'!$B$1:$D$1,0))="Fill","CEO / COO / GM, ","")IF(INDEX('MOA role matrix'!$B$2:$D$13,4,MATCH($B76,'MOA role matrix'!$B$1:$D$1,0))="If finance","CEO / COO / GM (if finance), ","")IF(INDEX('MOA role matrix'!$B$2:$D$13,4,MATCH($B76,'MOA role matrix'!$B$1:$D$1,0))="Auto","CEO / COO / GM (auto), ","")IF(INDEX('MOA role matrix'!$B$2:$D$13,5,MATCH($B76,'MOA role matrix'!$B$1:$D$1,0))="Fill","Board member 1, ","")IF(INDEX('MOA role matrix'!$B$2:$D$13,5,MATCH($B76,'MOA role matrix'!$B$1:$D$1,0))="If finance","Board member 1 (if finance), ","")IF(INDEX('MOA role matrix'!$B$2:$D$13,5,MATCH($B76,'MOA role matrix'!$B$1:$D$1,0))="Auto","Board member 1 (auto), ","")IF(INDEX('MOA role matrix'!$B$2:$D$13,6,MATCH($B76,'MOA role matrix'!$B$1:$D$1,0))="Fill","Board member 2, ","")IF(INDEX('MOA role matrix'!$B$2:$D$13,6,MATCH($B76,'MOA role matrix'!$B$1:$D$1,0))="If finance","Board member 2 (if finance), ","")IF(INDEX('MOA role matrix'!$B$2:$D$13,6,MATCH($B76,'MOA role matrix'!$B$1:$D$1,0))="Auto","Board member 2 (auto), ","")IF(INDEX('MOA role matrix'!$B$2:$D$13,7,MATCH($B76,'MOA role matrix'!$B$1:$D$1,0))="Fill","LOA holder 1, ","")IF(INDEX('MOA role matrix'!$B$2:$D$13,7,MATCH($B76,'MOA role matrix'!$B$1:$D$1,0))="If finance","LOA holder 1 (if finance), ","")IF(INDEX('MOA role matrix'!$B$2:$D$13,7,MATCH($B76,'MOA role matrix'!$B$1:$D$1,0))="Auto","LOA holder 1 (auto), ","")IF(INDEX('MOA role matrix'!$B$2:$D$13,8,MATCH($B76,'MOA role matrix'!$B$1:$D$1,0))="Fill","LOA holder 2, ","")IF(INDEX('MOA role matrix'!$B$2:$D$13,8,MATCH($B76,'MOA role matrix'!$B$1:$D$1,0))="If finance","LOA holder 2 (if finance), ","")IF(INDEX('MOA role matrix'!$B$2:$D$13,8,MATCH($B76,'MOA role matrix'!$B$1:$D$1,0))="Auto","LOA holder 2 (auto), ","")IF(INDEX('MOA role matrix'!$B$2:$D$13,9,MATCH($B76,'MOA role matrix'!$B$1:$D$1,0))="Fill","Senior Manager CoSec, ","")IF(INDEX('MOA role matrix'!$B$2:$D$13,9,MATCH($B76,'MOA role matrix'!$B$1:$D$1,0))="If finance","Senior Manager CoSec (if finance), ","")IF(INDEX('MOA role matrix'!$B$2:$D$13,9,MATCH($B76,'MOA role matrix'!$B$1:$D$1,0))="Auto","Senior Manager CoSec (auto), ","")IF(INDEX('MOA role matrix'!$B$2:$D$13,10,MATCH($B76,'MOA role matrix'!$B$1:$D$1,0))="Fill","Division MOI managers, ","")IF(INDEX('MOA role matrix'!$B$2:$D$13,10,MATCH($B76,'MOA role matrix'!$B$1:$D$1,0))="If finance","Division MOI managers (if finance), ","")IF(INDEX('MOA role matrix'!$B$2:$D$13,10,MATCH($B76,'MOA role matrix'!$B$1:$D$1,0))="Auto","Division MOI managers (auto), ","")IF(INDEX('MOA role matrix'!$B$2:$D$13,11,MATCH($B76,'MOA role matrix'!$B$1:$D$1,0))="Fill","Ms Teh (bank), ","")IF(INDEX('MOA role matrix'!$B$2:$D$13,11,MATCH($B76,'MOA role matrix'!$B$1:$D$1,0))="If finance","Ms Teh (bank) (if finance), ","")IF(INDEX('MOA role matrix'!$B$2:$D$13,11,MATCH($B76,'MOA role matrix'!$B$1:$D$1,0))="Auto","Ms Teh (bank) (auto), ","")IF(INDEX('MOA role matrix'!$B$2:$D$13,12,MATCH($B76,'MOA role matrix'!$B$1:$D$1,0))="Fill","DLCM, ","")IF(INDEX('MOA role matrix'!$B$2:$D$13,12,MATCH($B76,'MOA role matrix'!$B$1:$D$1,0))="If finance","DLCM (if finance), ","")IF(INDEX('MOA role matrix'!$B$2:$D$13,12,MATCH($B76,'MOA role matrix'!$B$1:$D$1,0))="Auto","DLCM (auto), ","")))</f>
        <v/>
      </c>
      <c r="D76" s="5">
        <f>IF($A76="","",IFERROR(INDEX(FILTER('Client contacts'!$B$2:$B$500,('Client contacts'!$A$2:$A$500=$A76)*('Client contacts'!$H$2:$H$500="Y"),""),1),""))</f>
        <v/>
      </c>
      <c r="E76" s="5">
        <f>IF($A76="","",IFERROR(INDEX(FILTER('Client contacts'!$C$2:$C$500,('Client contacts'!$A$2:$A$500=$A76)*('Client contacts'!$H$2:$H$500="Y"),""),1),""))</f>
        <v/>
      </c>
      <c r="F76" s="5">
        <f>IF($A76="","",IFERROR(INDEX(FILTER('Client contacts'!$B$2:$B$500,('Client contacts'!$A$2:$A$500=$A76)*('Client contacts'!$G$2:$G$500="Y"),""),1),""))</f>
        <v/>
      </c>
      <c r="G76" s="5">
        <f>IF($A76="","",IFERROR(INDEX(FILTER('Client contacts'!$C$2:$C$500,('Client contacts'!$A$2:$A$500=$A76)*('Client contacts'!$G$2:$G$500="Y"),""),1),""))</f>
        <v/>
      </c>
      <c r="H76" s="5">
        <f>IF($A76="","",IFERROR(INDEX(FILTER('Client contacts'!$B$2:$B$500,('Client contacts'!$A$2:$A$500=$A76)*('Client contacts'!$G$2:$G$500="Y"),""),2),""))</f>
        <v/>
      </c>
      <c r="I76" s="5">
        <f>IF($A76="","",IFERROR(INDEX(FILTER('Client contacts'!$C$2:$C$500,('Client contacts'!$A$2:$A$500=$A76)*('Client contacts'!$G$2:$G$500="Y"),""),2),""))</f>
        <v/>
      </c>
      <c r="J76" s="8" t="n"/>
      <c r="K76" s="8" t="n"/>
      <c r="L76" s="8" t="n"/>
      <c r="M76" s="8" t="n"/>
      <c r="N76" s="8" t="n"/>
      <c r="O76" s="8" t="n"/>
      <c r="P76" s="8" t="n"/>
      <c r="Q76" s="8" t="n"/>
      <c r="R76" s="5">
        <f>IF($A76="","",IFERROR(INDEX(Companies!$I$2:$I$500,MATCH($A76,Companies!$A$2:$A$500,0)),""))</f>
        <v/>
      </c>
      <c r="S76" s="8" t="n"/>
      <c r="T76" s="8" t="n"/>
      <c r="U76" s="8" t="n"/>
      <c r="V76" s="8" t="n"/>
      <c r="W76" s="8" t="n"/>
    </row>
    <row r="77">
      <c r="C77" s="5">
        <f>IF($B77="","",TRIM(IF(INDEX('MOA role matrix'!$B$2:$D$13,1,MATCH($B77,'MOA role matrix'!$B$1:$D$1,0))="Fill","Project initiator, ","")IF(INDEX('MOA role matrix'!$B$2:$D$13,1,MATCH($B77,'MOA role matrix'!$B$1:$D$1,0))="If finance","Project initiator (if finance), ","")IF(INDEX('MOA role matrix'!$B$2:$D$13,1,MATCH($B77,'MOA role matrix'!$B$1:$D$1,0))="Auto","Project initiator (auto), ","")IF(INDEX('MOA role matrix'!$B$2:$D$13,2,MATCH($B77,'MOA role matrix'!$B$1:$D$1,0))="Fill","MOA signers (client), ","")IF(INDEX('MOA role matrix'!$B$2:$D$13,2,MATCH($B77,'MOA role matrix'!$B$1:$D$1,0))="If finance","MOA signers (client) (if finance), ","")IF(INDEX('MOA role matrix'!$B$2:$D$13,2,MATCH($B77,'MOA role matrix'!$B$1:$D$1,0))="Auto","MOA signers (client) (auto), ","")IF(INDEX('MOA role matrix'!$B$2:$D$13,3,MATCH($B77,'MOA role matrix'!$B$1:$D$1,0))="Fill","CFO / Head of Finance, ","")IF(INDEX('MOA role matrix'!$B$2:$D$13,3,MATCH($B77,'MOA role matrix'!$B$1:$D$1,0))="If finance","CFO / Head of Finance (if finance), ","")IF(INDEX('MOA role matrix'!$B$2:$D$13,3,MATCH($B77,'MOA role matrix'!$B$1:$D$1,0))="Auto","CFO / Head of Finance (auto), ","")IF(INDEX('MOA role matrix'!$B$2:$D$13,4,MATCH($B77,'MOA role matrix'!$B$1:$D$1,0))="Fill","CEO / COO / GM, ","")IF(INDEX('MOA role matrix'!$B$2:$D$13,4,MATCH($B77,'MOA role matrix'!$B$1:$D$1,0))="If finance","CEO / COO / GM (if finance), ","")IF(INDEX('MOA role matrix'!$B$2:$D$13,4,MATCH($B77,'MOA role matrix'!$B$1:$D$1,0))="Auto","CEO / COO / GM (auto), ","")IF(INDEX('MOA role matrix'!$B$2:$D$13,5,MATCH($B77,'MOA role matrix'!$B$1:$D$1,0))="Fill","Board member 1, ","")IF(INDEX('MOA role matrix'!$B$2:$D$13,5,MATCH($B77,'MOA role matrix'!$B$1:$D$1,0))="If finance","Board member 1 (if finance), ","")IF(INDEX('MOA role matrix'!$B$2:$D$13,5,MATCH($B77,'MOA role matrix'!$B$1:$D$1,0))="Auto","Board member 1 (auto), ","")IF(INDEX('MOA role matrix'!$B$2:$D$13,6,MATCH($B77,'MOA role matrix'!$B$1:$D$1,0))="Fill","Board member 2, ","")IF(INDEX('MOA role matrix'!$B$2:$D$13,6,MATCH($B77,'MOA role matrix'!$B$1:$D$1,0))="If finance","Board member 2 (if finance), ","")IF(INDEX('MOA role matrix'!$B$2:$D$13,6,MATCH($B77,'MOA role matrix'!$B$1:$D$1,0))="Auto","Board member 2 (auto), ","")IF(INDEX('MOA role matrix'!$B$2:$D$13,7,MATCH($B77,'MOA role matrix'!$B$1:$D$1,0))="Fill","LOA holder 1, ","")IF(INDEX('MOA role matrix'!$B$2:$D$13,7,MATCH($B77,'MOA role matrix'!$B$1:$D$1,0))="If finance","LOA holder 1 (if finance), ","")IF(INDEX('MOA role matrix'!$B$2:$D$13,7,MATCH($B77,'MOA role matrix'!$B$1:$D$1,0))="Auto","LOA holder 1 (auto), ","")IF(INDEX('MOA role matrix'!$B$2:$D$13,8,MATCH($B77,'MOA role matrix'!$B$1:$D$1,0))="Fill","LOA holder 2, ","")IF(INDEX('MOA role matrix'!$B$2:$D$13,8,MATCH($B77,'MOA role matrix'!$B$1:$D$1,0))="If finance","LOA holder 2 (if finance), ","")IF(INDEX('MOA role matrix'!$B$2:$D$13,8,MATCH($B77,'MOA role matrix'!$B$1:$D$1,0))="Auto","LOA holder 2 (auto), ","")IF(INDEX('MOA role matrix'!$B$2:$D$13,9,MATCH($B77,'MOA role matrix'!$B$1:$D$1,0))="Fill","Senior Manager CoSec, ","")IF(INDEX('MOA role matrix'!$B$2:$D$13,9,MATCH($B77,'MOA role matrix'!$B$1:$D$1,0))="If finance","Senior Manager CoSec (if finance), ","")IF(INDEX('MOA role matrix'!$B$2:$D$13,9,MATCH($B77,'MOA role matrix'!$B$1:$D$1,0))="Auto","Senior Manager CoSec (auto), ","")IF(INDEX('MOA role matrix'!$B$2:$D$13,10,MATCH($B77,'MOA role matrix'!$B$1:$D$1,0))="Fill","Division MOI managers, ","")IF(INDEX('MOA role matrix'!$B$2:$D$13,10,MATCH($B77,'MOA role matrix'!$B$1:$D$1,0))="If finance","Division MOI managers (if finance), ","")IF(INDEX('MOA role matrix'!$B$2:$D$13,10,MATCH($B77,'MOA role matrix'!$B$1:$D$1,0))="Auto","Division MOI managers (auto), ","")IF(INDEX('MOA role matrix'!$B$2:$D$13,11,MATCH($B77,'MOA role matrix'!$B$1:$D$1,0))="Fill","Ms Teh (bank), ","")IF(INDEX('MOA role matrix'!$B$2:$D$13,11,MATCH($B77,'MOA role matrix'!$B$1:$D$1,0))="If finance","Ms Teh (bank) (if finance), ","")IF(INDEX('MOA role matrix'!$B$2:$D$13,11,MATCH($B77,'MOA role matrix'!$B$1:$D$1,0))="Auto","Ms Teh (bank) (auto), ","")IF(INDEX('MOA role matrix'!$B$2:$D$13,12,MATCH($B77,'MOA role matrix'!$B$1:$D$1,0))="Fill","DLCM, ","")IF(INDEX('MOA role matrix'!$B$2:$D$13,12,MATCH($B77,'MOA role matrix'!$B$1:$D$1,0))="If finance","DLCM (if finance), ","")IF(INDEX('MOA role matrix'!$B$2:$D$13,12,MATCH($B77,'MOA role matrix'!$B$1:$D$1,0))="Auto","DLCM (auto), ","")))</f>
        <v/>
      </c>
      <c r="D77" s="5">
        <f>IF($A77="","",IFERROR(INDEX(FILTER('Client contacts'!$B$2:$B$500,('Client contacts'!$A$2:$A$500=$A77)*('Client contacts'!$H$2:$H$500="Y"),""),1),""))</f>
        <v/>
      </c>
      <c r="E77" s="5">
        <f>IF($A77="","",IFERROR(INDEX(FILTER('Client contacts'!$C$2:$C$500,('Client contacts'!$A$2:$A$500=$A77)*('Client contacts'!$H$2:$H$500="Y"),""),1),""))</f>
        <v/>
      </c>
      <c r="F77" s="5">
        <f>IF($A77="","",IFERROR(INDEX(FILTER('Client contacts'!$B$2:$B$500,('Client contacts'!$A$2:$A$500=$A77)*('Client contacts'!$G$2:$G$500="Y"),""),1),""))</f>
        <v/>
      </c>
      <c r="G77" s="5">
        <f>IF($A77="","",IFERROR(INDEX(FILTER('Client contacts'!$C$2:$C$500,('Client contacts'!$A$2:$A$500=$A77)*('Client contacts'!$G$2:$G$500="Y"),""),1),""))</f>
        <v/>
      </c>
      <c r="H77" s="5">
        <f>IF($A77="","",IFERROR(INDEX(FILTER('Client contacts'!$B$2:$B$500,('Client contacts'!$A$2:$A$500=$A77)*('Client contacts'!$G$2:$G$500="Y"),""),2),""))</f>
        <v/>
      </c>
      <c r="I77" s="5">
        <f>IF($A77="","",IFERROR(INDEX(FILTER('Client contacts'!$C$2:$C$500,('Client contacts'!$A$2:$A$500=$A77)*('Client contacts'!$G$2:$G$500="Y"),""),2),""))</f>
        <v/>
      </c>
      <c r="J77" s="8" t="n"/>
      <c r="K77" s="8" t="n"/>
      <c r="L77" s="8" t="n"/>
      <c r="M77" s="8" t="n"/>
      <c r="N77" s="8" t="n"/>
      <c r="O77" s="8" t="n"/>
      <c r="P77" s="8" t="n"/>
      <c r="Q77" s="8" t="n"/>
      <c r="R77" s="5">
        <f>IF($A77="","",IFERROR(INDEX(Companies!$I$2:$I$500,MATCH($A77,Companies!$A$2:$A$500,0)),""))</f>
        <v/>
      </c>
      <c r="S77" s="8" t="n"/>
      <c r="T77" s="8" t="n"/>
      <c r="U77" s="8" t="n"/>
      <c r="V77" s="8" t="n"/>
      <c r="W77" s="8" t="n"/>
    </row>
    <row r="78">
      <c r="C78" s="5">
        <f>IF($B78="","",TRIM(IF(INDEX('MOA role matrix'!$B$2:$D$13,1,MATCH($B78,'MOA role matrix'!$B$1:$D$1,0))="Fill","Project initiator, ","")IF(INDEX('MOA role matrix'!$B$2:$D$13,1,MATCH($B78,'MOA role matrix'!$B$1:$D$1,0))="If finance","Project initiator (if finance), ","")IF(INDEX('MOA role matrix'!$B$2:$D$13,1,MATCH($B78,'MOA role matrix'!$B$1:$D$1,0))="Auto","Project initiator (auto), ","")IF(INDEX('MOA role matrix'!$B$2:$D$13,2,MATCH($B78,'MOA role matrix'!$B$1:$D$1,0))="Fill","MOA signers (client), ","")IF(INDEX('MOA role matrix'!$B$2:$D$13,2,MATCH($B78,'MOA role matrix'!$B$1:$D$1,0))="If finance","MOA signers (client) (if finance), ","")IF(INDEX('MOA role matrix'!$B$2:$D$13,2,MATCH($B78,'MOA role matrix'!$B$1:$D$1,0))="Auto","MOA signers (client) (auto), ","")IF(INDEX('MOA role matrix'!$B$2:$D$13,3,MATCH($B78,'MOA role matrix'!$B$1:$D$1,0))="Fill","CFO / Head of Finance, ","")IF(INDEX('MOA role matrix'!$B$2:$D$13,3,MATCH($B78,'MOA role matrix'!$B$1:$D$1,0))="If finance","CFO / Head of Finance (if finance), ","")IF(INDEX('MOA role matrix'!$B$2:$D$13,3,MATCH($B78,'MOA role matrix'!$B$1:$D$1,0))="Auto","CFO / Head of Finance (auto), ","")IF(INDEX('MOA role matrix'!$B$2:$D$13,4,MATCH($B78,'MOA role matrix'!$B$1:$D$1,0))="Fill","CEO / COO / GM, ","")IF(INDEX('MOA role matrix'!$B$2:$D$13,4,MATCH($B78,'MOA role matrix'!$B$1:$D$1,0))="If finance","CEO / COO / GM (if finance), ","")IF(INDEX('MOA role matrix'!$B$2:$D$13,4,MATCH($B78,'MOA role matrix'!$B$1:$D$1,0))="Auto","CEO / COO / GM (auto), ","")IF(INDEX('MOA role matrix'!$B$2:$D$13,5,MATCH($B78,'MOA role matrix'!$B$1:$D$1,0))="Fill","Board member 1, ","")IF(INDEX('MOA role matrix'!$B$2:$D$13,5,MATCH($B78,'MOA role matrix'!$B$1:$D$1,0))="If finance","Board member 1 (if finance), ","")IF(INDEX('MOA role matrix'!$B$2:$D$13,5,MATCH($B78,'MOA role matrix'!$B$1:$D$1,0))="Auto","Board member 1 (auto), ","")IF(INDEX('MOA role matrix'!$B$2:$D$13,6,MATCH($B78,'MOA role matrix'!$B$1:$D$1,0))="Fill","Board member 2, ","")IF(INDEX('MOA role matrix'!$B$2:$D$13,6,MATCH($B78,'MOA role matrix'!$B$1:$D$1,0))="If finance","Board member 2 (if finance), ","")IF(INDEX('MOA role matrix'!$B$2:$D$13,6,MATCH($B78,'MOA role matrix'!$B$1:$D$1,0))="Auto","Board member 2 (auto), ","")IF(INDEX('MOA role matrix'!$B$2:$D$13,7,MATCH($B78,'MOA role matrix'!$B$1:$D$1,0))="Fill","LOA holder 1, ","")IF(INDEX('MOA role matrix'!$B$2:$D$13,7,MATCH($B78,'MOA role matrix'!$B$1:$D$1,0))="If finance","LOA holder 1 (if finance), ","")IF(INDEX('MOA role matrix'!$B$2:$D$13,7,MATCH($B78,'MOA role matrix'!$B$1:$D$1,0))="Auto","LOA holder 1 (auto), ","")IF(INDEX('MOA role matrix'!$B$2:$D$13,8,MATCH($B78,'MOA role matrix'!$B$1:$D$1,0))="Fill","LOA holder 2, ","")IF(INDEX('MOA role matrix'!$B$2:$D$13,8,MATCH($B78,'MOA role matrix'!$B$1:$D$1,0))="If finance","LOA holder 2 (if finance), ","")IF(INDEX('MOA role matrix'!$B$2:$D$13,8,MATCH($B78,'MOA role matrix'!$B$1:$D$1,0))="Auto","LOA holder 2 (auto), ","")IF(INDEX('MOA role matrix'!$B$2:$D$13,9,MATCH($B78,'MOA role matrix'!$B$1:$D$1,0))="Fill","Senior Manager CoSec, ","")IF(INDEX('MOA role matrix'!$B$2:$D$13,9,MATCH($B78,'MOA role matrix'!$B$1:$D$1,0))="If finance","Senior Manager CoSec (if finance), ","")IF(INDEX('MOA role matrix'!$B$2:$D$13,9,MATCH($B78,'MOA role matrix'!$B$1:$D$1,0))="Auto","Senior Manager CoSec (auto), ","")IF(INDEX('MOA role matrix'!$B$2:$D$13,10,MATCH($B78,'MOA role matrix'!$B$1:$D$1,0))="Fill","Division MOI managers, ","")IF(INDEX('MOA role matrix'!$B$2:$D$13,10,MATCH($B78,'MOA role matrix'!$B$1:$D$1,0))="If finance","Division MOI managers (if finance), ","")IF(INDEX('MOA role matrix'!$B$2:$D$13,10,MATCH($B78,'MOA role matrix'!$B$1:$D$1,0))="Auto","Division MOI managers (auto), ","")IF(INDEX('MOA role matrix'!$B$2:$D$13,11,MATCH($B78,'MOA role matrix'!$B$1:$D$1,0))="Fill","Ms Teh (bank), ","")IF(INDEX('MOA role matrix'!$B$2:$D$13,11,MATCH($B78,'MOA role matrix'!$B$1:$D$1,0))="If finance","Ms Teh (bank) (if finance), ","")IF(INDEX('MOA role matrix'!$B$2:$D$13,11,MATCH($B78,'MOA role matrix'!$B$1:$D$1,0))="Auto","Ms Teh (bank) (auto), ","")IF(INDEX('MOA role matrix'!$B$2:$D$13,12,MATCH($B78,'MOA role matrix'!$B$1:$D$1,0))="Fill","DLCM, ","")IF(INDEX('MOA role matrix'!$B$2:$D$13,12,MATCH($B78,'MOA role matrix'!$B$1:$D$1,0))="If finance","DLCM (if finance), ","")IF(INDEX('MOA role matrix'!$B$2:$D$13,12,MATCH($B78,'MOA role matrix'!$B$1:$D$1,0))="Auto","DLCM (auto), ","")))</f>
        <v/>
      </c>
      <c r="D78" s="5">
        <f>IF($A78="","",IFERROR(INDEX(FILTER('Client contacts'!$B$2:$B$500,('Client contacts'!$A$2:$A$500=$A78)*('Client contacts'!$H$2:$H$500="Y"),""),1),""))</f>
        <v/>
      </c>
      <c r="E78" s="5">
        <f>IF($A78="","",IFERROR(INDEX(FILTER('Client contacts'!$C$2:$C$500,('Client contacts'!$A$2:$A$500=$A78)*('Client contacts'!$H$2:$H$500="Y"),""),1),""))</f>
        <v/>
      </c>
      <c r="F78" s="5">
        <f>IF($A78="","",IFERROR(INDEX(FILTER('Client contacts'!$B$2:$B$500,('Client contacts'!$A$2:$A$500=$A78)*('Client contacts'!$G$2:$G$500="Y"),""),1),""))</f>
        <v/>
      </c>
      <c r="G78" s="5">
        <f>IF($A78="","",IFERROR(INDEX(FILTER('Client contacts'!$C$2:$C$500,('Client contacts'!$A$2:$A$500=$A78)*('Client contacts'!$G$2:$G$500="Y"),""),1),""))</f>
        <v/>
      </c>
      <c r="H78" s="5">
        <f>IF($A78="","",IFERROR(INDEX(FILTER('Client contacts'!$B$2:$B$500,('Client contacts'!$A$2:$A$500=$A78)*('Client contacts'!$G$2:$G$500="Y"),""),2),""))</f>
        <v/>
      </c>
      <c r="I78" s="5">
        <f>IF($A78="","",IFERROR(INDEX(FILTER('Client contacts'!$C$2:$C$500,('Client contacts'!$A$2:$A$500=$A78)*('Client contacts'!$G$2:$G$500="Y"),""),2),""))</f>
        <v/>
      </c>
      <c r="J78" s="8" t="n"/>
      <c r="K78" s="8" t="n"/>
      <c r="L78" s="8" t="n"/>
      <c r="M78" s="8" t="n"/>
      <c r="N78" s="8" t="n"/>
      <c r="O78" s="8" t="n"/>
      <c r="P78" s="8" t="n"/>
      <c r="Q78" s="8" t="n"/>
      <c r="R78" s="5">
        <f>IF($A78="","",IFERROR(INDEX(Companies!$I$2:$I$500,MATCH($A78,Companies!$A$2:$A$500,0)),""))</f>
        <v/>
      </c>
      <c r="S78" s="8" t="n"/>
      <c r="T78" s="8" t="n"/>
      <c r="U78" s="8" t="n"/>
      <c r="V78" s="8" t="n"/>
      <c r="W78" s="8" t="n"/>
    </row>
    <row r="79">
      <c r="C79" s="5">
        <f>IF($B79="","",TRIM(IF(INDEX('MOA role matrix'!$B$2:$D$13,1,MATCH($B79,'MOA role matrix'!$B$1:$D$1,0))="Fill","Project initiator, ","")IF(INDEX('MOA role matrix'!$B$2:$D$13,1,MATCH($B79,'MOA role matrix'!$B$1:$D$1,0))="If finance","Project initiator (if finance), ","")IF(INDEX('MOA role matrix'!$B$2:$D$13,1,MATCH($B79,'MOA role matrix'!$B$1:$D$1,0))="Auto","Project initiator (auto), ","")IF(INDEX('MOA role matrix'!$B$2:$D$13,2,MATCH($B79,'MOA role matrix'!$B$1:$D$1,0))="Fill","MOA signers (client), ","")IF(INDEX('MOA role matrix'!$B$2:$D$13,2,MATCH($B79,'MOA role matrix'!$B$1:$D$1,0))="If finance","MOA signers (client) (if finance), ","")IF(INDEX('MOA role matrix'!$B$2:$D$13,2,MATCH($B79,'MOA role matrix'!$B$1:$D$1,0))="Auto","MOA signers (client) (auto), ","")IF(INDEX('MOA role matrix'!$B$2:$D$13,3,MATCH($B79,'MOA role matrix'!$B$1:$D$1,0))="Fill","CFO / Head of Finance, ","")IF(INDEX('MOA role matrix'!$B$2:$D$13,3,MATCH($B79,'MOA role matrix'!$B$1:$D$1,0))="If finance","CFO / Head of Finance (if finance), ","")IF(INDEX('MOA role matrix'!$B$2:$D$13,3,MATCH($B79,'MOA role matrix'!$B$1:$D$1,0))="Auto","CFO / Head of Finance (auto), ","")IF(INDEX('MOA role matrix'!$B$2:$D$13,4,MATCH($B79,'MOA role matrix'!$B$1:$D$1,0))="Fill","CEO / COO / GM, ","")IF(INDEX('MOA role matrix'!$B$2:$D$13,4,MATCH($B79,'MOA role matrix'!$B$1:$D$1,0))="If finance","CEO / COO / GM (if finance), ","")IF(INDEX('MOA role matrix'!$B$2:$D$13,4,MATCH($B79,'MOA role matrix'!$B$1:$D$1,0))="Auto","CEO / COO / GM (auto), ","")IF(INDEX('MOA role matrix'!$B$2:$D$13,5,MATCH($B79,'MOA role matrix'!$B$1:$D$1,0))="Fill","Board member 1, ","")IF(INDEX('MOA role matrix'!$B$2:$D$13,5,MATCH($B79,'MOA role matrix'!$B$1:$D$1,0))="If finance","Board member 1 (if finance), ","")IF(INDEX('MOA role matrix'!$B$2:$D$13,5,MATCH($B79,'MOA role matrix'!$B$1:$D$1,0))="Auto","Board member 1 (auto), ","")IF(INDEX('MOA role matrix'!$B$2:$D$13,6,MATCH($B79,'MOA role matrix'!$B$1:$D$1,0))="Fill","Board member 2, ","")IF(INDEX('MOA role matrix'!$B$2:$D$13,6,MATCH($B79,'MOA role matrix'!$B$1:$D$1,0))="If finance","Board member 2 (if finance), ","")IF(INDEX('MOA role matrix'!$B$2:$D$13,6,MATCH($B79,'MOA role matrix'!$B$1:$D$1,0))="Auto","Board member 2 (auto), ","")IF(INDEX('MOA role matrix'!$B$2:$D$13,7,MATCH($B79,'MOA role matrix'!$B$1:$D$1,0))="Fill","LOA holder 1, ","")IF(INDEX('MOA role matrix'!$B$2:$D$13,7,MATCH($B79,'MOA role matrix'!$B$1:$D$1,0))="If finance","LOA holder 1 (if finance), ","")IF(INDEX('MOA role matrix'!$B$2:$D$13,7,MATCH($B79,'MOA role matrix'!$B$1:$D$1,0))="Auto","LOA holder 1 (auto), ","")IF(INDEX('MOA role matrix'!$B$2:$D$13,8,MATCH($B79,'MOA role matrix'!$B$1:$D$1,0))="Fill","LOA holder 2, ","")IF(INDEX('MOA role matrix'!$B$2:$D$13,8,MATCH($B79,'MOA role matrix'!$B$1:$D$1,0))="If finance","LOA holder 2 (if finance), ","")IF(INDEX('MOA role matrix'!$B$2:$D$13,8,MATCH($B79,'MOA role matrix'!$B$1:$D$1,0))="Auto","LOA holder 2 (auto), ","")IF(INDEX('MOA role matrix'!$B$2:$D$13,9,MATCH($B79,'MOA role matrix'!$B$1:$D$1,0))="Fill","Senior Manager CoSec, ","")IF(INDEX('MOA role matrix'!$B$2:$D$13,9,MATCH($B79,'MOA role matrix'!$B$1:$D$1,0))="If finance","Senior Manager CoSec (if finance), ","")IF(INDEX('MOA role matrix'!$B$2:$D$13,9,MATCH($B79,'MOA role matrix'!$B$1:$D$1,0))="Auto","Senior Manager CoSec (auto), ","")IF(INDEX('MOA role matrix'!$B$2:$D$13,10,MATCH($B79,'MOA role matrix'!$B$1:$D$1,0))="Fill","Division MOI managers, ","")IF(INDEX('MOA role matrix'!$B$2:$D$13,10,MATCH($B79,'MOA role matrix'!$B$1:$D$1,0))="If finance","Division MOI managers (if finance), ","")IF(INDEX('MOA role matrix'!$B$2:$D$13,10,MATCH($B79,'MOA role matrix'!$B$1:$D$1,0))="Auto","Division MOI managers (auto), ","")IF(INDEX('MOA role matrix'!$B$2:$D$13,11,MATCH($B79,'MOA role matrix'!$B$1:$D$1,0))="Fill","Ms Teh (bank), ","")IF(INDEX('MOA role matrix'!$B$2:$D$13,11,MATCH($B79,'MOA role matrix'!$B$1:$D$1,0))="If finance","Ms Teh (bank) (if finance), ","")IF(INDEX('MOA role matrix'!$B$2:$D$13,11,MATCH($B79,'MOA role matrix'!$B$1:$D$1,0))="Auto","Ms Teh (bank) (auto), ","")IF(INDEX('MOA role matrix'!$B$2:$D$13,12,MATCH($B79,'MOA role matrix'!$B$1:$D$1,0))="Fill","DLCM, ","")IF(INDEX('MOA role matrix'!$B$2:$D$13,12,MATCH($B79,'MOA role matrix'!$B$1:$D$1,0))="If finance","DLCM (if finance), ","")IF(INDEX('MOA role matrix'!$B$2:$D$13,12,MATCH($B79,'MOA role matrix'!$B$1:$D$1,0))="Auto","DLCM (auto), ","")))</f>
        <v/>
      </c>
      <c r="D79" s="5">
        <f>IF($A79="","",IFERROR(INDEX(FILTER('Client contacts'!$B$2:$B$500,('Client contacts'!$A$2:$A$500=$A79)*('Client contacts'!$H$2:$H$500="Y"),""),1),""))</f>
        <v/>
      </c>
      <c r="E79" s="5">
        <f>IF($A79="","",IFERROR(INDEX(FILTER('Client contacts'!$C$2:$C$500,('Client contacts'!$A$2:$A$500=$A79)*('Client contacts'!$H$2:$H$500="Y"),""),1),""))</f>
        <v/>
      </c>
      <c r="F79" s="5">
        <f>IF($A79="","",IFERROR(INDEX(FILTER('Client contacts'!$B$2:$B$500,('Client contacts'!$A$2:$A$500=$A79)*('Client contacts'!$G$2:$G$500="Y"),""),1),""))</f>
        <v/>
      </c>
      <c r="G79" s="5">
        <f>IF($A79="","",IFERROR(INDEX(FILTER('Client contacts'!$C$2:$C$500,('Client contacts'!$A$2:$A$500=$A79)*('Client contacts'!$G$2:$G$500="Y"),""),1),""))</f>
        <v/>
      </c>
      <c r="H79" s="5">
        <f>IF($A79="","",IFERROR(INDEX(FILTER('Client contacts'!$B$2:$B$500,('Client contacts'!$A$2:$A$500=$A79)*('Client contacts'!$G$2:$G$500="Y"),""),2),""))</f>
        <v/>
      </c>
      <c r="I79" s="5">
        <f>IF($A79="","",IFERROR(INDEX(FILTER('Client contacts'!$C$2:$C$500,('Client contacts'!$A$2:$A$500=$A79)*('Client contacts'!$G$2:$G$500="Y"),""),2),""))</f>
        <v/>
      </c>
      <c r="J79" s="8" t="n"/>
      <c r="K79" s="8" t="n"/>
      <c r="L79" s="8" t="n"/>
      <c r="M79" s="8" t="n"/>
      <c r="N79" s="8" t="n"/>
      <c r="O79" s="8" t="n"/>
      <c r="P79" s="8" t="n"/>
      <c r="Q79" s="8" t="n"/>
      <c r="R79" s="5">
        <f>IF($A79="","",IFERROR(INDEX(Companies!$I$2:$I$500,MATCH($A79,Companies!$A$2:$A$500,0)),""))</f>
        <v/>
      </c>
      <c r="S79" s="8" t="n"/>
      <c r="T79" s="8" t="n"/>
      <c r="U79" s="8" t="n"/>
      <c r="V79" s="8" t="n"/>
      <c r="W79" s="8" t="n"/>
    </row>
    <row r="80">
      <c r="C80" s="5">
        <f>IF($B80="","",TRIM(IF(INDEX('MOA role matrix'!$B$2:$D$13,1,MATCH($B80,'MOA role matrix'!$B$1:$D$1,0))="Fill","Project initiator, ","")IF(INDEX('MOA role matrix'!$B$2:$D$13,1,MATCH($B80,'MOA role matrix'!$B$1:$D$1,0))="If finance","Project initiator (if finance), ","")IF(INDEX('MOA role matrix'!$B$2:$D$13,1,MATCH($B80,'MOA role matrix'!$B$1:$D$1,0))="Auto","Project initiator (auto), ","")IF(INDEX('MOA role matrix'!$B$2:$D$13,2,MATCH($B80,'MOA role matrix'!$B$1:$D$1,0))="Fill","MOA signers (client), ","")IF(INDEX('MOA role matrix'!$B$2:$D$13,2,MATCH($B80,'MOA role matrix'!$B$1:$D$1,0))="If finance","MOA signers (client) (if finance), ","")IF(INDEX('MOA role matrix'!$B$2:$D$13,2,MATCH($B80,'MOA role matrix'!$B$1:$D$1,0))="Auto","MOA signers (client) (auto), ","")IF(INDEX('MOA role matrix'!$B$2:$D$13,3,MATCH($B80,'MOA role matrix'!$B$1:$D$1,0))="Fill","CFO / Head of Finance, ","")IF(INDEX('MOA role matrix'!$B$2:$D$13,3,MATCH($B80,'MOA role matrix'!$B$1:$D$1,0))="If finance","CFO / Head of Finance (if finance), ","")IF(INDEX('MOA role matrix'!$B$2:$D$13,3,MATCH($B80,'MOA role matrix'!$B$1:$D$1,0))="Auto","CFO / Head of Finance (auto), ","")IF(INDEX('MOA role matrix'!$B$2:$D$13,4,MATCH($B80,'MOA role matrix'!$B$1:$D$1,0))="Fill","CEO / COO / GM, ","")IF(INDEX('MOA role matrix'!$B$2:$D$13,4,MATCH($B80,'MOA role matrix'!$B$1:$D$1,0))="If finance","CEO / COO / GM (if finance), ","")IF(INDEX('MOA role matrix'!$B$2:$D$13,4,MATCH($B80,'MOA role matrix'!$B$1:$D$1,0))="Auto","CEO / COO / GM (auto), ","")IF(INDEX('MOA role matrix'!$B$2:$D$13,5,MATCH($B80,'MOA role matrix'!$B$1:$D$1,0))="Fill","Board member 1, ","")IF(INDEX('MOA role matrix'!$B$2:$D$13,5,MATCH($B80,'MOA role matrix'!$B$1:$D$1,0))="If finance","Board member 1 (if finance), ","")IF(INDEX('MOA role matrix'!$B$2:$D$13,5,MATCH($B80,'MOA role matrix'!$B$1:$D$1,0))="Auto","Board member 1 (auto), ","")IF(INDEX('MOA role matrix'!$B$2:$D$13,6,MATCH($B80,'MOA role matrix'!$B$1:$D$1,0))="Fill","Board member 2, ","")IF(INDEX('MOA role matrix'!$B$2:$D$13,6,MATCH($B80,'MOA role matrix'!$B$1:$D$1,0))="If finance","Board member 2 (if finance), ","")IF(INDEX('MOA role matrix'!$B$2:$D$13,6,MATCH($B80,'MOA role matrix'!$B$1:$D$1,0))="Auto","Board member 2 (auto), ","")IF(INDEX('MOA role matrix'!$B$2:$D$13,7,MATCH($B80,'MOA role matrix'!$B$1:$D$1,0))="Fill","LOA holder 1, ","")IF(INDEX('MOA role matrix'!$B$2:$D$13,7,MATCH($B80,'MOA role matrix'!$B$1:$D$1,0))="If finance","LOA holder 1 (if finance), ","")IF(INDEX('MOA role matrix'!$B$2:$D$13,7,MATCH($B80,'MOA role matrix'!$B$1:$D$1,0))="Auto","LOA holder 1 (auto), ","")IF(INDEX('MOA role matrix'!$B$2:$D$13,8,MATCH($B80,'MOA role matrix'!$B$1:$D$1,0))="Fill","LOA holder 2, ","")IF(INDEX('MOA role matrix'!$B$2:$D$13,8,MATCH($B80,'MOA role matrix'!$B$1:$D$1,0))="If finance","LOA holder 2 (if finance), ","")IF(INDEX('MOA role matrix'!$B$2:$D$13,8,MATCH($B80,'MOA role matrix'!$B$1:$D$1,0))="Auto","LOA holder 2 (auto), ","")IF(INDEX('MOA role matrix'!$B$2:$D$13,9,MATCH($B80,'MOA role matrix'!$B$1:$D$1,0))="Fill","Senior Manager CoSec, ","")IF(INDEX('MOA role matrix'!$B$2:$D$13,9,MATCH($B80,'MOA role matrix'!$B$1:$D$1,0))="If finance","Senior Manager CoSec (if finance), ","")IF(INDEX('MOA role matrix'!$B$2:$D$13,9,MATCH($B80,'MOA role matrix'!$B$1:$D$1,0))="Auto","Senior Manager CoSec (auto), ","")IF(INDEX('MOA role matrix'!$B$2:$D$13,10,MATCH($B80,'MOA role matrix'!$B$1:$D$1,0))="Fill","Division MOI managers, ","")IF(INDEX('MOA role matrix'!$B$2:$D$13,10,MATCH($B80,'MOA role matrix'!$B$1:$D$1,0))="If finance","Division MOI managers (if finance), ","")IF(INDEX('MOA role matrix'!$B$2:$D$13,10,MATCH($B80,'MOA role matrix'!$B$1:$D$1,0))="Auto","Division MOI managers (auto), ","")IF(INDEX('MOA role matrix'!$B$2:$D$13,11,MATCH($B80,'MOA role matrix'!$B$1:$D$1,0))="Fill","Ms Teh (bank), ","")IF(INDEX('MOA role matrix'!$B$2:$D$13,11,MATCH($B80,'MOA role matrix'!$B$1:$D$1,0))="If finance","Ms Teh (bank) (if finance), ","")IF(INDEX('MOA role matrix'!$B$2:$D$13,11,MATCH($B80,'MOA role matrix'!$B$1:$D$1,0))="Auto","Ms Teh (bank) (auto), ","")IF(INDEX('MOA role matrix'!$B$2:$D$13,12,MATCH($B80,'MOA role matrix'!$B$1:$D$1,0))="Fill","DLCM, ","")IF(INDEX('MOA role matrix'!$B$2:$D$13,12,MATCH($B80,'MOA role matrix'!$B$1:$D$1,0))="If finance","DLCM (if finance), ","")IF(INDEX('MOA role matrix'!$B$2:$D$13,12,MATCH($B80,'MOA role matrix'!$B$1:$D$1,0))="Auto","DLCM (auto), ","")))</f>
        <v/>
      </c>
      <c r="D80" s="5">
        <f>IF($A80="","",IFERROR(INDEX(FILTER('Client contacts'!$B$2:$B$500,('Client contacts'!$A$2:$A$500=$A80)*('Client contacts'!$H$2:$H$500="Y"),""),1),""))</f>
        <v/>
      </c>
      <c r="E80" s="5">
        <f>IF($A80="","",IFERROR(INDEX(FILTER('Client contacts'!$C$2:$C$500,('Client contacts'!$A$2:$A$500=$A80)*('Client contacts'!$H$2:$H$500="Y"),""),1),""))</f>
        <v/>
      </c>
      <c r="F80" s="5">
        <f>IF($A80="","",IFERROR(INDEX(FILTER('Client contacts'!$B$2:$B$500,('Client contacts'!$A$2:$A$500=$A80)*('Client contacts'!$G$2:$G$500="Y"),""),1),""))</f>
        <v/>
      </c>
      <c r="G80" s="5">
        <f>IF($A80="","",IFERROR(INDEX(FILTER('Client contacts'!$C$2:$C$500,('Client contacts'!$A$2:$A$500=$A80)*('Client contacts'!$G$2:$G$500="Y"),""),1),""))</f>
        <v/>
      </c>
      <c r="H80" s="5">
        <f>IF($A80="","",IFERROR(INDEX(FILTER('Client contacts'!$B$2:$B$500,('Client contacts'!$A$2:$A$500=$A80)*('Client contacts'!$G$2:$G$500="Y"),""),2),""))</f>
        <v/>
      </c>
      <c r="I80" s="5">
        <f>IF($A80="","",IFERROR(INDEX(FILTER('Client contacts'!$C$2:$C$500,('Client contacts'!$A$2:$A$500=$A80)*('Client contacts'!$G$2:$G$500="Y"),""),2),""))</f>
        <v/>
      </c>
      <c r="J80" s="8" t="n"/>
      <c r="K80" s="8" t="n"/>
      <c r="L80" s="8" t="n"/>
      <c r="M80" s="8" t="n"/>
      <c r="N80" s="8" t="n"/>
      <c r="O80" s="8" t="n"/>
      <c r="P80" s="8" t="n"/>
      <c r="Q80" s="8" t="n"/>
      <c r="R80" s="5">
        <f>IF($A80="","",IFERROR(INDEX(Companies!$I$2:$I$500,MATCH($A80,Companies!$A$2:$A$500,0)),""))</f>
        <v/>
      </c>
      <c r="S80" s="8" t="n"/>
      <c r="T80" s="8" t="n"/>
      <c r="U80" s="8" t="n"/>
      <c r="V80" s="8" t="n"/>
      <c r="W80" s="8" t="n"/>
    </row>
    <row r="81">
      <c r="C81" s="5">
        <f>IF($B81="","",TRIM(IF(INDEX('MOA role matrix'!$B$2:$D$13,1,MATCH($B81,'MOA role matrix'!$B$1:$D$1,0))="Fill","Project initiator, ","")IF(INDEX('MOA role matrix'!$B$2:$D$13,1,MATCH($B81,'MOA role matrix'!$B$1:$D$1,0))="If finance","Project initiator (if finance), ","")IF(INDEX('MOA role matrix'!$B$2:$D$13,1,MATCH($B81,'MOA role matrix'!$B$1:$D$1,0))="Auto","Project initiator (auto), ","")IF(INDEX('MOA role matrix'!$B$2:$D$13,2,MATCH($B81,'MOA role matrix'!$B$1:$D$1,0))="Fill","MOA signers (client), ","")IF(INDEX('MOA role matrix'!$B$2:$D$13,2,MATCH($B81,'MOA role matrix'!$B$1:$D$1,0))="If finance","MOA signers (client) (if finance), ","")IF(INDEX('MOA role matrix'!$B$2:$D$13,2,MATCH($B81,'MOA role matrix'!$B$1:$D$1,0))="Auto","MOA signers (client) (auto), ","")IF(INDEX('MOA role matrix'!$B$2:$D$13,3,MATCH($B81,'MOA role matrix'!$B$1:$D$1,0))="Fill","CFO / Head of Finance, ","")IF(INDEX('MOA role matrix'!$B$2:$D$13,3,MATCH($B81,'MOA role matrix'!$B$1:$D$1,0))="If finance","CFO / Head of Finance (if finance), ","")IF(INDEX('MOA role matrix'!$B$2:$D$13,3,MATCH($B81,'MOA role matrix'!$B$1:$D$1,0))="Auto","CFO / Head of Finance (auto), ","")IF(INDEX('MOA role matrix'!$B$2:$D$13,4,MATCH($B81,'MOA role matrix'!$B$1:$D$1,0))="Fill","CEO / COO / GM, ","")IF(INDEX('MOA role matrix'!$B$2:$D$13,4,MATCH($B81,'MOA role matrix'!$B$1:$D$1,0))="If finance","CEO / COO / GM (if finance), ","")IF(INDEX('MOA role matrix'!$B$2:$D$13,4,MATCH($B81,'MOA role matrix'!$B$1:$D$1,0))="Auto","CEO / COO / GM (auto), ","")IF(INDEX('MOA role matrix'!$B$2:$D$13,5,MATCH($B81,'MOA role matrix'!$B$1:$D$1,0))="Fill","Board member 1, ","")IF(INDEX('MOA role matrix'!$B$2:$D$13,5,MATCH($B81,'MOA role matrix'!$B$1:$D$1,0))="If finance","Board member 1 (if finance), ","")IF(INDEX('MOA role matrix'!$B$2:$D$13,5,MATCH($B81,'MOA role matrix'!$B$1:$D$1,0))="Auto","Board member 1 (auto), ","")IF(INDEX('MOA role matrix'!$B$2:$D$13,6,MATCH($B81,'MOA role matrix'!$B$1:$D$1,0))="Fill","Board member 2, ","")IF(INDEX('MOA role matrix'!$B$2:$D$13,6,MATCH($B81,'MOA role matrix'!$B$1:$D$1,0))="If finance","Board member 2 (if finance), ","")IF(INDEX('MOA role matrix'!$B$2:$D$13,6,MATCH($B81,'MOA role matrix'!$B$1:$D$1,0))="Auto","Board member 2 (auto), ","")IF(INDEX('MOA role matrix'!$B$2:$D$13,7,MATCH($B81,'MOA role matrix'!$B$1:$D$1,0))="Fill","LOA holder 1, ","")IF(INDEX('MOA role matrix'!$B$2:$D$13,7,MATCH($B81,'MOA role matrix'!$B$1:$D$1,0))="If finance","LOA holder 1 (if finance), ","")IF(INDEX('MOA role matrix'!$B$2:$D$13,7,MATCH($B81,'MOA role matrix'!$B$1:$D$1,0))="Auto","LOA holder 1 (auto), ","")IF(INDEX('MOA role matrix'!$B$2:$D$13,8,MATCH($B81,'MOA role matrix'!$B$1:$D$1,0))="Fill","LOA holder 2, ","")IF(INDEX('MOA role matrix'!$B$2:$D$13,8,MATCH($B81,'MOA role matrix'!$B$1:$D$1,0))="If finance","LOA holder 2 (if finance), ","")IF(INDEX('MOA role matrix'!$B$2:$D$13,8,MATCH($B81,'MOA role matrix'!$B$1:$D$1,0))="Auto","LOA holder 2 (auto), ","")IF(INDEX('MOA role matrix'!$B$2:$D$13,9,MATCH($B81,'MOA role matrix'!$B$1:$D$1,0))="Fill","Senior Manager CoSec, ","")IF(INDEX('MOA role matrix'!$B$2:$D$13,9,MATCH($B81,'MOA role matrix'!$B$1:$D$1,0))="If finance","Senior Manager CoSec (if finance), ","")IF(INDEX('MOA role matrix'!$B$2:$D$13,9,MATCH($B81,'MOA role matrix'!$B$1:$D$1,0))="Auto","Senior Manager CoSec (auto), ","")IF(INDEX('MOA role matrix'!$B$2:$D$13,10,MATCH($B81,'MOA role matrix'!$B$1:$D$1,0))="Fill","Division MOI managers, ","")IF(INDEX('MOA role matrix'!$B$2:$D$13,10,MATCH($B81,'MOA role matrix'!$B$1:$D$1,0))="If finance","Division MOI managers (if finance), ","")IF(INDEX('MOA role matrix'!$B$2:$D$13,10,MATCH($B81,'MOA role matrix'!$B$1:$D$1,0))="Auto","Division MOI managers (auto), ","")IF(INDEX('MOA role matrix'!$B$2:$D$13,11,MATCH($B81,'MOA role matrix'!$B$1:$D$1,0))="Fill","Ms Teh (bank), ","")IF(INDEX('MOA role matrix'!$B$2:$D$13,11,MATCH($B81,'MOA role matrix'!$B$1:$D$1,0))="If finance","Ms Teh (bank) (if finance), ","")IF(INDEX('MOA role matrix'!$B$2:$D$13,11,MATCH($B81,'MOA role matrix'!$B$1:$D$1,0))="Auto","Ms Teh (bank) (auto), ","")IF(INDEX('MOA role matrix'!$B$2:$D$13,12,MATCH($B81,'MOA role matrix'!$B$1:$D$1,0))="Fill","DLCM, ","")IF(INDEX('MOA role matrix'!$B$2:$D$13,12,MATCH($B81,'MOA role matrix'!$B$1:$D$1,0))="If finance","DLCM (if finance), ","")IF(INDEX('MOA role matrix'!$B$2:$D$13,12,MATCH($B81,'MOA role matrix'!$B$1:$D$1,0))="Auto","DLCM (auto), ","")))</f>
        <v/>
      </c>
      <c r="D81" s="5">
        <f>IF($A81="","",IFERROR(INDEX(FILTER('Client contacts'!$B$2:$B$500,('Client contacts'!$A$2:$A$500=$A81)*('Client contacts'!$H$2:$H$500="Y"),""),1),""))</f>
        <v/>
      </c>
      <c r="E81" s="5">
        <f>IF($A81="","",IFERROR(INDEX(FILTER('Client contacts'!$C$2:$C$500,('Client contacts'!$A$2:$A$500=$A81)*('Client contacts'!$H$2:$H$500="Y"),""),1),""))</f>
        <v/>
      </c>
      <c r="F81" s="5">
        <f>IF($A81="","",IFERROR(INDEX(FILTER('Client contacts'!$B$2:$B$500,('Client contacts'!$A$2:$A$500=$A81)*('Client contacts'!$G$2:$G$500="Y"),""),1),""))</f>
        <v/>
      </c>
      <c r="G81" s="5">
        <f>IF($A81="","",IFERROR(INDEX(FILTER('Client contacts'!$C$2:$C$500,('Client contacts'!$A$2:$A$500=$A81)*('Client contacts'!$G$2:$G$500="Y"),""),1),""))</f>
        <v/>
      </c>
      <c r="H81" s="5">
        <f>IF($A81="","",IFERROR(INDEX(FILTER('Client contacts'!$B$2:$B$500,('Client contacts'!$A$2:$A$500=$A81)*('Client contacts'!$G$2:$G$500="Y"),""),2),""))</f>
        <v/>
      </c>
      <c r="I81" s="5">
        <f>IF($A81="","",IFERROR(INDEX(FILTER('Client contacts'!$C$2:$C$500,('Client contacts'!$A$2:$A$500=$A81)*('Client contacts'!$G$2:$G$500="Y"),""),2),""))</f>
        <v/>
      </c>
      <c r="J81" s="8" t="n"/>
      <c r="K81" s="8" t="n"/>
      <c r="L81" s="8" t="n"/>
      <c r="M81" s="8" t="n"/>
      <c r="N81" s="8" t="n"/>
      <c r="O81" s="8" t="n"/>
      <c r="P81" s="8" t="n"/>
      <c r="Q81" s="8" t="n"/>
      <c r="R81" s="5">
        <f>IF($A81="","",IFERROR(INDEX(Companies!$I$2:$I$500,MATCH($A81,Companies!$A$2:$A$500,0)),""))</f>
        <v/>
      </c>
      <c r="S81" s="8" t="n"/>
      <c r="T81" s="8" t="n"/>
      <c r="U81" s="8" t="n"/>
      <c r="V81" s="8" t="n"/>
      <c r="W81" s="8" t="n"/>
    </row>
    <row r="82">
      <c r="C82" s="5">
        <f>IF($B82="","",TRIM(IF(INDEX('MOA role matrix'!$B$2:$D$13,1,MATCH($B82,'MOA role matrix'!$B$1:$D$1,0))="Fill","Project initiator, ","")IF(INDEX('MOA role matrix'!$B$2:$D$13,1,MATCH($B82,'MOA role matrix'!$B$1:$D$1,0))="If finance","Project initiator (if finance), ","")IF(INDEX('MOA role matrix'!$B$2:$D$13,1,MATCH($B82,'MOA role matrix'!$B$1:$D$1,0))="Auto","Project initiator (auto), ","")IF(INDEX('MOA role matrix'!$B$2:$D$13,2,MATCH($B82,'MOA role matrix'!$B$1:$D$1,0))="Fill","MOA signers (client), ","")IF(INDEX('MOA role matrix'!$B$2:$D$13,2,MATCH($B82,'MOA role matrix'!$B$1:$D$1,0))="If finance","MOA signers (client) (if finance), ","")IF(INDEX('MOA role matrix'!$B$2:$D$13,2,MATCH($B82,'MOA role matrix'!$B$1:$D$1,0))="Auto","MOA signers (client) (auto), ","")IF(INDEX('MOA role matrix'!$B$2:$D$13,3,MATCH($B82,'MOA role matrix'!$B$1:$D$1,0))="Fill","CFO / Head of Finance, ","")IF(INDEX('MOA role matrix'!$B$2:$D$13,3,MATCH($B82,'MOA role matrix'!$B$1:$D$1,0))="If finance","CFO / Head of Finance (if finance), ","")IF(INDEX('MOA role matrix'!$B$2:$D$13,3,MATCH($B82,'MOA role matrix'!$B$1:$D$1,0))="Auto","CFO / Head of Finance (auto), ","")IF(INDEX('MOA role matrix'!$B$2:$D$13,4,MATCH($B82,'MOA role matrix'!$B$1:$D$1,0))="Fill","CEO / COO / GM, ","")IF(INDEX('MOA role matrix'!$B$2:$D$13,4,MATCH($B82,'MOA role matrix'!$B$1:$D$1,0))="If finance","CEO / COO / GM (if finance), ","")IF(INDEX('MOA role matrix'!$B$2:$D$13,4,MATCH($B82,'MOA role matrix'!$B$1:$D$1,0))="Auto","CEO / COO / GM (auto), ","")IF(INDEX('MOA role matrix'!$B$2:$D$13,5,MATCH($B82,'MOA role matrix'!$B$1:$D$1,0))="Fill","Board member 1, ","")IF(INDEX('MOA role matrix'!$B$2:$D$13,5,MATCH($B82,'MOA role matrix'!$B$1:$D$1,0))="If finance","Board member 1 (if finance), ","")IF(INDEX('MOA role matrix'!$B$2:$D$13,5,MATCH($B82,'MOA role matrix'!$B$1:$D$1,0))="Auto","Board member 1 (auto), ","")IF(INDEX('MOA role matrix'!$B$2:$D$13,6,MATCH($B82,'MOA role matrix'!$B$1:$D$1,0))="Fill","Board member 2, ","")IF(INDEX('MOA role matrix'!$B$2:$D$13,6,MATCH($B82,'MOA role matrix'!$B$1:$D$1,0))="If finance","Board member 2 (if finance), ","")IF(INDEX('MOA role matrix'!$B$2:$D$13,6,MATCH($B82,'MOA role matrix'!$B$1:$D$1,0))="Auto","Board member 2 (auto), ","")IF(INDEX('MOA role matrix'!$B$2:$D$13,7,MATCH($B82,'MOA role matrix'!$B$1:$D$1,0))="Fill","LOA holder 1, ","")IF(INDEX('MOA role matrix'!$B$2:$D$13,7,MATCH($B82,'MOA role matrix'!$B$1:$D$1,0))="If finance","LOA holder 1 (if finance), ","")IF(INDEX('MOA role matrix'!$B$2:$D$13,7,MATCH($B82,'MOA role matrix'!$B$1:$D$1,0))="Auto","LOA holder 1 (auto), ","")IF(INDEX('MOA role matrix'!$B$2:$D$13,8,MATCH($B82,'MOA role matrix'!$B$1:$D$1,0))="Fill","LOA holder 2, ","")IF(INDEX('MOA role matrix'!$B$2:$D$13,8,MATCH($B82,'MOA role matrix'!$B$1:$D$1,0))="If finance","LOA holder 2 (if finance), ","")IF(INDEX('MOA role matrix'!$B$2:$D$13,8,MATCH($B82,'MOA role matrix'!$B$1:$D$1,0))="Auto","LOA holder 2 (auto), ","")IF(INDEX('MOA role matrix'!$B$2:$D$13,9,MATCH($B82,'MOA role matrix'!$B$1:$D$1,0))="Fill","Senior Manager CoSec, ","")IF(INDEX('MOA role matrix'!$B$2:$D$13,9,MATCH($B82,'MOA role matrix'!$B$1:$D$1,0))="If finance","Senior Manager CoSec (if finance), ","")IF(INDEX('MOA role matrix'!$B$2:$D$13,9,MATCH($B82,'MOA role matrix'!$B$1:$D$1,0))="Auto","Senior Manager CoSec (auto), ","")IF(INDEX('MOA role matrix'!$B$2:$D$13,10,MATCH($B82,'MOA role matrix'!$B$1:$D$1,0))="Fill","Division MOI managers, ","")IF(INDEX('MOA role matrix'!$B$2:$D$13,10,MATCH($B82,'MOA role matrix'!$B$1:$D$1,0))="If finance","Division MOI managers (if finance), ","")IF(INDEX('MOA role matrix'!$B$2:$D$13,10,MATCH($B82,'MOA role matrix'!$B$1:$D$1,0))="Auto","Division MOI managers (auto), ","")IF(INDEX('MOA role matrix'!$B$2:$D$13,11,MATCH($B82,'MOA role matrix'!$B$1:$D$1,0))="Fill","Ms Teh (bank), ","")IF(INDEX('MOA role matrix'!$B$2:$D$13,11,MATCH($B82,'MOA role matrix'!$B$1:$D$1,0))="If finance","Ms Teh (bank) (if finance), ","")IF(INDEX('MOA role matrix'!$B$2:$D$13,11,MATCH($B82,'MOA role matrix'!$B$1:$D$1,0))="Auto","Ms Teh (bank) (auto), ","")IF(INDEX('MOA role matrix'!$B$2:$D$13,12,MATCH($B82,'MOA role matrix'!$B$1:$D$1,0))="Fill","DLCM, ","")IF(INDEX('MOA role matrix'!$B$2:$D$13,12,MATCH($B82,'MOA role matrix'!$B$1:$D$1,0))="If finance","DLCM (if finance), ","")IF(INDEX('MOA role matrix'!$B$2:$D$13,12,MATCH($B82,'MOA role matrix'!$B$1:$D$1,0))="Auto","DLCM (auto), ","")))</f>
        <v/>
      </c>
      <c r="D82" s="5">
        <f>IF($A82="","",IFERROR(INDEX(FILTER('Client contacts'!$B$2:$B$500,('Client contacts'!$A$2:$A$500=$A82)*('Client contacts'!$H$2:$H$500="Y"),""),1),""))</f>
        <v/>
      </c>
      <c r="E82" s="5">
        <f>IF($A82="","",IFERROR(INDEX(FILTER('Client contacts'!$C$2:$C$500,('Client contacts'!$A$2:$A$500=$A82)*('Client contacts'!$H$2:$H$500="Y"),""),1),""))</f>
        <v/>
      </c>
      <c r="F82" s="5">
        <f>IF($A82="","",IFERROR(INDEX(FILTER('Client contacts'!$B$2:$B$500,('Client contacts'!$A$2:$A$500=$A82)*('Client contacts'!$G$2:$G$500="Y"),""),1),""))</f>
        <v/>
      </c>
      <c r="G82" s="5">
        <f>IF($A82="","",IFERROR(INDEX(FILTER('Client contacts'!$C$2:$C$500,('Client contacts'!$A$2:$A$500=$A82)*('Client contacts'!$G$2:$G$500="Y"),""),1),""))</f>
        <v/>
      </c>
      <c r="H82" s="5">
        <f>IF($A82="","",IFERROR(INDEX(FILTER('Client contacts'!$B$2:$B$500,('Client contacts'!$A$2:$A$500=$A82)*('Client contacts'!$G$2:$G$500="Y"),""),2),""))</f>
        <v/>
      </c>
      <c r="I82" s="5">
        <f>IF($A82="","",IFERROR(INDEX(FILTER('Client contacts'!$C$2:$C$500,('Client contacts'!$A$2:$A$500=$A82)*('Client contacts'!$G$2:$G$500="Y"),""),2),""))</f>
        <v/>
      </c>
      <c r="J82" s="8" t="n"/>
      <c r="K82" s="8" t="n"/>
      <c r="L82" s="8" t="n"/>
      <c r="M82" s="8" t="n"/>
      <c r="N82" s="8" t="n"/>
      <c r="O82" s="8" t="n"/>
      <c r="P82" s="8" t="n"/>
      <c r="Q82" s="8" t="n"/>
      <c r="R82" s="5">
        <f>IF($A82="","",IFERROR(INDEX(Companies!$I$2:$I$500,MATCH($A82,Companies!$A$2:$A$500,0)),""))</f>
        <v/>
      </c>
      <c r="S82" s="8" t="n"/>
      <c r="T82" s="8" t="n"/>
      <c r="U82" s="8" t="n"/>
      <c r="V82" s="8" t="n"/>
      <c r="W82" s="8" t="n"/>
    </row>
    <row r="83">
      <c r="C83" s="5">
        <f>IF($B83="","",TRIM(IF(INDEX('MOA role matrix'!$B$2:$D$13,1,MATCH($B83,'MOA role matrix'!$B$1:$D$1,0))="Fill","Project initiator, ","")IF(INDEX('MOA role matrix'!$B$2:$D$13,1,MATCH($B83,'MOA role matrix'!$B$1:$D$1,0))="If finance","Project initiator (if finance), ","")IF(INDEX('MOA role matrix'!$B$2:$D$13,1,MATCH($B83,'MOA role matrix'!$B$1:$D$1,0))="Auto","Project initiator (auto), ","")IF(INDEX('MOA role matrix'!$B$2:$D$13,2,MATCH($B83,'MOA role matrix'!$B$1:$D$1,0))="Fill","MOA signers (client), ","")IF(INDEX('MOA role matrix'!$B$2:$D$13,2,MATCH($B83,'MOA role matrix'!$B$1:$D$1,0))="If finance","MOA signers (client) (if finance), ","")IF(INDEX('MOA role matrix'!$B$2:$D$13,2,MATCH($B83,'MOA role matrix'!$B$1:$D$1,0))="Auto","MOA signers (client) (auto), ","")IF(INDEX('MOA role matrix'!$B$2:$D$13,3,MATCH($B83,'MOA role matrix'!$B$1:$D$1,0))="Fill","CFO / Head of Finance, ","")IF(INDEX('MOA role matrix'!$B$2:$D$13,3,MATCH($B83,'MOA role matrix'!$B$1:$D$1,0))="If finance","CFO / Head of Finance (if finance), ","")IF(INDEX('MOA role matrix'!$B$2:$D$13,3,MATCH($B83,'MOA role matrix'!$B$1:$D$1,0))="Auto","CFO / Head of Finance (auto), ","")IF(INDEX('MOA role matrix'!$B$2:$D$13,4,MATCH($B83,'MOA role matrix'!$B$1:$D$1,0))="Fill","CEO / COO / GM, ","")IF(INDEX('MOA role matrix'!$B$2:$D$13,4,MATCH($B83,'MOA role matrix'!$B$1:$D$1,0))="If finance","CEO / COO / GM (if finance), ","")IF(INDEX('MOA role matrix'!$B$2:$D$13,4,MATCH($B83,'MOA role matrix'!$B$1:$D$1,0))="Auto","CEO / COO / GM (auto), ","")IF(INDEX('MOA role matrix'!$B$2:$D$13,5,MATCH($B83,'MOA role matrix'!$B$1:$D$1,0))="Fill","Board member 1, ","")IF(INDEX('MOA role matrix'!$B$2:$D$13,5,MATCH($B83,'MOA role matrix'!$B$1:$D$1,0))="If finance","Board member 1 (if finance), ","")IF(INDEX('MOA role matrix'!$B$2:$D$13,5,MATCH($B83,'MOA role matrix'!$B$1:$D$1,0))="Auto","Board member 1 (auto), ","")IF(INDEX('MOA role matrix'!$B$2:$D$13,6,MATCH($B83,'MOA role matrix'!$B$1:$D$1,0))="Fill","Board member 2, ","")IF(INDEX('MOA role matrix'!$B$2:$D$13,6,MATCH($B83,'MOA role matrix'!$B$1:$D$1,0))="If finance","Board member 2 (if finance), ","")IF(INDEX('MOA role matrix'!$B$2:$D$13,6,MATCH($B83,'MOA role matrix'!$B$1:$D$1,0))="Auto","Board member 2 (auto), ","")IF(INDEX('MOA role matrix'!$B$2:$D$13,7,MATCH($B83,'MOA role matrix'!$B$1:$D$1,0))="Fill","LOA holder 1, ","")IF(INDEX('MOA role matrix'!$B$2:$D$13,7,MATCH($B83,'MOA role matrix'!$B$1:$D$1,0))="If finance","LOA holder 1 (if finance), ","")IF(INDEX('MOA role matrix'!$B$2:$D$13,7,MATCH($B83,'MOA role matrix'!$B$1:$D$1,0))="Auto","LOA holder 1 (auto), ","")IF(INDEX('MOA role matrix'!$B$2:$D$13,8,MATCH($B83,'MOA role matrix'!$B$1:$D$1,0))="Fill","LOA holder 2, ","")IF(INDEX('MOA role matrix'!$B$2:$D$13,8,MATCH($B83,'MOA role matrix'!$B$1:$D$1,0))="If finance","LOA holder 2 (if finance), ","")IF(INDEX('MOA role matrix'!$B$2:$D$13,8,MATCH($B83,'MOA role matrix'!$B$1:$D$1,0))="Auto","LOA holder 2 (auto), ","")IF(INDEX('MOA role matrix'!$B$2:$D$13,9,MATCH($B83,'MOA role matrix'!$B$1:$D$1,0))="Fill","Senior Manager CoSec, ","")IF(INDEX('MOA role matrix'!$B$2:$D$13,9,MATCH($B83,'MOA role matrix'!$B$1:$D$1,0))="If finance","Senior Manager CoSec (if finance), ","")IF(INDEX('MOA role matrix'!$B$2:$D$13,9,MATCH($B83,'MOA role matrix'!$B$1:$D$1,0))="Auto","Senior Manager CoSec (auto), ","")IF(INDEX('MOA role matrix'!$B$2:$D$13,10,MATCH($B83,'MOA role matrix'!$B$1:$D$1,0))="Fill","Division MOI managers, ","")IF(INDEX('MOA role matrix'!$B$2:$D$13,10,MATCH($B83,'MOA role matrix'!$B$1:$D$1,0))="If finance","Division MOI managers (if finance), ","")IF(INDEX('MOA role matrix'!$B$2:$D$13,10,MATCH($B83,'MOA role matrix'!$B$1:$D$1,0))="Auto","Division MOI managers (auto), ","")IF(INDEX('MOA role matrix'!$B$2:$D$13,11,MATCH($B83,'MOA role matrix'!$B$1:$D$1,0))="Fill","Ms Teh (bank), ","")IF(INDEX('MOA role matrix'!$B$2:$D$13,11,MATCH($B83,'MOA role matrix'!$B$1:$D$1,0))="If finance","Ms Teh (bank) (if finance), ","")IF(INDEX('MOA role matrix'!$B$2:$D$13,11,MATCH($B83,'MOA role matrix'!$B$1:$D$1,0))="Auto","Ms Teh (bank) (auto), ","")IF(INDEX('MOA role matrix'!$B$2:$D$13,12,MATCH($B83,'MOA role matrix'!$B$1:$D$1,0))="Fill","DLCM, ","")IF(INDEX('MOA role matrix'!$B$2:$D$13,12,MATCH($B83,'MOA role matrix'!$B$1:$D$1,0))="If finance","DLCM (if finance), ","")IF(INDEX('MOA role matrix'!$B$2:$D$13,12,MATCH($B83,'MOA role matrix'!$B$1:$D$1,0))="Auto","DLCM (auto), ","")))</f>
        <v/>
      </c>
      <c r="D83" s="5">
        <f>IF($A83="","",IFERROR(INDEX(FILTER('Client contacts'!$B$2:$B$500,('Client contacts'!$A$2:$A$500=$A83)*('Client contacts'!$H$2:$H$500="Y"),""),1),""))</f>
        <v/>
      </c>
      <c r="E83" s="5">
        <f>IF($A83="","",IFERROR(INDEX(FILTER('Client contacts'!$C$2:$C$500,('Client contacts'!$A$2:$A$500=$A83)*('Client contacts'!$H$2:$H$500="Y"),""),1),""))</f>
        <v/>
      </c>
      <c r="F83" s="5">
        <f>IF($A83="","",IFERROR(INDEX(FILTER('Client contacts'!$B$2:$B$500,('Client contacts'!$A$2:$A$500=$A83)*('Client contacts'!$G$2:$G$500="Y"),""),1),""))</f>
        <v/>
      </c>
      <c r="G83" s="5">
        <f>IF($A83="","",IFERROR(INDEX(FILTER('Client contacts'!$C$2:$C$500,('Client contacts'!$A$2:$A$500=$A83)*('Client contacts'!$G$2:$G$500="Y"),""),1),""))</f>
        <v/>
      </c>
      <c r="H83" s="5">
        <f>IF($A83="","",IFERROR(INDEX(FILTER('Client contacts'!$B$2:$B$500,('Client contacts'!$A$2:$A$500=$A83)*('Client contacts'!$G$2:$G$500="Y"),""),2),""))</f>
        <v/>
      </c>
      <c r="I83" s="5">
        <f>IF($A83="","",IFERROR(INDEX(FILTER('Client contacts'!$C$2:$C$500,('Client contacts'!$A$2:$A$500=$A83)*('Client contacts'!$G$2:$G$500="Y"),""),2),""))</f>
        <v/>
      </c>
      <c r="J83" s="8" t="n"/>
      <c r="K83" s="8" t="n"/>
      <c r="L83" s="8" t="n"/>
      <c r="M83" s="8" t="n"/>
      <c r="N83" s="8" t="n"/>
      <c r="O83" s="8" t="n"/>
      <c r="P83" s="8" t="n"/>
      <c r="Q83" s="8" t="n"/>
      <c r="R83" s="5">
        <f>IF($A83="","",IFERROR(INDEX(Companies!$I$2:$I$500,MATCH($A83,Companies!$A$2:$A$500,0)),""))</f>
        <v/>
      </c>
      <c r="S83" s="8" t="n"/>
      <c r="T83" s="8" t="n"/>
      <c r="U83" s="8" t="n"/>
      <c r="V83" s="8" t="n"/>
      <c r="W83" s="8" t="n"/>
    </row>
    <row r="84">
      <c r="C84" s="5">
        <f>IF($B84="","",TRIM(IF(INDEX('MOA role matrix'!$B$2:$D$13,1,MATCH($B84,'MOA role matrix'!$B$1:$D$1,0))="Fill","Project initiator, ","")IF(INDEX('MOA role matrix'!$B$2:$D$13,1,MATCH($B84,'MOA role matrix'!$B$1:$D$1,0))="If finance","Project initiator (if finance), ","")IF(INDEX('MOA role matrix'!$B$2:$D$13,1,MATCH($B84,'MOA role matrix'!$B$1:$D$1,0))="Auto","Project initiator (auto), ","")IF(INDEX('MOA role matrix'!$B$2:$D$13,2,MATCH($B84,'MOA role matrix'!$B$1:$D$1,0))="Fill","MOA signers (client), ","")IF(INDEX('MOA role matrix'!$B$2:$D$13,2,MATCH($B84,'MOA role matrix'!$B$1:$D$1,0))="If finance","MOA signers (client) (if finance), ","")IF(INDEX('MOA role matrix'!$B$2:$D$13,2,MATCH($B84,'MOA role matrix'!$B$1:$D$1,0))="Auto","MOA signers (client) (auto), ","")IF(INDEX('MOA role matrix'!$B$2:$D$13,3,MATCH($B84,'MOA role matrix'!$B$1:$D$1,0))="Fill","CFO / Head of Finance, ","")IF(INDEX('MOA role matrix'!$B$2:$D$13,3,MATCH($B84,'MOA role matrix'!$B$1:$D$1,0))="If finance","CFO / Head of Finance (if finance), ","")IF(INDEX('MOA role matrix'!$B$2:$D$13,3,MATCH($B84,'MOA role matrix'!$B$1:$D$1,0))="Auto","CFO / Head of Finance (auto), ","")IF(INDEX('MOA role matrix'!$B$2:$D$13,4,MATCH($B84,'MOA role matrix'!$B$1:$D$1,0))="Fill","CEO / COO / GM, ","")IF(INDEX('MOA role matrix'!$B$2:$D$13,4,MATCH($B84,'MOA role matrix'!$B$1:$D$1,0))="If finance","CEO / COO / GM (if finance), ","")IF(INDEX('MOA role matrix'!$B$2:$D$13,4,MATCH($B84,'MOA role matrix'!$B$1:$D$1,0))="Auto","CEO / COO / GM (auto), ","")IF(INDEX('MOA role matrix'!$B$2:$D$13,5,MATCH($B84,'MOA role matrix'!$B$1:$D$1,0))="Fill","Board member 1, ","")IF(INDEX('MOA role matrix'!$B$2:$D$13,5,MATCH($B84,'MOA role matrix'!$B$1:$D$1,0))="If finance","Board member 1 (if finance), ","")IF(INDEX('MOA role matrix'!$B$2:$D$13,5,MATCH($B84,'MOA role matrix'!$B$1:$D$1,0))="Auto","Board member 1 (auto), ","")IF(INDEX('MOA role matrix'!$B$2:$D$13,6,MATCH($B84,'MOA role matrix'!$B$1:$D$1,0))="Fill","Board member 2, ","")IF(INDEX('MOA role matrix'!$B$2:$D$13,6,MATCH($B84,'MOA role matrix'!$B$1:$D$1,0))="If finance","Board member 2 (if finance), ","")IF(INDEX('MOA role matrix'!$B$2:$D$13,6,MATCH($B84,'MOA role matrix'!$B$1:$D$1,0))="Auto","Board member 2 (auto), ","")IF(INDEX('MOA role matrix'!$B$2:$D$13,7,MATCH($B84,'MOA role matrix'!$B$1:$D$1,0))="Fill","LOA holder 1, ","")IF(INDEX('MOA role matrix'!$B$2:$D$13,7,MATCH($B84,'MOA role matrix'!$B$1:$D$1,0))="If finance","LOA holder 1 (if finance), ","")IF(INDEX('MOA role matrix'!$B$2:$D$13,7,MATCH($B84,'MOA role matrix'!$B$1:$D$1,0))="Auto","LOA holder 1 (auto), ","")IF(INDEX('MOA role matrix'!$B$2:$D$13,8,MATCH($B84,'MOA role matrix'!$B$1:$D$1,0))="Fill","LOA holder 2, ","")IF(INDEX('MOA role matrix'!$B$2:$D$13,8,MATCH($B84,'MOA role matrix'!$B$1:$D$1,0))="If finance","LOA holder 2 (if finance), ","")IF(INDEX('MOA role matrix'!$B$2:$D$13,8,MATCH($B84,'MOA role matrix'!$B$1:$D$1,0))="Auto","LOA holder 2 (auto), ","")IF(INDEX('MOA role matrix'!$B$2:$D$13,9,MATCH($B84,'MOA role matrix'!$B$1:$D$1,0))="Fill","Senior Manager CoSec, ","")IF(INDEX('MOA role matrix'!$B$2:$D$13,9,MATCH($B84,'MOA role matrix'!$B$1:$D$1,0))="If finance","Senior Manager CoSec (if finance), ","")IF(INDEX('MOA role matrix'!$B$2:$D$13,9,MATCH($B84,'MOA role matrix'!$B$1:$D$1,0))="Auto","Senior Manager CoSec (auto), ","")IF(INDEX('MOA role matrix'!$B$2:$D$13,10,MATCH($B84,'MOA role matrix'!$B$1:$D$1,0))="Fill","Division MOI managers, ","")IF(INDEX('MOA role matrix'!$B$2:$D$13,10,MATCH($B84,'MOA role matrix'!$B$1:$D$1,0))="If finance","Division MOI managers (if finance), ","")IF(INDEX('MOA role matrix'!$B$2:$D$13,10,MATCH($B84,'MOA role matrix'!$B$1:$D$1,0))="Auto","Division MOI managers (auto), ","")IF(INDEX('MOA role matrix'!$B$2:$D$13,11,MATCH($B84,'MOA role matrix'!$B$1:$D$1,0))="Fill","Ms Teh (bank), ","")IF(INDEX('MOA role matrix'!$B$2:$D$13,11,MATCH($B84,'MOA role matrix'!$B$1:$D$1,0))="If finance","Ms Teh (bank) (if finance), ","")IF(INDEX('MOA role matrix'!$B$2:$D$13,11,MATCH($B84,'MOA role matrix'!$B$1:$D$1,0))="Auto","Ms Teh (bank) (auto), ","")IF(INDEX('MOA role matrix'!$B$2:$D$13,12,MATCH($B84,'MOA role matrix'!$B$1:$D$1,0))="Fill","DLCM, ","")IF(INDEX('MOA role matrix'!$B$2:$D$13,12,MATCH($B84,'MOA role matrix'!$B$1:$D$1,0))="If finance","DLCM (if finance), ","")IF(INDEX('MOA role matrix'!$B$2:$D$13,12,MATCH($B84,'MOA role matrix'!$B$1:$D$1,0))="Auto","DLCM (auto), ","")))</f>
        <v/>
      </c>
      <c r="D84" s="5">
        <f>IF($A84="","",IFERROR(INDEX(FILTER('Client contacts'!$B$2:$B$500,('Client contacts'!$A$2:$A$500=$A84)*('Client contacts'!$H$2:$H$500="Y"),""),1),""))</f>
        <v/>
      </c>
      <c r="E84" s="5">
        <f>IF($A84="","",IFERROR(INDEX(FILTER('Client contacts'!$C$2:$C$500,('Client contacts'!$A$2:$A$500=$A84)*('Client contacts'!$H$2:$H$500="Y"),""),1),""))</f>
        <v/>
      </c>
      <c r="F84" s="5">
        <f>IF($A84="","",IFERROR(INDEX(FILTER('Client contacts'!$B$2:$B$500,('Client contacts'!$A$2:$A$500=$A84)*('Client contacts'!$G$2:$G$500="Y"),""),1),""))</f>
        <v/>
      </c>
      <c r="G84" s="5">
        <f>IF($A84="","",IFERROR(INDEX(FILTER('Client contacts'!$C$2:$C$500,('Client contacts'!$A$2:$A$500=$A84)*('Client contacts'!$G$2:$G$500="Y"),""),1),""))</f>
        <v/>
      </c>
      <c r="H84" s="5">
        <f>IF($A84="","",IFERROR(INDEX(FILTER('Client contacts'!$B$2:$B$500,('Client contacts'!$A$2:$A$500=$A84)*('Client contacts'!$G$2:$G$500="Y"),""),2),""))</f>
        <v/>
      </c>
      <c r="I84" s="5">
        <f>IF($A84="","",IFERROR(INDEX(FILTER('Client contacts'!$C$2:$C$500,('Client contacts'!$A$2:$A$500=$A84)*('Client contacts'!$G$2:$G$500="Y"),""),2),""))</f>
        <v/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5">
        <f>IF($A84="","",IFERROR(INDEX(Companies!$I$2:$I$500,MATCH($A84,Companies!$A$2:$A$500,0)),""))</f>
        <v/>
      </c>
      <c r="S84" s="8" t="n"/>
      <c r="T84" s="8" t="n"/>
      <c r="U84" s="8" t="n"/>
      <c r="V84" s="8" t="n"/>
      <c r="W84" s="8" t="n"/>
    </row>
    <row r="85">
      <c r="C85" s="5">
        <f>IF($B85="","",TRIM(IF(INDEX('MOA role matrix'!$B$2:$D$13,1,MATCH($B85,'MOA role matrix'!$B$1:$D$1,0))="Fill","Project initiator, ","")IF(INDEX('MOA role matrix'!$B$2:$D$13,1,MATCH($B85,'MOA role matrix'!$B$1:$D$1,0))="If finance","Project initiator (if finance), ","")IF(INDEX('MOA role matrix'!$B$2:$D$13,1,MATCH($B85,'MOA role matrix'!$B$1:$D$1,0))="Auto","Project initiator (auto), ","")IF(INDEX('MOA role matrix'!$B$2:$D$13,2,MATCH($B85,'MOA role matrix'!$B$1:$D$1,0))="Fill","MOA signers (client), ","")IF(INDEX('MOA role matrix'!$B$2:$D$13,2,MATCH($B85,'MOA role matrix'!$B$1:$D$1,0))="If finance","MOA signers (client) (if finance), ","")IF(INDEX('MOA role matrix'!$B$2:$D$13,2,MATCH($B85,'MOA role matrix'!$B$1:$D$1,0))="Auto","MOA signers (client) (auto), ","")IF(INDEX('MOA role matrix'!$B$2:$D$13,3,MATCH($B85,'MOA role matrix'!$B$1:$D$1,0))="Fill","CFO / Head of Finance, ","")IF(INDEX('MOA role matrix'!$B$2:$D$13,3,MATCH($B85,'MOA role matrix'!$B$1:$D$1,0))="If finance","CFO / Head of Finance (if finance), ","")IF(INDEX('MOA role matrix'!$B$2:$D$13,3,MATCH($B85,'MOA role matrix'!$B$1:$D$1,0))="Auto","CFO / Head of Finance (auto), ","")IF(INDEX('MOA role matrix'!$B$2:$D$13,4,MATCH($B85,'MOA role matrix'!$B$1:$D$1,0))="Fill","CEO / COO / GM, ","")IF(INDEX('MOA role matrix'!$B$2:$D$13,4,MATCH($B85,'MOA role matrix'!$B$1:$D$1,0))="If finance","CEO / COO / GM (if finance), ","")IF(INDEX('MOA role matrix'!$B$2:$D$13,4,MATCH($B85,'MOA role matrix'!$B$1:$D$1,0))="Auto","CEO / COO / GM (auto), ","")IF(INDEX('MOA role matrix'!$B$2:$D$13,5,MATCH($B85,'MOA role matrix'!$B$1:$D$1,0))="Fill","Board member 1, ","")IF(INDEX('MOA role matrix'!$B$2:$D$13,5,MATCH($B85,'MOA role matrix'!$B$1:$D$1,0))="If finance","Board member 1 (if finance), ","")IF(INDEX('MOA role matrix'!$B$2:$D$13,5,MATCH($B85,'MOA role matrix'!$B$1:$D$1,0))="Auto","Board member 1 (auto), ","")IF(INDEX('MOA role matrix'!$B$2:$D$13,6,MATCH($B85,'MOA role matrix'!$B$1:$D$1,0))="Fill","Board member 2, ","")IF(INDEX('MOA role matrix'!$B$2:$D$13,6,MATCH($B85,'MOA role matrix'!$B$1:$D$1,0))="If finance","Board member 2 (if finance), ","")IF(INDEX('MOA role matrix'!$B$2:$D$13,6,MATCH($B85,'MOA role matrix'!$B$1:$D$1,0))="Auto","Board member 2 (auto), ","")IF(INDEX('MOA role matrix'!$B$2:$D$13,7,MATCH($B85,'MOA role matrix'!$B$1:$D$1,0))="Fill","LOA holder 1, ","")IF(INDEX('MOA role matrix'!$B$2:$D$13,7,MATCH($B85,'MOA role matrix'!$B$1:$D$1,0))="If finance","LOA holder 1 (if finance), ","")IF(INDEX('MOA role matrix'!$B$2:$D$13,7,MATCH($B85,'MOA role matrix'!$B$1:$D$1,0))="Auto","LOA holder 1 (auto), ","")IF(INDEX('MOA role matrix'!$B$2:$D$13,8,MATCH($B85,'MOA role matrix'!$B$1:$D$1,0))="Fill","LOA holder 2, ","")IF(INDEX('MOA role matrix'!$B$2:$D$13,8,MATCH($B85,'MOA role matrix'!$B$1:$D$1,0))="If finance","LOA holder 2 (if finance), ","")IF(INDEX('MOA role matrix'!$B$2:$D$13,8,MATCH($B85,'MOA role matrix'!$B$1:$D$1,0))="Auto","LOA holder 2 (auto), ","")IF(INDEX('MOA role matrix'!$B$2:$D$13,9,MATCH($B85,'MOA role matrix'!$B$1:$D$1,0))="Fill","Senior Manager CoSec, ","")IF(INDEX('MOA role matrix'!$B$2:$D$13,9,MATCH($B85,'MOA role matrix'!$B$1:$D$1,0))="If finance","Senior Manager CoSec (if finance), ","")IF(INDEX('MOA role matrix'!$B$2:$D$13,9,MATCH($B85,'MOA role matrix'!$B$1:$D$1,0))="Auto","Senior Manager CoSec (auto), ","")IF(INDEX('MOA role matrix'!$B$2:$D$13,10,MATCH($B85,'MOA role matrix'!$B$1:$D$1,0))="Fill","Division MOI managers, ","")IF(INDEX('MOA role matrix'!$B$2:$D$13,10,MATCH($B85,'MOA role matrix'!$B$1:$D$1,0))="If finance","Division MOI managers (if finance), ","")IF(INDEX('MOA role matrix'!$B$2:$D$13,10,MATCH($B85,'MOA role matrix'!$B$1:$D$1,0))="Auto","Division MOI managers (auto), ","")IF(INDEX('MOA role matrix'!$B$2:$D$13,11,MATCH($B85,'MOA role matrix'!$B$1:$D$1,0))="Fill","Ms Teh (bank), ","")IF(INDEX('MOA role matrix'!$B$2:$D$13,11,MATCH($B85,'MOA role matrix'!$B$1:$D$1,0))="If finance","Ms Teh (bank) (if finance), ","")IF(INDEX('MOA role matrix'!$B$2:$D$13,11,MATCH($B85,'MOA role matrix'!$B$1:$D$1,0))="Auto","Ms Teh (bank) (auto), ","")IF(INDEX('MOA role matrix'!$B$2:$D$13,12,MATCH($B85,'MOA role matrix'!$B$1:$D$1,0))="Fill","DLCM, ","")IF(INDEX('MOA role matrix'!$B$2:$D$13,12,MATCH($B85,'MOA role matrix'!$B$1:$D$1,0))="If finance","DLCM (if finance), ","")IF(INDEX('MOA role matrix'!$B$2:$D$13,12,MATCH($B85,'MOA role matrix'!$B$1:$D$1,0))="Auto","DLCM (auto), ","")))</f>
        <v/>
      </c>
      <c r="D85" s="5">
        <f>IF($A85="","",IFERROR(INDEX(FILTER('Client contacts'!$B$2:$B$500,('Client contacts'!$A$2:$A$500=$A85)*('Client contacts'!$H$2:$H$500="Y"),""),1),""))</f>
        <v/>
      </c>
      <c r="E85" s="5">
        <f>IF($A85="","",IFERROR(INDEX(FILTER('Client contacts'!$C$2:$C$500,('Client contacts'!$A$2:$A$500=$A85)*('Client contacts'!$H$2:$H$500="Y"),""),1),""))</f>
        <v/>
      </c>
      <c r="F85" s="5">
        <f>IF($A85="","",IFERROR(INDEX(FILTER('Client contacts'!$B$2:$B$500,('Client contacts'!$A$2:$A$500=$A85)*('Client contacts'!$G$2:$G$500="Y"),""),1),""))</f>
        <v/>
      </c>
      <c r="G85" s="5">
        <f>IF($A85="","",IFERROR(INDEX(FILTER('Client contacts'!$C$2:$C$500,('Client contacts'!$A$2:$A$500=$A85)*('Client contacts'!$G$2:$G$500="Y"),""),1),""))</f>
        <v/>
      </c>
      <c r="H85" s="5">
        <f>IF($A85="","",IFERROR(INDEX(FILTER('Client contacts'!$B$2:$B$500,('Client contacts'!$A$2:$A$500=$A85)*('Client contacts'!$G$2:$G$500="Y"),""),2),""))</f>
        <v/>
      </c>
      <c r="I85" s="5">
        <f>IF($A85="","",IFERROR(INDEX(FILTER('Client contacts'!$C$2:$C$500,('Client contacts'!$A$2:$A$500=$A85)*('Client contacts'!$G$2:$G$500="Y"),""),2),""))</f>
        <v/>
      </c>
      <c r="J85" s="8" t="n"/>
      <c r="K85" s="8" t="n"/>
      <c r="L85" s="8" t="n"/>
      <c r="M85" s="8" t="n"/>
      <c r="N85" s="8" t="n"/>
      <c r="O85" s="8" t="n"/>
      <c r="P85" s="8" t="n"/>
      <c r="Q85" s="8" t="n"/>
      <c r="R85" s="5">
        <f>IF($A85="","",IFERROR(INDEX(Companies!$I$2:$I$500,MATCH($A85,Companies!$A$2:$A$500,0)),""))</f>
        <v/>
      </c>
      <c r="S85" s="8" t="n"/>
      <c r="T85" s="8" t="n"/>
      <c r="U85" s="8" t="n"/>
      <c r="V85" s="8" t="n"/>
      <c r="W85" s="8" t="n"/>
    </row>
    <row r="86">
      <c r="C86" s="5">
        <f>IF($B86="","",TRIM(IF(INDEX('MOA role matrix'!$B$2:$D$13,1,MATCH($B86,'MOA role matrix'!$B$1:$D$1,0))="Fill","Project initiator, ","")IF(INDEX('MOA role matrix'!$B$2:$D$13,1,MATCH($B86,'MOA role matrix'!$B$1:$D$1,0))="If finance","Project initiator (if finance), ","")IF(INDEX('MOA role matrix'!$B$2:$D$13,1,MATCH($B86,'MOA role matrix'!$B$1:$D$1,0))="Auto","Project initiator (auto), ","")IF(INDEX('MOA role matrix'!$B$2:$D$13,2,MATCH($B86,'MOA role matrix'!$B$1:$D$1,0))="Fill","MOA signers (client), ","")IF(INDEX('MOA role matrix'!$B$2:$D$13,2,MATCH($B86,'MOA role matrix'!$B$1:$D$1,0))="If finance","MOA signers (client) (if finance), ","")IF(INDEX('MOA role matrix'!$B$2:$D$13,2,MATCH($B86,'MOA role matrix'!$B$1:$D$1,0))="Auto","MOA signers (client) (auto), ","")IF(INDEX('MOA role matrix'!$B$2:$D$13,3,MATCH($B86,'MOA role matrix'!$B$1:$D$1,0))="Fill","CFO / Head of Finance, ","")IF(INDEX('MOA role matrix'!$B$2:$D$13,3,MATCH($B86,'MOA role matrix'!$B$1:$D$1,0))="If finance","CFO / Head of Finance (if finance), ","")IF(INDEX('MOA role matrix'!$B$2:$D$13,3,MATCH($B86,'MOA role matrix'!$B$1:$D$1,0))="Auto","CFO / Head of Finance (auto), ","")IF(INDEX('MOA role matrix'!$B$2:$D$13,4,MATCH($B86,'MOA role matrix'!$B$1:$D$1,0))="Fill","CEO / COO / GM, ","")IF(INDEX('MOA role matrix'!$B$2:$D$13,4,MATCH($B86,'MOA role matrix'!$B$1:$D$1,0))="If finance","CEO / COO / GM (if finance), ","")IF(INDEX('MOA role matrix'!$B$2:$D$13,4,MATCH($B86,'MOA role matrix'!$B$1:$D$1,0))="Auto","CEO / COO / GM (auto), ","")IF(INDEX('MOA role matrix'!$B$2:$D$13,5,MATCH($B86,'MOA role matrix'!$B$1:$D$1,0))="Fill","Board member 1, ","")IF(INDEX('MOA role matrix'!$B$2:$D$13,5,MATCH($B86,'MOA role matrix'!$B$1:$D$1,0))="If finance","Board member 1 (if finance), ","")IF(INDEX('MOA role matrix'!$B$2:$D$13,5,MATCH($B86,'MOA role matrix'!$B$1:$D$1,0))="Auto","Board member 1 (auto), ","")IF(INDEX('MOA role matrix'!$B$2:$D$13,6,MATCH($B86,'MOA role matrix'!$B$1:$D$1,0))="Fill","Board member 2, ","")IF(INDEX('MOA role matrix'!$B$2:$D$13,6,MATCH($B86,'MOA role matrix'!$B$1:$D$1,0))="If finance","Board member 2 (if finance), ","")IF(INDEX('MOA role matrix'!$B$2:$D$13,6,MATCH($B86,'MOA role matrix'!$B$1:$D$1,0))="Auto","Board member 2 (auto), ","")IF(INDEX('MOA role matrix'!$B$2:$D$13,7,MATCH($B86,'MOA role matrix'!$B$1:$D$1,0))="Fill","LOA holder 1, ","")IF(INDEX('MOA role matrix'!$B$2:$D$13,7,MATCH($B86,'MOA role matrix'!$B$1:$D$1,0))="If finance","LOA holder 1 (if finance), ","")IF(INDEX('MOA role matrix'!$B$2:$D$13,7,MATCH($B86,'MOA role matrix'!$B$1:$D$1,0))="Auto","LOA holder 1 (auto), ","")IF(INDEX('MOA role matrix'!$B$2:$D$13,8,MATCH($B86,'MOA role matrix'!$B$1:$D$1,0))="Fill","LOA holder 2, ","")IF(INDEX('MOA role matrix'!$B$2:$D$13,8,MATCH($B86,'MOA role matrix'!$B$1:$D$1,0))="If finance","LOA holder 2 (if finance), ","")IF(INDEX('MOA role matrix'!$B$2:$D$13,8,MATCH($B86,'MOA role matrix'!$B$1:$D$1,0))="Auto","LOA holder 2 (auto), ","")IF(INDEX('MOA role matrix'!$B$2:$D$13,9,MATCH($B86,'MOA role matrix'!$B$1:$D$1,0))="Fill","Senior Manager CoSec, ","")IF(INDEX('MOA role matrix'!$B$2:$D$13,9,MATCH($B86,'MOA role matrix'!$B$1:$D$1,0))="If finance","Senior Manager CoSec (if finance), ","")IF(INDEX('MOA role matrix'!$B$2:$D$13,9,MATCH($B86,'MOA role matrix'!$B$1:$D$1,0))="Auto","Senior Manager CoSec (auto), ","")IF(INDEX('MOA role matrix'!$B$2:$D$13,10,MATCH($B86,'MOA role matrix'!$B$1:$D$1,0))="Fill","Division MOI managers, ","")IF(INDEX('MOA role matrix'!$B$2:$D$13,10,MATCH($B86,'MOA role matrix'!$B$1:$D$1,0))="If finance","Division MOI managers (if finance), ","")IF(INDEX('MOA role matrix'!$B$2:$D$13,10,MATCH($B86,'MOA role matrix'!$B$1:$D$1,0))="Auto","Division MOI managers (auto), ","")IF(INDEX('MOA role matrix'!$B$2:$D$13,11,MATCH($B86,'MOA role matrix'!$B$1:$D$1,0))="Fill","Ms Teh (bank), ","")IF(INDEX('MOA role matrix'!$B$2:$D$13,11,MATCH($B86,'MOA role matrix'!$B$1:$D$1,0))="If finance","Ms Teh (bank) (if finance), ","")IF(INDEX('MOA role matrix'!$B$2:$D$13,11,MATCH($B86,'MOA role matrix'!$B$1:$D$1,0))="Auto","Ms Teh (bank) (auto), ","")IF(INDEX('MOA role matrix'!$B$2:$D$13,12,MATCH($B86,'MOA role matrix'!$B$1:$D$1,0))="Fill","DLCM, ","")IF(INDEX('MOA role matrix'!$B$2:$D$13,12,MATCH($B86,'MOA role matrix'!$B$1:$D$1,0))="If finance","DLCM (if finance), ","")IF(INDEX('MOA role matrix'!$B$2:$D$13,12,MATCH($B86,'MOA role matrix'!$B$1:$D$1,0))="Auto","DLCM (auto), ","")))</f>
        <v/>
      </c>
      <c r="D86" s="5">
        <f>IF($A86="","",IFERROR(INDEX(FILTER('Client contacts'!$B$2:$B$500,('Client contacts'!$A$2:$A$500=$A86)*('Client contacts'!$H$2:$H$500="Y"),""),1),""))</f>
        <v/>
      </c>
      <c r="E86" s="5">
        <f>IF($A86="","",IFERROR(INDEX(FILTER('Client contacts'!$C$2:$C$500,('Client contacts'!$A$2:$A$500=$A86)*('Client contacts'!$H$2:$H$500="Y"),""),1),""))</f>
        <v/>
      </c>
      <c r="F86" s="5">
        <f>IF($A86="","",IFERROR(INDEX(FILTER('Client contacts'!$B$2:$B$500,('Client contacts'!$A$2:$A$500=$A86)*('Client contacts'!$G$2:$G$500="Y"),""),1),""))</f>
        <v/>
      </c>
      <c r="G86" s="5">
        <f>IF($A86="","",IFERROR(INDEX(FILTER('Client contacts'!$C$2:$C$500,('Client contacts'!$A$2:$A$500=$A86)*('Client contacts'!$G$2:$G$500="Y"),""),1),""))</f>
        <v/>
      </c>
      <c r="H86" s="5">
        <f>IF($A86="","",IFERROR(INDEX(FILTER('Client contacts'!$B$2:$B$500,('Client contacts'!$A$2:$A$500=$A86)*('Client contacts'!$G$2:$G$500="Y"),""),2),""))</f>
        <v/>
      </c>
      <c r="I86" s="5">
        <f>IF($A86="","",IFERROR(INDEX(FILTER('Client contacts'!$C$2:$C$500,('Client contacts'!$A$2:$A$500=$A86)*('Client contacts'!$G$2:$G$500="Y"),""),2),""))</f>
        <v/>
      </c>
      <c r="J86" s="8" t="n"/>
      <c r="K86" s="8" t="n"/>
      <c r="L86" s="8" t="n"/>
      <c r="M86" s="8" t="n"/>
      <c r="N86" s="8" t="n"/>
      <c r="O86" s="8" t="n"/>
      <c r="P86" s="8" t="n"/>
      <c r="Q86" s="8" t="n"/>
      <c r="R86" s="5">
        <f>IF($A86="","",IFERROR(INDEX(Companies!$I$2:$I$500,MATCH($A86,Companies!$A$2:$A$500,0)),""))</f>
        <v/>
      </c>
      <c r="S86" s="8" t="n"/>
      <c r="T86" s="8" t="n"/>
      <c r="U86" s="8" t="n"/>
      <c r="V86" s="8" t="n"/>
      <c r="W86" s="8" t="n"/>
    </row>
    <row r="87">
      <c r="C87" s="5">
        <f>IF($B87="","",TRIM(IF(INDEX('MOA role matrix'!$B$2:$D$13,1,MATCH($B87,'MOA role matrix'!$B$1:$D$1,0))="Fill","Project initiator, ","")IF(INDEX('MOA role matrix'!$B$2:$D$13,1,MATCH($B87,'MOA role matrix'!$B$1:$D$1,0))="If finance","Project initiator (if finance), ","")IF(INDEX('MOA role matrix'!$B$2:$D$13,1,MATCH($B87,'MOA role matrix'!$B$1:$D$1,0))="Auto","Project initiator (auto), ","")IF(INDEX('MOA role matrix'!$B$2:$D$13,2,MATCH($B87,'MOA role matrix'!$B$1:$D$1,0))="Fill","MOA signers (client), ","")IF(INDEX('MOA role matrix'!$B$2:$D$13,2,MATCH($B87,'MOA role matrix'!$B$1:$D$1,0))="If finance","MOA signers (client) (if finance), ","")IF(INDEX('MOA role matrix'!$B$2:$D$13,2,MATCH($B87,'MOA role matrix'!$B$1:$D$1,0))="Auto","MOA signers (client) (auto), ","")IF(INDEX('MOA role matrix'!$B$2:$D$13,3,MATCH($B87,'MOA role matrix'!$B$1:$D$1,0))="Fill","CFO / Head of Finance, ","")IF(INDEX('MOA role matrix'!$B$2:$D$13,3,MATCH($B87,'MOA role matrix'!$B$1:$D$1,0))="If finance","CFO / Head of Finance (if finance), ","")IF(INDEX('MOA role matrix'!$B$2:$D$13,3,MATCH($B87,'MOA role matrix'!$B$1:$D$1,0))="Auto","CFO / Head of Finance (auto), ","")IF(INDEX('MOA role matrix'!$B$2:$D$13,4,MATCH($B87,'MOA role matrix'!$B$1:$D$1,0))="Fill","CEO / COO / GM, ","")IF(INDEX('MOA role matrix'!$B$2:$D$13,4,MATCH($B87,'MOA role matrix'!$B$1:$D$1,0))="If finance","CEO / COO / GM (if finance), ","")IF(INDEX('MOA role matrix'!$B$2:$D$13,4,MATCH($B87,'MOA role matrix'!$B$1:$D$1,0))="Auto","CEO / COO / GM (auto), ","")IF(INDEX('MOA role matrix'!$B$2:$D$13,5,MATCH($B87,'MOA role matrix'!$B$1:$D$1,0))="Fill","Board member 1, ","")IF(INDEX('MOA role matrix'!$B$2:$D$13,5,MATCH($B87,'MOA role matrix'!$B$1:$D$1,0))="If finance","Board member 1 (if finance), ","")IF(INDEX('MOA role matrix'!$B$2:$D$13,5,MATCH($B87,'MOA role matrix'!$B$1:$D$1,0))="Auto","Board member 1 (auto), ","")IF(INDEX('MOA role matrix'!$B$2:$D$13,6,MATCH($B87,'MOA role matrix'!$B$1:$D$1,0))="Fill","Board member 2, ","")IF(INDEX('MOA role matrix'!$B$2:$D$13,6,MATCH($B87,'MOA role matrix'!$B$1:$D$1,0))="If finance","Board member 2 (if finance), ","")IF(INDEX('MOA role matrix'!$B$2:$D$13,6,MATCH($B87,'MOA role matrix'!$B$1:$D$1,0))="Auto","Board member 2 (auto), ","")IF(INDEX('MOA role matrix'!$B$2:$D$13,7,MATCH($B87,'MOA role matrix'!$B$1:$D$1,0))="Fill","LOA holder 1, ","")IF(INDEX('MOA role matrix'!$B$2:$D$13,7,MATCH($B87,'MOA role matrix'!$B$1:$D$1,0))="If finance","LOA holder 1 (if finance), ","")IF(INDEX('MOA role matrix'!$B$2:$D$13,7,MATCH($B87,'MOA role matrix'!$B$1:$D$1,0))="Auto","LOA holder 1 (auto), ","")IF(INDEX('MOA role matrix'!$B$2:$D$13,8,MATCH($B87,'MOA role matrix'!$B$1:$D$1,0))="Fill","LOA holder 2, ","")IF(INDEX('MOA role matrix'!$B$2:$D$13,8,MATCH($B87,'MOA role matrix'!$B$1:$D$1,0))="If finance","LOA holder 2 (if finance), ","")IF(INDEX('MOA role matrix'!$B$2:$D$13,8,MATCH($B87,'MOA role matrix'!$B$1:$D$1,0))="Auto","LOA holder 2 (auto), ","")IF(INDEX('MOA role matrix'!$B$2:$D$13,9,MATCH($B87,'MOA role matrix'!$B$1:$D$1,0))="Fill","Senior Manager CoSec, ","")IF(INDEX('MOA role matrix'!$B$2:$D$13,9,MATCH($B87,'MOA role matrix'!$B$1:$D$1,0))="If finance","Senior Manager CoSec (if finance), ","")IF(INDEX('MOA role matrix'!$B$2:$D$13,9,MATCH($B87,'MOA role matrix'!$B$1:$D$1,0))="Auto","Senior Manager CoSec (auto), ","")IF(INDEX('MOA role matrix'!$B$2:$D$13,10,MATCH($B87,'MOA role matrix'!$B$1:$D$1,0))="Fill","Division MOI managers, ","")IF(INDEX('MOA role matrix'!$B$2:$D$13,10,MATCH($B87,'MOA role matrix'!$B$1:$D$1,0))="If finance","Division MOI managers (if finance), ","")IF(INDEX('MOA role matrix'!$B$2:$D$13,10,MATCH($B87,'MOA role matrix'!$B$1:$D$1,0))="Auto","Division MOI managers (auto), ","")IF(INDEX('MOA role matrix'!$B$2:$D$13,11,MATCH($B87,'MOA role matrix'!$B$1:$D$1,0))="Fill","Ms Teh (bank), ","")IF(INDEX('MOA role matrix'!$B$2:$D$13,11,MATCH($B87,'MOA role matrix'!$B$1:$D$1,0))="If finance","Ms Teh (bank) (if finance), ","")IF(INDEX('MOA role matrix'!$B$2:$D$13,11,MATCH($B87,'MOA role matrix'!$B$1:$D$1,0))="Auto","Ms Teh (bank) (auto), ","")IF(INDEX('MOA role matrix'!$B$2:$D$13,12,MATCH($B87,'MOA role matrix'!$B$1:$D$1,0))="Fill","DLCM, ","")IF(INDEX('MOA role matrix'!$B$2:$D$13,12,MATCH($B87,'MOA role matrix'!$B$1:$D$1,0))="If finance","DLCM (if finance), ","")IF(INDEX('MOA role matrix'!$B$2:$D$13,12,MATCH($B87,'MOA role matrix'!$B$1:$D$1,0))="Auto","DLCM (auto), ","")))</f>
        <v/>
      </c>
      <c r="D87" s="5">
        <f>IF($A87="","",IFERROR(INDEX(FILTER('Client contacts'!$B$2:$B$500,('Client contacts'!$A$2:$A$500=$A87)*('Client contacts'!$H$2:$H$500="Y"),""),1),""))</f>
        <v/>
      </c>
      <c r="E87" s="5">
        <f>IF($A87="","",IFERROR(INDEX(FILTER('Client contacts'!$C$2:$C$500,('Client contacts'!$A$2:$A$500=$A87)*('Client contacts'!$H$2:$H$500="Y"),""),1),""))</f>
        <v/>
      </c>
      <c r="F87" s="5">
        <f>IF($A87="","",IFERROR(INDEX(FILTER('Client contacts'!$B$2:$B$500,('Client contacts'!$A$2:$A$500=$A87)*('Client contacts'!$G$2:$G$500="Y"),""),1),""))</f>
        <v/>
      </c>
      <c r="G87" s="5">
        <f>IF($A87="","",IFERROR(INDEX(FILTER('Client contacts'!$C$2:$C$500,('Client contacts'!$A$2:$A$500=$A87)*('Client contacts'!$G$2:$G$500="Y"),""),1),""))</f>
        <v/>
      </c>
      <c r="H87" s="5">
        <f>IF($A87="","",IFERROR(INDEX(FILTER('Client contacts'!$B$2:$B$500,('Client contacts'!$A$2:$A$500=$A87)*('Client contacts'!$G$2:$G$500="Y"),""),2),""))</f>
        <v/>
      </c>
      <c r="I87" s="5">
        <f>IF($A87="","",IFERROR(INDEX(FILTER('Client contacts'!$C$2:$C$500,('Client contacts'!$A$2:$A$500=$A87)*('Client contacts'!$G$2:$G$500="Y"),""),2),""))</f>
        <v/>
      </c>
      <c r="J87" s="8" t="n"/>
      <c r="K87" s="8" t="n"/>
      <c r="L87" s="8" t="n"/>
      <c r="M87" s="8" t="n"/>
      <c r="N87" s="8" t="n"/>
      <c r="O87" s="8" t="n"/>
      <c r="P87" s="8" t="n"/>
      <c r="Q87" s="8" t="n"/>
      <c r="R87" s="5">
        <f>IF($A87="","",IFERROR(INDEX(Companies!$I$2:$I$500,MATCH($A87,Companies!$A$2:$A$500,0)),""))</f>
        <v/>
      </c>
      <c r="S87" s="8" t="n"/>
      <c r="T87" s="8" t="n"/>
      <c r="U87" s="8" t="n"/>
      <c r="V87" s="8" t="n"/>
      <c r="W87" s="8" t="n"/>
    </row>
    <row r="88">
      <c r="C88" s="5">
        <f>IF($B88="","",TRIM(IF(INDEX('MOA role matrix'!$B$2:$D$13,1,MATCH($B88,'MOA role matrix'!$B$1:$D$1,0))="Fill","Project initiator, ","")IF(INDEX('MOA role matrix'!$B$2:$D$13,1,MATCH($B88,'MOA role matrix'!$B$1:$D$1,0))="If finance","Project initiator (if finance), ","")IF(INDEX('MOA role matrix'!$B$2:$D$13,1,MATCH($B88,'MOA role matrix'!$B$1:$D$1,0))="Auto","Project initiator (auto), ","")IF(INDEX('MOA role matrix'!$B$2:$D$13,2,MATCH($B88,'MOA role matrix'!$B$1:$D$1,0))="Fill","MOA signers (client), ","")IF(INDEX('MOA role matrix'!$B$2:$D$13,2,MATCH($B88,'MOA role matrix'!$B$1:$D$1,0))="If finance","MOA signers (client) (if finance), ","")IF(INDEX('MOA role matrix'!$B$2:$D$13,2,MATCH($B88,'MOA role matrix'!$B$1:$D$1,0))="Auto","MOA signers (client) (auto), ","")IF(INDEX('MOA role matrix'!$B$2:$D$13,3,MATCH($B88,'MOA role matrix'!$B$1:$D$1,0))="Fill","CFO / Head of Finance, ","")IF(INDEX('MOA role matrix'!$B$2:$D$13,3,MATCH($B88,'MOA role matrix'!$B$1:$D$1,0))="If finance","CFO / Head of Finance (if finance), ","")IF(INDEX('MOA role matrix'!$B$2:$D$13,3,MATCH($B88,'MOA role matrix'!$B$1:$D$1,0))="Auto","CFO / Head of Finance (auto), ","")IF(INDEX('MOA role matrix'!$B$2:$D$13,4,MATCH($B88,'MOA role matrix'!$B$1:$D$1,0))="Fill","CEO / COO / GM, ","")IF(INDEX('MOA role matrix'!$B$2:$D$13,4,MATCH($B88,'MOA role matrix'!$B$1:$D$1,0))="If finance","CEO / COO / GM (if finance), ","")IF(INDEX('MOA role matrix'!$B$2:$D$13,4,MATCH($B88,'MOA role matrix'!$B$1:$D$1,0))="Auto","CEO / COO / GM (auto), ","")IF(INDEX('MOA role matrix'!$B$2:$D$13,5,MATCH($B88,'MOA role matrix'!$B$1:$D$1,0))="Fill","Board member 1, ","")IF(INDEX('MOA role matrix'!$B$2:$D$13,5,MATCH($B88,'MOA role matrix'!$B$1:$D$1,0))="If finance","Board member 1 (if finance), ","")IF(INDEX('MOA role matrix'!$B$2:$D$13,5,MATCH($B88,'MOA role matrix'!$B$1:$D$1,0))="Auto","Board member 1 (auto), ","")IF(INDEX('MOA role matrix'!$B$2:$D$13,6,MATCH($B88,'MOA role matrix'!$B$1:$D$1,0))="Fill","Board member 2, ","")IF(INDEX('MOA role matrix'!$B$2:$D$13,6,MATCH($B88,'MOA role matrix'!$B$1:$D$1,0))="If finance","Board member 2 (if finance), ","")IF(INDEX('MOA role matrix'!$B$2:$D$13,6,MATCH($B88,'MOA role matrix'!$B$1:$D$1,0))="Auto","Board member 2 (auto), ","")IF(INDEX('MOA role matrix'!$B$2:$D$13,7,MATCH($B88,'MOA role matrix'!$B$1:$D$1,0))="Fill","LOA holder 1, ","")IF(INDEX('MOA role matrix'!$B$2:$D$13,7,MATCH($B88,'MOA role matrix'!$B$1:$D$1,0))="If finance","LOA holder 1 (if finance), ","")IF(INDEX('MOA role matrix'!$B$2:$D$13,7,MATCH($B88,'MOA role matrix'!$B$1:$D$1,0))="Auto","LOA holder 1 (auto), ","")IF(INDEX('MOA role matrix'!$B$2:$D$13,8,MATCH($B88,'MOA role matrix'!$B$1:$D$1,0))="Fill","LOA holder 2, ","")IF(INDEX('MOA role matrix'!$B$2:$D$13,8,MATCH($B88,'MOA role matrix'!$B$1:$D$1,0))="If finance","LOA holder 2 (if finance), ","")IF(INDEX('MOA role matrix'!$B$2:$D$13,8,MATCH($B88,'MOA role matrix'!$B$1:$D$1,0))="Auto","LOA holder 2 (auto), ","")IF(INDEX('MOA role matrix'!$B$2:$D$13,9,MATCH($B88,'MOA role matrix'!$B$1:$D$1,0))="Fill","Senior Manager CoSec, ","")IF(INDEX('MOA role matrix'!$B$2:$D$13,9,MATCH($B88,'MOA role matrix'!$B$1:$D$1,0))="If finance","Senior Manager CoSec (if finance), ","")IF(INDEX('MOA role matrix'!$B$2:$D$13,9,MATCH($B88,'MOA role matrix'!$B$1:$D$1,0))="Auto","Senior Manager CoSec (auto), ","")IF(INDEX('MOA role matrix'!$B$2:$D$13,10,MATCH($B88,'MOA role matrix'!$B$1:$D$1,0))="Fill","Division MOI managers, ","")IF(INDEX('MOA role matrix'!$B$2:$D$13,10,MATCH($B88,'MOA role matrix'!$B$1:$D$1,0))="If finance","Division MOI managers (if finance), ","")IF(INDEX('MOA role matrix'!$B$2:$D$13,10,MATCH($B88,'MOA role matrix'!$B$1:$D$1,0))="Auto","Division MOI managers (auto), ","")IF(INDEX('MOA role matrix'!$B$2:$D$13,11,MATCH($B88,'MOA role matrix'!$B$1:$D$1,0))="Fill","Ms Teh (bank), ","")IF(INDEX('MOA role matrix'!$B$2:$D$13,11,MATCH($B88,'MOA role matrix'!$B$1:$D$1,0))="If finance","Ms Teh (bank) (if finance), ","")IF(INDEX('MOA role matrix'!$B$2:$D$13,11,MATCH($B88,'MOA role matrix'!$B$1:$D$1,0))="Auto","Ms Teh (bank) (auto), ","")IF(INDEX('MOA role matrix'!$B$2:$D$13,12,MATCH($B88,'MOA role matrix'!$B$1:$D$1,0))="Fill","DLCM, ","")IF(INDEX('MOA role matrix'!$B$2:$D$13,12,MATCH($B88,'MOA role matrix'!$B$1:$D$1,0))="If finance","DLCM (if finance), ","")IF(INDEX('MOA role matrix'!$B$2:$D$13,12,MATCH($B88,'MOA role matrix'!$B$1:$D$1,0))="Auto","DLCM (auto), ","")))</f>
        <v/>
      </c>
      <c r="D88" s="5">
        <f>IF($A88="","",IFERROR(INDEX(FILTER('Client contacts'!$B$2:$B$500,('Client contacts'!$A$2:$A$500=$A88)*('Client contacts'!$H$2:$H$500="Y"),""),1),""))</f>
        <v/>
      </c>
      <c r="E88" s="5">
        <f>IF($A88="","",IFERROR(INDEX(FILTER('Client contacts'!$C$2:$C$500,('Client contacts'!$A$2:$A$500=$A88)*('Client contacts'!$H$2:$H$500="Y"),""),1),""))</f>
        <v/>
      </c>
      <c r="F88" s="5">
        <f>IF($A88="","",IFERROR(INDEX(FILTER('Client contacts'!$B$2:$B$500,('Client contacts'!$A$2:$A$500=$A88)*('Client contacts'!$G$2:$G$500="Y"),""),1),""))</f>
        <v/>
      </c>
      <c r="G88" s="5">
        <f>IF($A88="","",IFERROR(INDEX(FILTER('Client contacts'!$C$2:$C$500,('Client contacts'!$A$2:$A$500=$A88)*('Client contacts'!$G$2:$G$500="Y"),""),1),""))</f>
        <v/>
      </c>
      <c r="H88" s="5">
        <f>IF($A88="","",IFERROR(INDEX(FILTER('Client contacts'!$B$2:$B$500,('Client contacts'!$A$2:$A$500=$A88)*('Client contacts'!$G$2:$G$500="Y"),""),2),""))</f>
        <v/>
      </c>
      <c r="I88" s="5">
        <f>IF($A88="","",IFERROR(INDEX(FILTER('Client contacts'!$C$2:$C$500,('Client contacts'!$A$2:$A$500=$A88)*('Client contacts'!$G$2:$G$500="Y"),""),2),""))</f>
        <v/>
      </c>
      <c r="J88" s="8" t="n"/>
      <c r="K88" s="8" t="n"/>
      <c r="L88" s="8" t="n"/>
      <c r="M88" s="8" t="n"/>
      <c r="N88" s="8" t="n"/>
      <c r="O88" s="8" t="n"/>
      <c r="P88" s="8" t="n"/>
      <c r="Q88" s="8" t="n"/>
      <c r="R88" s="5">
        <f>IF($A88="","",IFERROR(INDEX(Companies!$I$2:$I$500,MATCH($A88,Companies!$A$2:$A$500,0)),""))</f>
        <v/>
      </c>
      <c r="S88" s="8" t="n"/>
      <c r="T88" s="8" t="n"/>
      <c r="U88" s="8" t="n"/>
      <c r="V88" s="8" t="n"/>
      <c r="W88" s="8" t="n"/>
    </row>
    <row r="89">
      <c r="C89" s="5">
        <f>IF($B89="","",TRIM(IF(INDEX('MOA role matrix'!$B$2:$D$13,1,MATCH($B89,'MOA role matrix'!$B$1:$D$1,0))="Fill","Project initiator, ","")IF(INDEX('MOA role matrix'!$B$2:$D$13,1,MATCH($B89,'MOA role matrix'!$B$1:$D$1,0))="If finance","Project initiator (if finance), ","")IF(INDEX('MOA role matrix'!$B$2:$D$13,1,MATCH($B89,'MOA role matrix'!$B$1:$D$1,0))="Auto","Project initiator (auto), ","")IF(INDEX('MOA role matrix'!$B$2:$D$13,2,MATCH($B89,'MOA role matrix'!$B$1:$D$1,0))="Fill","MOA signers (client), ","")IF(INDEX('MOA role matrix'!$B$2:$D$13,2,MATCH($B89,'MOA role matrix'!$B$1:$D$1,0))="If finance","MOA signers (client) (if finance), ","")IF(INDEX('MOA role matrix'!$B$2:$D$13,2,MATCH($B89,'MOA role matrix'!$B$1:$D$1,0))="Auto","MOA signers (client) (auto), ","")IF(INDEX('MOA role matrix'!$B$2:$D$13,3,MATCH($B89,'MOA role matrix'!$B$1:$D$1,0))="Fill","CFO / Head of Finance, ","")IF(INDEX('MOA role matrix'!$B$2:$D$13,3,MATCH($B89,'MOA role matrix'!$B$1:$D$1,0))="If finance","CFO / Head of Finance (if finance), ","")IF(INDEX('MOA role matrix'!$B$2:$D$13,3,MATCH($B89,'MOA role matrix'!$B$1:$D$1,0))="Auto","CFO / Head of Finance (auto), ","")IF(INDEX('MOA role matrix'!$B$2:$D$13,4,MATCH($B89,'MOA role matrix'!$B$1:$D$1,0))="Fill","CEO / COO / GM, ","")IF(INDEX('MOA role matrix'!$B$2:$D$13,4,MATCH($B89,'MOA role matrix'!$B$1:$D$1,0))="If finance","CEO / COO / GM (if finance), ","")IF(INDEX('MOA role matrix'!$B$2:$D$13,4,MATCH($B89,'MOA role matrix'!$B$1:$D$1,0))="Auto","CEO / COO / GM (auto), ","")IF(INDEX('MOA role matrix'!$B$2:$D$13,5,MATCH($B89,'MOA role matrix'!$B$1:$D$1,0))="Fill","Board member 1, ","")IF(INDEX('MOA role matrix'!$B$2:$D$13,5,MATCH($B89,'MOA role matrix'!$B$1:$D$1,0))="If finance","Board member 1 (if finance), ","")IF(INDEX('MOA role matrix'!$B$2:$D$13,5,MATCH($B89,'MOA role matrix'!$B$1:$D$1,0))="Auto","Board member 1 (auto), ","")IF(INDEX('MOA role matrix'!$B$2:$D$13,6,MATCH($B89,'MOA role matrix'!$B$1:$D$1,0))="Fill","Board member 2, ","")IF(INDEX('MOA role matrix'!$B$2:$D$13,6,MATCH($B89,'MOA role matrix'!$B$1:$D$1,0))="If finance","Board member 2 (if finance), ","")IF(INDEX('MOA role matrix'!$B$2:$D$13,6,MATCH($B89,'MOA role matrix'!$B$1:$D$1,0))="Auto","Board member 2 (auto), ","")IF(INDEX('MOA role matrix'!$B$2:$D$13,7,MATCH($B89,'MOA role matrix'!$B$1:$D$1,0))="Fill","LOA holder 1, ","")IF(INDEX('MOA role matrix'!$B$2:$D$13,7,MATCH($B89,'MOA role matrix'!$B$1:$D$1,0))="If finance","LOA holder 1 (if finance), ","")IF(INDEX('MOA role matrix'!$B$2:$D$13,7,MATCH($B89,'MOA role matrix'!$B$1:$D$1,0))="Auto","LOA holder 1 (auto), ","")IF(INDEX('MOA role matrix'!$B$2:$D$13,8,MATCH($B89,'MOA role matrix'!$B$1:$D$1,0))="Fill","LOA holder 2, ","")IF(INDEX('MOA role matrix'!$B$2:$D$13,8,MATCH($B89,'MOA role matrix'!$B$1:$D$1,0))="If finance","LOA holder 2 (if finance), ","")IF(INDEX('MOA role matrix'!$B$2:$D$13,8,MATCH($B89,'MOA role matrix'!$B$1:$D$1,0))="Auto","LOA holder 2 (auto), ","")IF(INDEX('MOA role matrix'!$B$2:$D$13,9,MATCH($B89,'MOA role matrix'!$B$1:$D$1,0))="Fill","Senior Manager CoSec, ","")IF(INDEX('MOA role matrix'!$B$2:$D$13,9,MATCH($B89,'MOA role matrix'!$B$1:$D$1,0))="If finance","Senior Manager CoSec (if finance), ","")IF(INDEX('MOA role matrix'!$B$2:$D$13,9,MATCH($B89,'MOA role matrix'!$B$1:$D$1,0))="Auto","Senior Manager CoSec (auto), ","")IF(INDEX('MOA role matrix'!$B$2:$D$13,10,MATCH($B89,'MOA role matrix'!$B$1:$D$1,0))="Fill","Division MOI managers, ","")IF(INDEX('MOA role matrix'!$B$2:$D$13,10,MATCH($B89,'MOA role matrix'!$B$1:$D$1,0))="If finance","Division MOI managers (if finance), ","")IF(INDEX('MOA role matrix'!$B$2:$D$13,10,MATCH($B89,'MOA role matrix'!$B$1:$D$1,0))="Auto","Division MOI managers (auto), ","")IF(INDEX('MOA role matrix'!$B$2:$D$13,11,MATCH($B89,'MOA role matrix'!$B$1:$D$1,0))="Fill","Ms Teh (bank), ","")IF(INDEX('MOA role matrix'!$B$2:$D$13,11,MATCH($B89,'MOA role matrix'!$B$1:$D$1,0))="If finance","Ms Teh (bank) (if finance), ","")IF(INDEX('MOA role matrix'!$B$2:$D$13,11,MATCH($B89,'MOA role matrix'!$B$1:$D$1,0))="Auto","Ms Teh (bank) (auto), ","")IF(INDEX('MOA role matrix'!$B$2:$D$13,12,MATCH($B89,'MOA role matrix'!$B$1:$D$1,0))="Fill","DLCM, ","")IF(INDEX('MOA role matrix'!$B$2:$D$13,12,MATCH($B89,'MOA role matrix'!$B$1:$D$1,0))="If finance","DLCM (if finance), ","")IF(INDEX('MOA role matrix'!$B$2:$D$13,12,MATCH($B89,'MOA role matrix'!$B$1:$D$1,0))="Auto","DLCM (auto), ","")))</f>
        <v/>
      </c>
      <c r="D89" s="5">
        <f>IF($A89="","",IFERROR(INDEX(FILTER('Client contacts'!$B$2:$B$500,('Client contacts'!$A$2:$A$500=$A89)*('Client contacts'!$H$2:$H$500="Y"),""),1),""))</f>
        <v/>
      </c>
      <c r="E89" s="5">
        <f>IF($A89="","",IFERROR(INDEX(FILTER('Client contacts'!$C$2:$C$500,('Client contacts'!$A$2:$A$500=$A89)*('Client contacts'!$H$2:$H$500="Y"),""),1),""))</f>
        <v/>
      </c>
      <c r="F89" s="5">
        <f>IF($A89="","",IFERROR(INDEX(FILTER('Client contacts'!$B$2:$B$500,('Client contacts'!$A$2:$A$500=$A89)*('Client contacts'!$G$2:$G$500="Y"),""),1),""))</f>
        <v/>
      </c>
      <c r="G89" s="5">
        <f>IF($A89="","",IFERROR(INDEX(FILTER('Client contacts'!$C$2:$C$500,('Client contacts'!$A$2:$A$500=$A89)*('Client contacts'!$G$2:$G$500="Y"),""),1),""))</f>
        <v/>
      </c>
      <c r="H89" s="5">
        <f>IF($A89="","",IFERROR(INDEX(FILTER('Client contacts'!$B$2:$B$500,('Client contacts'!$A$2:$A$500=$A89)*('Client contacts'!$G$2:$G$500="Y"),""),2),""))</f>
        <v/>
      </c>
      <c r="I89" s="5">
        <f>IF($A89="","",IFERROR(INDEX(FILTER('Client contacts'!$C$2:$C$500,('Client contacts'!$A$2:$A$500=$A89)*('Client contacts'!$G$2:$G$500="Y"),""),2),""))</f>
        <v/>
      </c>
      <c r="J89" s="8" t="n"/>
      <c r="K89" s="8" t="n"/>
      <c r="L89" s="8" t="n"/>
      <c r="M89" s="8" t="n"/>
      <c r="N89" s="8" t="n"/>
      <c r="O89" s="8" t="n"/>
      <c r="P89" s="8" t="n"/>
      <c r="Q89" s="8" t="n"/>
      <c r="R89" s="5">
        <f>IF($A89="","",IFERROR(INDEX(Companies!$I$2:$I$500,MATCH($A89,Companies!$A$2:$A$500,0)),""))</f>
        <v/>
      </c>
      <c r="S89" s="8" t="n"/>
      <c r="T89" s="8" t="n"/>
      <c r="U89" s="8" t="n"/>
      <c r="V89" s="8" t="n"/>
      <c r="W89" s="8" t="n"/>
    </row>
    <row r="90">
      <c r="C90" s="5">
        <f>IF($B90="","",TRIM(IF(INDEX('MOA role matrix'!$B$2:$D$13,1,MATCH($B90,'MOA role matrix'!$B$1:$D$1,0))="Fill","Project initiator, ","")IF(INDEX('MOA role matrix'!$B$2:$D$13,1,MATCH($B90,'MOA role matrix'!$B$1:$D$1,0))="If finance","Project initiator (if finance), ","")IF(INDEX('MOA role matrix'!$B$2:$D$13,1,MATCH($B90,'MOA role matrix'!$B$1:$D$1,0))="Auto","Project initiator (auto), ","")IF(INDEX('MOA role matrix'!$B$2:$D$13,2,MATCH($B90,'MOA role matrix'!$B$1:$D$1,0))="Fill","MOA signers (client), ","")IF(INDEX('MOA role matrix'!$B$2:$D$13,2,MATCH($B90,'MOA role matrix'!$B$1:$D$1,0))="If finance","MOA signers (client) (if finance), ","")IF(INDEX('MOA role matrix'!$B$2:$D$13,2,MATCH($B90,'MOA role matrix'!$B$1:$D$1,0))="Auto","MOA signers (client) (auto), ","")IF(INDEX('MOA role matrix'!$B$2:$D$13,3,MATCH($B90,'MOA role matrix'!$B$1:$D$1,0))="Fill","CFO / Head of Finance, ","")IF(INDEX('MOA role matrix'!$B$2:$D$13,3,MATCH($B90,'MOA role matrix'!$B$1:$D$1,0))="If finance","CFO / Head of Finance (if finance), ","")IF(INDEX('MOA role matrix'!$B$2:$D$13,3,MATCH($B90,'MOA role matrix'!$B$1:$D$1,0))="Auto","CFO / Head of Finance (auto), ","")IF(INDEX('MOA role matrix'!$B$2:$D$13,4,MATCH($B90,'MOA role matrix'!$B$1:$D$1,0))="Fill","CEO / COO / GM, ","")IF(INDEX('MOA role matrix'!$B$2:$D$13,4,MATCH($B90,'MOA role matrix'!$B$1:$D$1,0))="If finance","CEO / COO / GM (if finance), ","")IF(INDEX('MOA role matrix'!$B$2:$D$13,4,MATCH($B90,'MOA role matrix'!$B$1:$D$1,0))="Auto","CEO / COO / GM (auto), ","")IF(INDEX('MOA role matrix'!$B$2:$D$13,5,MATCH($B90,'MOA role matrix'!$B$1:$D$1,0))="Fill","Board member 1, ","")IF(INDEX('MOA role matrix'!$B$2:$D$13,5,MATCH($B90,'MOA role matrix'!$B$1:$D$1,0))="If finance","Board member 1 (if finance), ","")IF(INDEX('MOA role matrix'!$B$2:$D$13,5,MATCH($B90,'MOA role matrix'!$B$1:$D$1,0))="Auto","Board member 1 (auto), ","")IF(INDEX('MOA role matrix'!$B$2:$D$13,6,MATCH($B90,'MOA role matrix'!$B$1:$D$1,0))="Fill","Board member 2, ","")IF(INDEX('MOA role matrix'!$B$2:$D$13,6,MATCH($B90,'MOA role matrix'!$B$1:$D$1,0))="If finance","Board member 2 (if finance), ","")IF(INDEX('MOA role matrix'!$B$2:$D$13,6,MATCH($B90,'MOA role matrix'!$B$1:$D$1,0))="Auto","Board member 2 (auto), ","")IF(INDEX('MOA role matrix'!$B$2:$D$13,7,MATCH($B90,'MOA role matrix'!$B$1:$D$1,0))="Fill","LOA holder 1, ","")IF(INDEX('MOA role matrix'!$B$2:$D$13,7,MATCH($B90,'MOA role matrix'!$B$1:$D$1,0))="If finance","LOA holder 1 (if finance), ","")IF(INDEX('MOA role matrix'!$B$2:$D$13,7,MATCH($B90,'MOA role matrix'!$B$1:$D$1,0))="Auto","LOA holder 1 (auto), ","")IF(INDEX('MOA role matrix'!$B$2:$D$13,8,MATCH($B90,'MOA role matrix'!$B$1:$D$1,0))="Fill","LOA holder 2, ","")IF(INDEX('MOA role matrix'!$B$2:$D$13,8,MATCH($B90,'MOA role matrix'!$B$1:$D$1,0))="If finance","LOA holder 2 (if finance), ","")IF(INDEX('MOA role matrix'!$B$2:$D$13,8,MATCH($B90,'MOA role matrix'!$B$1:$D$1,0))="Auto","LOA holder 2 (auto), ","")IF(INDEX('MOA role matrix'!$B$2:$D$13,9,MATCH($B90,'MOA role matrix'!$B$1:$D$1,0))="Fill","Senior Manager CoSec, ","")IF(INDEX('MOA role matrix'!$B$2:$D$13,9,MATCH($B90,'MOA role matrix'!$B$1:$D$1,0))="If finance","Senior Manager CoSec (if finance), ","")IF(INDEX('MOA role matrix'!$B$2:$D$13,9,MATCH($B90,'MOA role matrix'!$B$1:$D$1,0))="Auto","Senior Manager CoSec (auto), ","")IF(INDEX('MOA role matrix'!$B$2:$D$13,10,MATCH($B90,'MOA role matrix'!$B$1:$D$1,0))="Fill","Division MOI managers, ","")IF(INDEX('MOA role matrix'!$B$2:$D$13,10,MATCH($B90,'MOA role matrix'!$B$1:$D$1,0))="If finance","Division MOI managers (if finance), ","")IF(INDEX('MOA role matrix'!$B$2:$D$13,10,MATCH($B90,'MOA role matrix'!$B$1:$D$1,0))="Auto","Division MOI managers (auto), ","")IF(INDEX('MOA role matrix'!$B$2:$D$13,11,MATCH($B90,'MOA role matrix'!$B$1:$D$1,0))="Fill","Ms Teh (bank), ","")IF(INDEX('MOA role matrix'!$B$2:$D$13,11,MATCH($B90,'MOA role matrix'!$B$1:$D$1,0))="If finance","Ms Teh (bank) (if finance), ","")IF(INDEX('MOA role matrix'!$B$2:$D$13,11,MATCH($B90,'MOA role matrix'!$B$1:$D$1,0))="Auto","Ms Teh (bank) (auto), ","")IF(INDEX('MOA role matrix'!$B$2:$D$13,12,MATCH($B90,'MOA role matrix'!$B$1:$D$1,0))="Fill","DLCM, ","")IF(INDEX('MOA role matrix'!$B$2:$D$13,12,MATCH($B90,'MOA role matrix'!$B$1:$D$1,0))="If finance","DLCM (if finance), ","")IF(INDEX('MOA role matrix'!$B$2:$D$13,12,MATCH($B90,'MOA role matrix'!$B$1:$D$1,0))="Auto","DLCM (auto), ","")))</f>
        <v/>
      </c>
      <c r="D90" s="5">
        <f>IF($A90="","",IFERROR(INDEX(FILTER('Client contacts'!$B$2:$B$500,('Client contacts'!$A$2:$A$500=$A90)*('Client contacts'!$H$2:$H$500="Y"),""),1),""))</f>
        <v/>
      </c>
      <c r="E90" s="5">
        <f>IF($A90="","",IFERROR(INDEX(FILTER('Client contacts'!$C$2:$C$500,('Client contacts'!$A$2:$A$500=$A90)*('Client contacts'!$H$2:$H$500="Y"),""),1),""))</f>
        <v/>
      </c>
      <c r="F90" s="5">
        <f>IF($A90="","",IFERROR(INDEX(FILTER('Client contacts'!$B$2:$B$500,('Client contacts'!$A$2:$A$500=$A90)*('Client contacts'!$G$2:$G$500="Y"),""),1),""))</f>
        <v/>
      </c>
      <c r="G90" s="5">
        <f>IF($A90="","",IFERROR(INDEX(FILTER('Client contacts'!$C$2:$C$500,('Client contacts'!$A$2:$A$500=$A90)*('Client contacts'!$G$2:$G$500="Y"),""),1),""))</f>
        <v/>
      </c>
      <c r="H90" s="5">
        <f>IF($A90="","",IFERROR(INDEX(FILTER('Client contacts'!$B$2:$B$500,('Client contacts'!$A$2:$A$500=$A90)*('Client contacts'!$G$2:$G$500="Y"),""),2),""))</f>
        <v/>
      </c>
      <c r="I90" s="5">
        <f>IF($A90="","",IFERROR(INDEX(FILTER('Client contacts'!$C$2:$C$500,('Client contacts'!$A$2:$A$500=$A90)*('Client contacts'!$G$2:$G$500="Y"),""),2),""))</f>
        <v/>
      </c>
      <c r="J90" s="8" t="n"/>
      <c r="K90" s="8" t="n"/>
      <c r="L90" s="8" t="n"/>
      <c r="M90" s="8" t="n"/>
      <c r="N90" s="8" t="n"/>
      <c r="O90" s="8" t="n"/>
      <c r="P90" s="8" t="n"/>
      <c r="Q90" s="8" t="n"/>
      <c r="R90" s="5">
        <f>IF($A90="","",IFERROR(INDEX(Companies!$I$2:$I$500,MATCH($A90,Companies!$A$2:$A$500,0)),""))</f>
        <v/>
      </c>
      <c r="S90" s="8" t="n"/>
      <c r="T90" s="8" t="n"/>
      <c r="U90" s="8" t="n"/>
      <c r="V90" s="8" t="n"/>
      <c r="W90" s="8" t="n"/>
    </row>
    <row r="91">
      <c r="C91" s="5">
        <f>IF($B91="","",TRIM(IF(INDEX('MOA role matrix'!$B$2:$D$13,1,MATCH($B91,'MOA role matrix'!$B$1:$D$1,0))="Fill","Project initiator, ","")IF(INDEX('MOA role matrix'!$B$2:$D$13,1,MATCH($B91,'MOA role matrix'!$B$1:$D$1,0))="If finance","Project initiator (if finance), ","")IF(INDEX('MOA role matrix'!$B$2:$D$13,1,MATCH($B91,'MOA role matrix'!$B$1:$D$1,0))="Auto","Project initiator (auto), ","")IF(INDEX('MOA role matrix'!$B$2:$D$13,2,MATCH($B91,'MOA role matrix'!$B$1:$D$1,0))="Fill","MOA signers (client), ","")IF(INDEX('MOA role matrix'!$B$2:$D$13,2,MATCH($B91,'MOA role matrix'!$B$1:$D$1,0))="If finance","MOA signers (client) (if finance), ","")IF(INDEX('MOA role matrix'!$B$2:$D$13,2,MATCH($B91,'MOA role matrix'!$B$1:$D$1,0))="Auto","MOA signers (client) (auto), ","")IF(INDEX('MOA role matrix'!$B$2:$D$13,3,MATCH($B91,'MOA role matrix'!$B$1:$D$1,0))="Fill","CFO / Head of Finance, ","")IF(INDEX('MOA role matrix'!$B$2:$D$13,3,MATCH($B91,'MOA role matrix'!$B$1:$D$1,0))="If finance","CFO / Head of Finance (if finance), ","")IF(INDEX('MOA role matrix'!$B$2:$D$13,3,MATCH($B91,'MOA role matrix'!$B$1:$D$1,0))="Auto","CFO / Head of Finance (auto), ","")IF(INDEX('MOA role matrix'!$B$2:$D$13,4,MATCH($B91,'MOA role matrix'!$B$1:$D$1,0))="Fill","CEO / COO / GM, ","")IF(INDEX('MOA role matrix'!$B$2:$D$13,4,MATCH($B91,'MOA role matrix'!$B$1:$D$1,0))="If finance","CEO / COO / GM (if finance), ","")IF(INDEX('MOA role matrix'!$B$2:$D$13,4,MATCH($B91,'MOA role matrix'!$B$1:$D$1,0))="Auto","CEO / COO / GM (auto), ","")IF(INDEX('MOA role matrix'!$B$2:$D$13,5,MATCH($B91,'MOA role matrix'!$B$1:$D$1,0))="Fill","Board member 1, ","")IF(INDEX('MOA role matrix'!$B$2:$D$13,5,MATCH($B91,'MOA role matrix'!$B$1:$D$1,0))="If finance","Board member 1 (if finance), ","")IF(INDEX('MOA role matrix'!$B$2:$D$13,5,MATCH($B91,'MOA role matrix'!$B$1:$D$1,0))="Auto","Board member 1 (auto), ","")IF(INDEX('MOA role matrix'!$B$2:$D$13,6,MATCH($B91,'MOA role matrix'!$B$1:$D$1,0))="Fill","Board member 2, ","")IF(INDEX('MOA role matrix'!$B$2:$D$13,6,MATCH($B91,'MOA role matrix'!$B$1:$D$1,0))="If finance","Board member 2 (if finance), ","")IF(INDEX('MOA role matrix'!$B$2:$D$13,6,MATCH($B91,'MOA role matrix'!$B$1:$D$1,0))="Auto","Board member 2 (auto), ","")IF(INDEX('MOA role matrix'!$B$2:$D$13,7,MATCH($B91,'MOA role matrix'!$B$1:$D$1,0))="Fill","LOA holder 1, ","")IF(INDEX('MOA role matrix'!$B$2:$D$13,7,MATCH($B91,'MOA role matrix'!$B$1:$D$1,0))="If finance","LOA holder 1 (if finance), ","")IF(INDEX('MOA role matrix'!$B$2:$D$13,7,MATCH($B91,'MOA role matrix'!$B$1:$D$1,0))="Auto","LOA holder 1 (auto), ","")IF(INDEX('MOA role matrix'!$B$2:$D$13,8,MATCH($B91,'MOA role matrix'!$B$1:$D$1,0))="Fill","LOA holder 2, ","")IF(INDEX('MOA role matrix'!$B$2:$D$13,8,MATCH($B91,'MOA role matrix'!$B$1:$D$1,0))="If finance","LOA holder 2 (if finance), ","")IF(INDEX('MOA role matrix'!$B$2:$D$13,8,MATCH($B91,'MOA role matrix'!$B$1:$D$1,0))="Auto","LOA holder 2 (auto), ","")IF(INDEX('MOA role matrix'!$B$2:$D$13,9,MATCH($B91,'MOA role matrix'!$B$1:$D$1,0))="Fill","Senior Manager CoSec, ","")IF(INDEX('MOA role matrix'!$B$2:$D$13,9,MATCH($B91,'MOA role matrix'!$B$1:$D$1,0))="If finance","Senior Manager CoSec (if finance), ","")IF(INDEX('MOA role matrix'!$B$2:$D$13,9,MATCH($B91,'MOA role matrix'!$B$1:$D$1,0))="Auto","Senior Manager CoSec (auto), ","")IF(INDEX('MOA role matrix'!$B$2:$D$13,10,MATCH($B91,'MOA role matrix'!$B$1:$D$1,0))="Fill","Division MOI managers, ","")IF(INDEX('MOA role matrix'!$B$2:$D$13,10,MATCH($B91,'MOA role matrix'!$B$1:$D$1,0))="If finance","Division MOI managers (if finance), ","")IF(INDEX('MOA role matrix'!$B$2:$D$13,10,MATCH($B91,'MOA role matrix'!$B$1:$D$1,0))="Auto","Division MOI managers (auto), ","")IF(INDEX('MOA role matrix'!$B$2:$D$13,11,MATCH($B91,'MOA role matrix'!$B$1:$D$1,0))="Fill","Ms Teh (bank), ","")IF(INDEX('MOA role matrix'!$B$2:$D$13,11,MATCH($B91,'MOA role matrix'!$B$1:$D$1,0))="If finance","Ms Teh (bank) (if finance), ","")IF(INDEX('MOA role matrix'!$B$2:$D$13,11,MATCH($B91,'MOA role matrix'!$B$1:$D$1,0))="Auto","Ms Teh (bank) (auto), ","")IF(INDEX('MOA role matrix'!$B$2:$D$13,12,MATCH($B91,'MOA role matrix'!$B$1:$D$1,0))="Fill","DLCM, ","")IF(INDEX('MOA role matrix'!$B$2:$D$13,12,MATCH($B91,'MOA role matrix'!$B$1:$D$1,0))="If finance","DLCM (if finance), ","")IF(INDEX('MOA role matrix'!$B$2:$D$13,12,MATCH($B91,'MOA role matrix'!$B$1:$D$1,0))="Auto","DLCM (auto), ","")))</f>
        <v/>
      </c>
      <c r="D91" s="5">
        <f>IF($A91="","",IFERROR(INDEX(FILTER('Client contacts'!$B$2:$B$500,('Client contacts'!$A$2:$A$500=$A91)*('Client contacts'!$H$2:$H$500="Y"),""),1),""))</f>
        <v/>
      </c>
      <c r="E91" s="5">
        <f>IF($A91="","",IFERROR(INDEX(FILTER('Client contacts'!$C$2:$C$500,('Client contacts'!$A$2:$A$500=$A91)*('Client contacts'!$H$2:$H$500="Y"),""),1),""))</f>
        <v/>
      </c>
      <c r="F91" s="5">
        <f>IF($A91="","",IFERROR(INDEX(FILTER('Client contacts'!$B$2:$B$500,('Client contacts'!$A$2:$A$500=$A91)*('Client contacts'!$G$2:$G$500="Y"),""),1),""))</f>
        <v/>
      </c>
      <c r="G91" s="5">
        <f>IF($A91="","",IFERROR(INDEX(FILTER('Client contacts'!$C$2:$C$500,('Client contacts'!$A$2:$A$500=$A91)*('Client contacts'!$G$2:$G$500="Y"),""),1),""))</f>
        <v/>
      </c>
      <c r="H91" s="5">
        <f>IF($A91="","",IFERROR(INDEX(FILTER('Client contacts'!$B$2:$B$500,('Client contacts'!$A$2:$A$500=$A91)*('Client contacts'!$G$2:$G$500="Y"),""),2),""))</f>
        <v/>
      </c>
      <c r="I91" s="5">
        <f>IF($A91="","",IFERROR(INDEX(FILTER('Client contacts'!$C$2:$C$500,('Client contacts'!$A$2:$A$500=$A91)*('Client contacts'!$G$2:$G$500="Y"),""),2),""))</f>
        <v/>
      </c>
      <c r="J91" s="8" t="n"/>
      <c r="K91" s="8" t="n"/>
      <c r="L91" s="8" t="n"/>
      <c r="M91" s="8" t="n"/>
      <c r="N91" s="8" t="n"/>
      <c r="O91" s="8" t="n"/>
      <c r="P91" s="8" t="n"/>
      <c r="Q91" s="8" t="n"/>
      <c r="R91" s="5">
        <f>IF($A91="","",IFERROR(INDEX(Companies!$I$2:$I$500,MATCH($A91,Companies!$A$2:$A$500,0)),""))</f>
        <v/>
      </c>
      <c r="S91" s="8" t="n"/>
      <c r="T91" s="8" t="n"/>
      <c r="U91" s="8" t="n"/>
      <c r="V91" s="8" t="n"/>
      <c r="W91" s="8" t="n"/>
    </row>
    <row r="92">
      <c r="C92" s="5">
        <f>IF($B92="","",TRIM(IF(INDEX('MOA role matrix'!$B$2:$D$13,1,MATCH($B92,'MOA role matrix'!$B$1:$D$1,0))="Fill","Project initiator, ","")IF(INDEX('MOA role matrix'!$B$2:$D$13,1,MATCH($B92,'MOA role matrix'!$B$1:$D$1,0))="If finance","Project initiator (if finance), ","")IF(INDEX('MOA role matrix'!$B$2:$D$13,1,MATCH($B92,'MOA role matrix'!$B$1:$D$1,0))="Auto","Project initiator (auto), ","")IF(INDEX('MOA role matrix'!$B$2:$D$13,2,MATCH($B92,'MOA role matrix'!$B$1:$D$1,0))="Fill","MOA signers (client), ","")IF(INDEX('MOA role matrix'!$B$2:$D$13,2,MATCH($B92,'MOA role matrix'!$B$1:$D$1,0))="If finance","MOA signers (client) (if finance), ","")IF(INDEX('MOA role matrix'!$B$2:$D$13,2,MATCH($B92,'MOA role matrix'!$B$1:$D$1,0))="Auto","MOA signers (client) (auto), ","")IF(INDEX('MOA role matrix'!$B$2:$D$13,3,MATCH($B92,'MOA role matrix'!$B$1:$D$1,0))="Fill","CFO / Head of Finance, ","")IF(INDEX('MOA role matrix'!$B$2:$D$13,3,MATCH($B92,'MOA role matrix'!$B$1:$D$1,0))="If finance","CFO / Head of Finance (if finance), ","")IF(INDEX('MOA role matrix'!$B$2:$D$13,3,MATCH($B92,'MOA role matrix'!$B$1:$D$1,0))="Auto","CFO / Head of Finance (auto), ","")IF(INDEX('MOA role matrix'!$B$2:$D$13,4,MATCH($B92,'MOA role matrix'!$B$1:$D$1,0))="Fill","CEO / COO / GM, ","")IF(INDEX('MOA role matrix'!$B$2:$D$13,4,MATCH($B92,'MOA role matrix'!$B$1:$D$1,0))="If finance","CEO / COO / GM (if finance), ","")IF(INDEX('MOA role matrix'!$B$2:$D$13,4,MATCH($B92,'MOA role matrix'!$B$1:$D$1,0))="Auto","CEO / COO / GM (auto), ","")IF(INDEX('MOA role matrix'!$B$2:$D$13,5,MATCH($B92,'MOA role matrix'!$B$1:$D$1,0))="Fill","Board member 1, ","")IF(INDEX('MOA role matrix'!$B$2:$D$13,5,MATCH($B92,'MOA role matrix'!$B$1:$D$1,0))="If finance","Board member 1 (if finance), ","")IF(INDEX('MOA role matrix'!$B$2:$D$13,5,MATCH($B92,'MOA role matrix'!$B$1:$D$1,0))="Auto","Board member 1 (auto), ","")IF(INDEX('MOA role matrix'!$B$2:$D$13,6,MATCH($B92,'MOA role matrix'!$B$1:$D$1,0))="Fill","Board member 2, ","")IF(INDEX('MOA role matrix'!$B$2:$D$13,6,MATCH($B92,'MOA role matrix'!$B$1:$D$1,0))="If finance","Board member 2 (if finance), ","")IF(INDEX('MOA role matrix'!$B$2:$D$13,6,MATCH($B92,'MOA role matrix'!$B$1:$D$1,0))="Auto","Board member 2 (auto), ","")IF(INDEX('MOA role matrix'!$B$2:$D$13,7,MATCH($B92,'MOA role matrix'!$B$1:$D$1,0))="Fill","LOA holder 1, ","")IF(INDEX('MOA role matrix'!$B$2:$D$13,7,MATCH($B92,'MOA role matrix'!$B$1:$D$1,0))="If finance","LOA holder 1 (if finance), ","")IF(INDEX('MOA role matrix'!$B$2:$D$13,7,MATCH($B92,'MOA role matrix'!$B$1:$D$1,0))="Auto","LOA holder 1 (auto), ","")IF(INDEX('MOA role matrix'!$B$2:$D$13,8,MATCH($B92,'MOA role matrix'!$B$1:$D$1,0))="Fill","LOA holder 2, ","")IF(INDEX('MOA role matrix'!$B$2:$D$13,8,MATCH($B92,'MOA role matrix'!$B$1:$D$1,0))="If finance","LOA holder 2 (if finance), ","")IF(INDEX('MOA role matrix'!$B$2:$D$13,8,MATCH($B92,'MOA role matrix'!$B$1:$D$1,0))="Auto","LOA holder 2 (auto), ","")IF(INDEX('MOA role matrix'!$B$2:$D$13,9,MATCH($B92,'MOA role matrix'!$B$1:$D$1,0))="Fill","Senior Manager CoSec, ","")IF(INDEX('MOA role matrix'!$B$2:$D$13,9,MATCH($B92,'MOA role matrix'!$B$1:$D$1,0))="If finance","Senior Manager CoSec (if finance), ","")IF(INDEX('MOA role matrix'!$B$2:$D$13,9,MATCH($B92,'MOA role matrix'!$B$1:$D$1,0))="Auto","Senior Manager CoSec (auto), ","")IF(INDEX('MOA role matrix'!$B$2:$D$13,10,MATCH($B92,'MOA role matrix'!$B$1:$D$1,0))="Fill","Division MOI managers, ","")IF(INDEX('MOA role matrix'!$B$2:$D$13,10,MATCH($B92,'MOA role matrix'!$B$1:$D$1,0))="If finance","Division MOI managers (if finance), ","")IF(INDEX('MOA role matrix'!$B$2:$D$13,10,MATCH($B92,'MOA role matrix'!$B$1:$D$1,0))="Auto","Division MOI managers (auto), ","")IF(INDEX('MOA role matrix'!$B$2:$D$13,11,MATCH($B92,'MOA role matrix'!$B$1:$D$1,0))="Fill","Ms Teh (bank), ","")IF(INDEX('MOA role matrix'!$B$2:$D$13,11,MATCH($B92,'MOA role matrix'!$B$1:$D$1,0))="If finance","Ms Teh (bank) (if finance), ","")IF(INDEX('MOA role matrix'!$B$2:$D$13,11,MATCH($B92,'MOA role matrix'!$B$1:$D$1,0))="Auto","Ms Teh (bank) (auto), ","")IF(INDEX('MOA role matrix'!$B$2:$D$13,12,MATCH($B92,'MOA role matrix'!$B$1:$D$1,0))="Fill","DLCM, ","")IF(INDEX('MOA role matrix'!$B$2:$D$13,12,MATCH($B92,'MOA role matrix'!$B$1:$D$1,0))="If finance","DLCM (if finance), ","")IF(INDEX('MOA role matrix'!$B$2:$D$13,12,MATCH($B92,'MOA role matrix'!$B$1:$D$1,0))="Auto","DLCM (auto), ","")))</f>
        <v/>
      </c>
      <c r="D92" s="5">
        <f>IF($A92="","",IFERROR(INDEX(FILTER('Client contacts'!$B$2:$B$500,('Client contacts'!$A$2:$A$500=$A92)*('Client contacts'!$H$2:$H$500="Y"),""),1),""))</f>
        <v/>
      </c>
      <c r="E92" s="5">
        <f>IF($A92="","",IFERROR(INDEX(FILTER('Client contacts'!$C$2:$C$500,('Client contacts'!$A$2:$A$500=$A92)*('Client contacts'!$H$2:$H$500="Y"),""),1),""))</f>
        <v/>
      </c>
      <c r="F92" s="5">
        <f>IF($A92="","",IFERROR(INDEX(FILTER('Client contacts'!$B$2:$B$500,('Client contacts'!$A$2:$A$500=$A92)*('Client contacts'!$G$2:$G$500="Y"),""),1),""))</f>
        <v/>
      </c>
      <c r="G92" s="5">
        <f>IF($A92="","",IFERROR(INDEX(FILTER('Client contacts'!$C$2:$C$500,('Client contacts'!$A$2:$A$500=$A92)*('Client contacts'!$G$2:$G$500="Y"),""),1),""))</f>
        <v/>
      </c>
      <c r="H92" s="5">
        <f>IF($A92="","",IFERROR(INDEX(FILTER('Client contacts'!$B$2:$B$500,('Client contacts'!$A$2:$A$500=$A92)*('Client contacts'!$G$2:$G$500="Y"),""),2),""))</f>
        <v/>
      </c>
      <c r="I92" s="5">
        <f>IF($A92="","",IFERROR(INDEX(FILTER('Client contacts'!$C$2:$C$500,('Client contacts'!$A$2:$A$500=$A92)*('Client contacts'!$G$2:$G$500="Y"),""),2),""))</f>
        <v/>
      </c>
      <c r="J92" s="8" t="n"/>
      <c r="K92" s="8" t="n"/>
      <c r="L92" s="8" t="n"/>
      <c r="M92" s="8" t="n"/>
      <c r="N92" s="8" t="n"/>
      <c r="O92" s="8" t="n"/>
      <c r="P92" s="8" t="n"/>
      <c r="Q92" s="8" t="n"/>
      <c r="R92" s="5">
        <f>IF($A92="","",IFERROR(INDEX(Companies!$I$2:$I$500,MATCH($A92,Companies!$A$2:$A$500,0)),""))</f>
        <v/>
      </c>
      <c r="S92" s="8" t="n"/>
      <c r="T92" s="8" t="n"/>
      <c r="U92" s="8" t="n"/>
      <c r="V92" s="8" t="n"/>
      <c r="W92" s="8" t="n"/>
    </row>
    <row r="93">
      <c r="C93" s="5">
        <f>IF($B93="","",TRIM(IF(INDEX('MOA role matrix'!$B$2:$D$13,1,MATCH($B93,'MOA role matrix'!$B$1:$D$1,0))="Fill","Project initiator, ","")IF(INDEX('MOA role matrix'!$B$2:$D$13,1,MATCH($B93,'MOA role matrix'!$B$1:$D$1,0))="If finance","Project initiator (if finance), ","")IF(INDEX('MOA role matrix'!$B$2:$D$13,1,MATCH($B93,'MOA role matrix'!$B$1:$D$1,0))="Auto","Project initiator (auto), ","")IF(INDEX('MOA role matrix'!$B$2:$D$13,2,MATCH($B93,'MOA role matrix'!$B$1:$D$1,0))="Fill","MOA signers (client), ","")IF(INDEX('MOA role matrix'!$B$2:$D$13,2,MATCH($B93,'MOA role matrix'!$B$1:$D$1,0))="If finance","MOA signers (client) (if finance), ","")IF(INDEX('MOA role matrix'!$B$2:$D$13,2,MATCH($B93,'MOA role matrix'!$B$1:$D$1,0))="Auto","MOA signers (client) (auto), ","")IF(INDEX('MOA role matrix'!$B$2:$D$13,3,MATCH($B93,'MOA role matrix'!$B$1:$D$1,0))="Fill","CFO / Head of Finance, ","")IF(INDEX('MOA role matrix'!$B$2:$D$13,3,MATCH($B93,'MOA role matrix'!$B$1:$D$1,0))="If finance","CFO / Head of Finance (if finance), ","")IF(INDEX('MOA role matrix'!$B$2:$D$13,3,MATCH($B93,'MOA role matrix'!$B$1:$D$1,0))="Auto","CFO / Head of Finance (auto), ","")IF(INDEX('MOA role matrix'!$B$2:$D$13,4,MATCH($B93,'MOA role matrix'!$B$1:$D$1,0))="Fill","CEO / COO / GM, ","")IF(INDEX('MOA role matrix'!$B$2:$D$13,4,MATCH($B93,'MOA role matrix'!$B$1:$D$1,0))="If finance","CEO / COO / GM (if finance), ","")IF(INDEX('MOA role matrix'!$B$2:$D$13,4,MATCH($B93,'MOA role matrix'!$B$1:$D$1,0))="Auto","CEO / COO / GM (auto), ","")IF(INDEX('MOA role matrix'!$B$2:$D$13,5,MATCH($B93,'MOA role matrix'!$B$1:$D$1,0))="Fill","Board member 1, ","")IF(INDEX('MOA role matrix'!$B$2:$D$13,5,MATCH($B93,'MOA role matrix'!$B$1:$D$1,0))="If finance","Board member 1 (if finance), ","")IF(INDEX('MOA role matrix'!$B$2:$D$13,5,MATCH($B93,'MOA role matrix'!$B$1:$D$1,0))="Auto","Board member 1 (auto), ","")IF(INDEX('MOA role matrix'!$B$2:$D$13,6,MATCH($B93,'MOA role matrix'!$B$1:$D$1,0))="Fill","Board member 2, ","")IF(INDEX('MOA role matrix'!$B$2:$D$13,6,MATCH($B93,'MOA role matrix'!$B$1:$D$1,0))="If finance","Board member 2 (if finance), ","")IF(INDEX('MOA role matrix'!$B$2:$D$13,6,MATCH($B93,'MOA role matrix'!$B$1:$D$1,0))="Auto","Board member 2 (auto), ","")IF(INDEX('MOA role matrix'!$B$2:$D$13,7,MATCH($B93,'MOA role matrix'!$B$1:$D$1,0))="Fill","LOA holder 1, ","")IF(INDEX('MOA role matrix'!$B$2:$D$13,7,MATCH($B93,'MOA role matrix'!$B$1:$D$1,0))="If finance","LOA holder 1 (if finance), ","")IF(INDEX('MOA role matrix'!$B$2:$D$13,7,MATCH($B93,'MOA role matrix'!$B$1:$D$1,0))="Auto","LOA holder 1 (auto), ","")IF(INDEX('MOA role matrix'!$B$2:$D$13,8,MATCH($B93,'MOA role matrix'!$B$1:$D$1,0))="Fill","LOA holder 2, ","")IF(INDEX('MOA role matrix'!$B$2:$D$13,8,MATCH($B93,'MOA role matrix'!$B$1:$D$1,0))="If finance","LOA holder 2 (if finance), ","")IF(INDEX('MOA role matrix'!$B$2:$D$13,8,MATCH($B93,'MOA role matrix'!$B$1:$D$1,0))="Auto","LOA holder 2 (auto), ","")IF(INDEX('MOA role matrix'!$B$2:$D$13,9,MATCH($B93,'MOA role matrix'!$B$1:$D$1,0))="Fill","Senior Manager CoSec, ","")IF(INDEX('MOA role matrix'!$B$2:$D$13,9,MATCH($B93,'MOA role matrix'!$B$1:$D$1,0))="If finance","Senior Manager CoSec (if finance), ","")IF(INDEX('MOA role matrix'!$B$2:$D$13,9,MATCH($B93,'MOA role matrix'!$B$1:$D$1,0))="Auto","Senior Manager CoSec (auto), ","")IF(INDEX('MOA role matrix'!$B$2:$D$13,10,MATCH($B93,'MOA role matrix'!$B$1:$D$1,0))="Fill","Division MOI managers, ","")IF(INDEX('MOA role matrix'!$B$2:$D$13,10,MATCH($B93,'MOA role matrix'!$B$1:$D$1,0))="If finance","Division MOI managers (if finance), ","")IF(INDEX('MOA role matrix'!$B$2:$D$13,10,MATCH($B93,'MOA role matrix'!$B$1:$D$1,0))="Auto","Division MOI managers (auto), ","")IF(INDEX('MOA role matrix'!$B$2:$D$13,11,MATCH($B93,'MOA role matrix'!$B$1:$D$1,0))="Fill","Ms Teh (bank), ","")IF(INDEX('MOA role matrix'!$B$2:$D$13,11,MATCH($B93,'MOA role matrix'!$B$1:$D$1,0))="If finance","Ms Teh (bank) (if finance), ","")IF(INDEX('MOA role matrix'!$B$2:$D$13,11,MATCH($B93,'MOA role matrix'!$B$1:$D$1,0))="Auto","Ms Teh (bank) (auto), ","")IF(INDEX('MOA role matrix'!$B$2:$D$13,12,MATCH($B93,'MOA role matrix'!$B$1:$D$1,0))="Fill","DLCM, ","")IF(INDEX('MOA role matrix'!$B$2:$D$13,12,MATCH($B93,'MOA role matrix'!$B$1:$D$1,0))="If finance","DLCM (if finance), ","")IF(INDEX('MOA role matrix'!$B$2:$D$13,12,MATCH($B93,'MOA role matrix'!$B$1:$D$1,0))="Auto","DLCM (auto), ","")))</f>
        <v/>
      </c>
      <c r="D93" s="5">
        <f>IF($A93="","",IFERROR(INDEX(FILTER('Client contacts'!$B$2:$B$500,('Client contacts'!$A$2:$A$500=$A93)*('Client contacts'!$H$2:$H$500="Y"),""),1),""))</f>
        <v/>
      </c>
      <c r="E93" s="5">
        <f>IF($A93="","",IFERROR(INDEX(FILTER('Client contacts'!$C$2:$C$500,('Client contacts'!$A$2:$A$500=$A93)*('Client contacts'!$H$2:$H$500="Y"),""),1),""))</f>
        <v/>
      </c>
      <c r="F93" s="5">
        <f>IF($A93="","",IFERROR(INDEX(FILTER('Client contacts'!$B$2:$B$500,('Client contacts'!$A$2:$A$500=$A93)*('Client contacts'!$G$2:$G$500="Y"),""),1),""))</f>
        <v/>
      </c>
      <c r="G93" s="5">
        <f>IF($A93="","",IFERROR(INDEX(FILTER('Client contacts'!$C$2:$C$500,('Client contacts'!$A$2:$A$500=$A93)*('Client contacts'!$G$2:$G$500="Y"),""),1),""))</f>
        <v/>
      </c>
      <c r="H93" s="5">
        <f>IF($A93="","",IFERROR(INDEX(FILTER('Client contacts'!$B$2:$B$500,('Client contacts'!$A$2:$A$500=$A93)*('Client contacts'!$G$2:$G$500="Y"),""),2),""))</f>
        <v/>
      </c>
      <c r="I93" s="5">
        <f>IF($A93="","",IFERROR(INDEX(FILTER('Client contacts'!$C$2:$C$500,('Client contacts'!$A$2:$A$500=$A93)*('Client contacts'!$G$2:$G$500="Y"),""),2),""))</f>
        <v/>
      </c>
      <c r="J93" s="8" t="n"/>
      <c r="K93" s="8" t="n"/>
      <c r="L93" s="8" t="n"/>
      <c r="M93" s="8" t="n"/>
      <c r="N93" s="8" t="n"/>
      <c r="O93" s="8" t="n"/>
      <c r="P93" s="8" t="n"/>
      <c r="Q93" s="8" t="n"/>
      <c r="R93" s="5">
        <f>IF($A93="","",IFERROR(INDEX(Companies!$I$2:$I$500,MATCH($A93,Companies!$A$2:$A$500,0)),""))</f>
        <v/>
      </c>
      <c r="S93" s="8" t="n"/>
      <c r="T93" s="8" t="n"/>
      <c r="U93" s="8" t="n"/>
      <c r="V93" s="8" t="n"/>
      <c r="W93" s="8" t="n"/>
    </row>
    <row r="94">
      <c r="C94" s="5">
        <f>IF($B94="","",TRIM(IF(INDEX('MOA role matrix'!$B$2:$D$13,1,MATCH($B94,'MOA role matrix'!$B$1:$D$1,0))="Fill","Project initiator, ","")IF(INDEX('MOA role matrix'!$B$2:$D$13,1,MATCH($B94,'MOA role matrix'!$B$1:$D$1,0))="If finance","Project initiator (if finance), ","")IF(INDEX('MOA role matrix'!$B$2:$D$13,1,MATCH($B94,'MOA role matrix'!$B$1:$D$1,0))="Auto","Project initiator (auto), ","")IF(INDEX('MOA role matrix'!$B$2:$D$13,2,MATCH($B94,'MOA role matrix'!$B$1:$D$1,0))="Fill","MOA signers (client), ","")IF(INDEX('MOA role matrix'!$B$2:$D$13,2,MATCH($B94,'MOA role matrix'!$B$1:$D$1,0))="If finance","MOA signers (client) (if finance), ","")IF(INDEX('MOA role matrix'!$B$2:$D$13,2,MATCH($B94,'MOA role matrix'!$B$1:$D$1,0))="Auto","MOA signers (client) (auto), ","")IF(INDEX('MOA role matrix'!$B$2:$D$13,3,MATCH($B94,'MOA role matrix'!$B$1:$D$1,0))="Fill","CFO / Head of Finance, ","")IF(INDEX('MOA role matrix'!$B$2:$D$13,3,MATCH($B94,'MOA role matrix'!$B$1:$D$1,0))="If finance","CFO / Head of Finance (if finance), ","")IF(INDEX('MOA role matrix'!$B$2:$D$13,3,MATCH($B94,'MOA role matrix'!$B$1:$D$1,0))="Auto","CFO / Head of Finance (auto), ","")IF(INDEX('MOA role matrix'!$B$2:$D$13,4,MATCH($B94,'MOA role matrix'!$B$1:$D$1,0))="Fill","CEO / COO / GM, ","")IF(INDEX('MOA role matrix'!$B$2:$D$13,4,MATCH($B94,'MOA role matrix'!$B$1:$D$1,0))="If finance","CEO / COO / GM (if finance), ","")IF(INDEX('MOA role matrix'!$B$2:$D$13,4,MATCH($B94,'MOA role matrix'!$B$1:$D$1,0))="Auto","CEO / COO / GM (auto), ","")IF(INDEX('MOA role matrix'!$B$2:$D$13,5,MATCH($B94,'MOA role matrix'!$B$1:$D$1,0))="Fill","Board member 1, ","")IF(INDEX('MOA role matrix'!$B$2:$D$13,5,MATCH($B94,'MOA role matrix'!$B$1:$D$1,0))="If finance","Board member 1 (if finance), ","")IF(INDEX('MOA role matrix'!$B$2:$D$13,5,MATCH($B94,'MOA role matrix'!$B$1:$D$1,0))="Auto","Board member 1 (auto), ","")IF(INDEX('MOA role matrix'!$B$2:$D$13,6,MATCH($B94,'MOA role matrix'!$B$1:$D$1,0))="Fill","Board member 2, ","")IF(INDEX('MOA role matrix'!$B$2:$D$13,6,MATCH($B94,'MOA role matrix'!$B$1:$D$1,0))="If finance","Board member 2 (if finance), ","")IF(INDEX('MOA role matrix'!$B$2:$D$13,6,MATCH($B94,'MOA role matrix'!$B$1:$D$1,0))="Auto","Board member 2 (auto), ","")IF(INDEX('MOA role matrix'!$B$2:$D$13,7,MATCH($B94,'MOA role matrix'!$B$1:$D$1,0))="Fill","LOA holder 1, ","")IF(INDEX('MOA role matrix'!$B$2:$D$13,7,MATCH($B94,'MOA role matrix'!$B$1:$D$1,0))="If finance","LOA holder 1 (if finance), ","")IF(INDEX('MOA role matrix'!$B$2:$D$13,7,MATCH($B94,'MOA role matrix'!$B$1:$D$1,0))="Auto","LOA holder 1 (auto), ","")IF(INDEX('MOA role matrix'!$B$2:$D$13,8,MATCH($B94,'MOA role matrix'!$B$1:$D$1,0))="Fill","LOA holder 2, ","")IF(INDEX('MOA role matrix'!$B$2:$D$13,8,MATCH($B94,'MOA role matrix'!$B$1:$D$1,0))="If finance","LOA holder 2 (if finance), ","")IF(INDEX('MOA role matrix'!$B$2:$D$13,8,MATCH($B94,'MOA role matrix'!$B$1:$D$1,0))="Auto","LOA holder 2 (auto), ","")IF(INDEX('MOA role matrix'!$B$2:$D$13,9,MATCH($B94,'MOA role matrix'!$B$1:$D$1,0))="Fill","Senior Manager CoSec, ","")IF(INDEX('MOA role matrix'!$B$2:$D$13,9,MATCH($B94,'MOA role matrix'!$B$1:$D$1,0))="If finance","Senior Manager CoSec (if finance), ","")IF(INDEX('MOA role matrix'!$B$2:$D$13,9,MATCH($B94,'MOA role matrix'!$B$1:$D$1,0))="Auto","Senior Manager CoSec (auto), ","")IF(INDEX('MOA role matrix'!$B$2:$D$13,10,MATCH($B94,'MOA role matrix'!$B$1:$D$1,0))="Fill","Division MOI managers, ","")IF(INDEX('MOA role matrix'!$B$2:$D$13,10,MATCH($B94,'MOA role matrix'!$B$1:$D$1,0))="If finance","Division MOI managers (if finance), ","")IF(INDEX('MOA role matrix'!$B$2:$D$13,10,MATCH($B94,'MOA role matrix'!$B$1:$D$1,0))="Auto","Division MOI managers (auto), ","")IF(INDEX('MOA role matrix'!$B$2:$D$13,11,MATCH($B94,'MOA role matrix'!$B$1:$D$1,0))="Fill","Ms Teh (bank), ","")IF(INDEX('MOA role matrix'!$B$2:$D$13,11,MATCH($B94,'MOA role matrix'!$B$1:$D$1,0))="If finance","Ms Teh (bank) (if finance), ","")IF(INDEX('MOA role matrix'!$B$2:$D$13,11,MATCH($B94,'MOA role matrix'!$B$1:$D$1,0))="Auto","Ms Teh (bank) (auto), ","")IF(INDEX('MOA role matrix'!$B$2:$D$13,12,MATCH($B94,'MOA role matrix'!$B$1:$D$1,0))="Fill","DLCM, ","")IF(INDEX('MOA role matrix'!$B$2:$D$13,12,MATCH($B94,'MOA role matrix'!$B$1:$D$1,0))="If finance","DLCM (if finance), ","")IF(INDEX('MOA role matrix'!$B$2:$D$13,12,MATCH($B94,'MOA role matrix'!$B$1:$D$1,0))="Auto","DLCM (auto), ","")))</f>
        <v/>
      </c>
      <c r="D94" s="5">
        <f>IF($A94="","",IFERROR(INDEX(FILTER('Client contacts'!$B$2:$B$500,('Client contacts'!$A$2:$A$500=$A94)*('Client contacts'!$H$2:$H$500="Y"),""),1),""))</f>
        <v/>
      </c>
      <c r="E94" s="5">
        <f>IF($A94="","",IFERROR(INDEX(FILTER('Client contacts'!$C$2:$C$500,('Client contacts'!$A$2:$A$500=$A94)*('Client contacts'!$H$2:$H$500="Y"),""),1),""))</f>
        <v/>
      </c>
      <c r="F94" s="5">
        <f>IF($A94="","",IFERROR(INDEX(FILTER('Client contacts'!$B$2:$B$500,('Client contacts'!$A$2:$A$500=$A94)*('Client contacts'!$G$2:$G$500="Y"),""),1),""))</f>
        <v/>
      </c>
      <c r="G94" s="5">
        <f>IF($A94="","",IFERROR(INDEX(FILTER('Client contacts'!$C$2:$C$500,('Client contacts'!$A$2:$A$500=$A94)*('Client contacts'!$G$2:$G$500="Y"),""),1),""))</f>
        <v/>
      </c>
      <c r="H94" s="5">
        <f>IF($A94="","",IFERROR(INDEX(FILTER('Client contacts'!$B$2:$B$500,('Client contacts'!$A$2:$A$500=$A94)*('Client contacts'!$G$2:$G$500="Y"),""),2),""))</f>
        <v/>
      </c>
      <c r="I94" s="5">
        <f>IF($A94="","",IFERROR(INDEX(FILTER('Client contacts'!$C$2:$C$500,('Client contacts'!$A$2:$A$500=$A94)*('Client contacts'!$G$2:$G$500="Y"),""),2),""))</f>
        <v/>
      </c>
      <c r="J94" s="8" t="n"/>
      <c r="K94" s="8" t="n"/>
      <c r="L94" s="8" t="n"/>
      <c r="M94" s="8" t="n"/>
      <c r="N94" s="8" t="n"/>
      <c r="O94" s="8" t="n"/>
      <c r="P94" s="8" t="n"/>
      <c r="Q94" s="8" t="n"/>
      <c r="R94" s="5">
        <f>IF($A94="","",IFERROR(INDEX(Companies!$I$2:$I$500,MATCH($A94,Companies!$A$2:$A$500,0)),""))</f>
        <v/>
      </c>
      <c r="S94" s="8" t="n"/>
      <c r="T94" s="8" t="n"/>
      <c r="U94" s="8" t="n"/>
      <c r="V94" s="8" t="n"/>
      <c r="W94" s="8" t="n"/>
    </row>
    <row r="95">
      <c r="C95" s="5">
        <f>IF($B95="","",TRIM(IF(INDEX('MOA role matrix'!$B$2:$D$13,1,MATCH($B95,'MOA role matrix'!$B$1:$D$1,0))="Fill","Project initiator, ","")IF(INDEX('MOA role matrix'!$B$2:$D$13,1,MATCH($B95,'MOA role matrix'!$B$1:$D$1,0))="If finance","Project initiator (if finance), ","")IF(INDEX('MOA role matrix'!$B$2:$D$13,1,MATCH($B95,'MOA role matrix'!$B$1:$D$1,0))="Auto","Project initiator (auto), ","")IF(INDEX('MOA role matrix'!$B$2:$D$13,2,MATCH($B95,'MOA role matrix'!$B$1:$D$1,0))="Fill","MOA signers (client), ","")IF(INDEX('MOA role matrix'!$B$2:$D$13,2,MATCH($B95,'MOA role matrix'!$B$1:$D$1,0))="If finance","MOA signers (client) (if finance), ","")IF(INDEX('MOA role matrix'!$B$2:$D$13,2,MATCH($B95,'MOA role matrix'!$B$1:$D$1,0))="Auto","MOA signers (client) (auto), ","")IF(INDEX('MOA role matrix'!$B$2:$D$13,3,MATCH($B95,'MOA role matrix'!$B$1:$D$1,0))="Fill","CFO / Head of Finance, ","")IF(INDEX('MOA role matrix'!$B$2:$D$13,3,MATCH($B95,'MOA role matrix'!$B$1:$D$1,0))="If finance","CFO / Head of Finance (if finance), ","")IF(INDEX('MOA role matrix'!$B$2:$D$13,3,MATCH($B95,'MOA role matrix'!$B$1:$D$1,0))="Auto","CFO / Head of Finance (auto), ","")IF(INDEX('MOA role matrix'!$B$2:$D$13,4,MATCH($B95,'MOA role matrix'!$B$1:$D$1,0))="Fill","CEO / COO / GM, ","")IF(INDEX('MOA role matrix'!$B$2:$D$13,4,MATCH($B95,'MOA role matrix'!$B$1:$D$1,0))="If finance","CEO / COO / GM (if finance), ","")IF(INDEX('MOA role matrix'!$B$2:$D$13,4,MATCH($B95,'MOA role matrix'!$B$1:$D$1,0))="Auto","CEO / COO / GM (auto), ","")IF(INDEX('MOA role matrix'!$B$2:$D$13,5,MATCH($B95,'MOA role matrix'!$B$1:$D$1,0))="Fill","Board member 1, ","")IF(INDEX('MOA role matrix'!$B$2:$D$13,5,MATCH($B95,'MOA role matrix'!$B$1:$D$1,0))="If finance","Board member 1 (if finance), ","")IF(INDEX('MOA role matrix'!$B$2:$D$13,5,MATCH($B95,'MOA role matrix'!$B$1:$D$1,0))="Auto","Board member 1 (auto), ","")IF(INDEX('MOA role matrix'!$B$2:$D$13,6,MATCH($B95,'MOA role matrix'!$B$1:$D$1,0))="Fill","Board member 2, ","")IF(INDEX('MOA role matrix'!$B$2:$D$13,6,MATCH($B95,'MOA role matrix'!$B$1:$D$1,0))="If finance","Board member 2 (if finance), ","")IF(INDEX('MOA role matrix'!$B$2:$D$13,6,MATCH($B95,'MOA role matrix'!$B$1:$D$1,0))="Auto","Board member 2 (auto), ","")IF(INDEX('MOA role matrix'!$B$2:$D$13,7,MATCH($B95,'MOA role matrix'!$B$1:$D$1,0))="Fill","LOA holder 1, ","")IF(INDEX('MOA role matrix'!$B$2:$D$13,7,MATCH($B95,'MOA role matrix'!$B$1:$D$1,0))="If finance","LOA holder 1 (if finance), ","")IF(INDEX('MOA role matrix'!$B$2:$D$13,7,MATCH($B95,'MOA role matrix'!$B$1:$D$1,0))="Auto","LOA holder 1 (auto), ","")IF(INDEX('MOA role matrix'!$B$2:$D$13,8,MATCH($B95,'MOA role matrix'!$B$1:$D$1,0))="Fill","LOA holder 2, ","")IF(INDEX('MOA role matrix'!$B$2:$D$13,8,MATCH($B95,'MOA role matrix'!$B$1:$D$1,0))="If finance","LOA holder 2 (if finance), ","")IF(INDEX('MOA role matrix'!$B$2:$D$13,8,MATCH($B95,'MOA role matrix'!$B$1:$D$1,0))="Auto","LOA holder 2 (auto), ","")IF(INDEX('MOA role matrix'!$B$2:$D$13,9,MATCH($B95,'MOA role matrix'!$B$1:$D$1,0))="Fill","Senior Manager CoSec, ","")IF(INDEX('MOA role matrix'!$B$2:$D$13,9,MATCH($B95,'MOA role matrix'!$B$1:$D$1,0))="If finance","Senior Manager CoSec (if finance), ","")IF(INDEX('MOA role matrix'!$B$2:$D$13,9,MATCH($B95,'MOA role matrix'!$B$1:$D$1,0))="Auto","Senior Manager CoSec (auto), ","")IF(INDEX('MOA role matrix'!$B$2:$D$13,10,MATCH($B95,'MOA role matrix'!$B$1:$D$1,0))="Fill","Division MOI managers, ","")IF(INDEX('MOA role matrix'!$B$2:$D$13,10,MATCH($B95,'MOA role matrix'!$B$1:$D$1,0))="If finance","Division MOI managers (if finance), ","")IF(INDEX('MOA role matrix'!$B$2:$D$13,10,MATCH($B95,'MOA role matrix'!$B$1:$D$1,0))="Auto","Division MOI managers (auto), ","")IF(INDEX('MOA role matrix'!$B$2:$D$13,11,MATCH($B95,'MOA role matrix'!$B$1:$D$1,0))="Fill","Ms Teh (bank), ","")IF(INDEX('MOA role matrix'!$B$2:$D$13,11,MATCH($B95,'MOA role matrix'!$B$1:$D$1,0))="If finance","Ms Teh (bank) (if finance), ","")IF(INDEX('MOA role matrix'!$B$2:$D$13,11,MATCH($B95,'MOA role matrix'!$B$1:$D$1,0))="Auto","Ms Teh (bank) (auto), ","")IF(INDEX('MOA role matrix'!$B$2:$D$13,12,MATCH($B95,'MOA role matrix'!$B$1:$D$1,0))="Fill","DLCM, ","")IF(INDEX('MOA role matrix'!$B$2:$D$13,12,MATCH($B95,'MOA role matrix'!$B$1:$D$1,0))="If finance","DLCM (if finance), ","")IF(INDEX('MOA role matrix'!$B$2:$D$13,12,MATCH($B95,'MOA role matrix'!$B$1:$D$1,0))="Auto","DLCM (auto), ","")))</f>
        <v/>
      </c>
      <c r="D95" s="5">
        <f>IF($A95="","",IFERROR(INDEX(FILTER('Client contacts'!$B$2:$B$500,('Client contacts'!$A$2:$A$500=$A95)*('Client contacts'!$H$2:$H$500="Y"),""),1),""))</f>
        <v/>
      </c>
      <c r="E95" s="5">
        <f>IF($A95="","",IFERROR(INDEX(FILTER('Client contacts'!$C$2:$C$500,('Client contacts'!$A$2:$A$500=$A95)*('Client contacts'!$H$2:$H$500="Y"),""),1),""))</f>
        <v/>
      </c>
      <c r="F95" s="5">
        <f>IF($A95="","",IFERROR(INDEX(FILTER('Client contacts'!$B$2:$B$500,('Client contacts'!$A$2:$A$500=$A95)*('Client contacts'!$G$2:$G$500="Y"),""),1),""))</f>
        <v/>
      </c>
      <c r="G95" s="5">
        <f>IF($A95="","",IFERROR(INDEX(FILTER('Client contacts'!$C$2:$C$500,('Client contacts'!$A$2:$A$500=$A95)*('Client contacts'!$G$2:$G$500="Y"),""),1),""))</f>
        <v/>
      </c>
      <c r="H95" s="5">
        <f>IF($A95="","",IFERROR(INDEX(FILTER('Client contacts'!$B$2:$B$500,('Client contacts'!$A$2:$A$500=$A95)*('Client contacts'!$G$2:$G$500="Y"),""),2),""))</f>
        <v/>
      </c>
      <c r="I95" s="5">
        <f>IF($A95="","",IFERROR(INDEX(FILTER('Client contacts'!$C$2:$C$500,('Client contacts'!$A$2:$A$500=$A95)*('Client contacts'!$G$2:$G$500="Y"),""),2),""))</f>
        <v/>
      </c>
      <c r="J95" s="8" t="n"/>
      <c r="K95" s="8" t="n"/>
      <c r="L95" s="8" t="n"/>
      <c r="M95" s="8" t="n"/>
      <c r="N95" s="8" t="n"/>
      <c r="O95" s="8" t="n"/>
      <c r="P95" s="8" t="n"/>
      <c r="Q95" s="8" t="n"/>
      <c r="R95" s="5">
        <f>IF($A95="","",IFERROR(INDEX(Companies!$I$2:$I$500,MATCH($A95,Companies!$A$2:$A$500,0)),""))</f>
        <v/>
      </c>
      <c r="S95" s="8" t="n"/>
      <c r="T95" s="8" t="n"/>
      <c r="U95" s="8" t="n"/>
      <c r="V95" s="8" t="n"/>
      <c r="W95" s="8" t="n"/>
    </row>
    <row r="96">
      <c r="C96" s="5">
        <f>IF($B96="","",TRIM(IF(INDEX('MOA role matrix'!$B$2:$D$13,1,MATCH($B96,'MOA role matrix'!$B$1:$D$1,0))="Fill","Project initiator, ","")IF(INDEX('MOA role matrix'!$B$2:$D$13,1,MATCH($B96,'MOA role matrix'!$B$1:$D$1,0))="If finance","Project initiator (if finance), ","")IF(INDEX('MOA role matrix'!$B$2:$D$13,1,MATCH($B96,'MOA role matrix'!$B$1:$D$1,0))="Auto","Project initiator (auto), ","")IF(INDEX('MOA role matrix'!$B$2:$D$13,2,MATCH($B96,'MOA role matrix'!$B$1:$D$1,0))="Fill","MOA signers (client), ","")IF(INDEX('MOA role matrix'!$B$2:$D$13,2,MATCH($B96,'MOA role matrix'!$B$1:$D$1,0))="If finance","MOA signers (client) (if finance), ","")IF(INDEX('MOA role matrix'!$B$2:$D$13,2,MATCH($B96,'MOA role matrix'!$B$1:$D$1,0))="Auto","MOA signers (client) (auto), ","")IF(INDEX('MOA role matrix'!$B$2:$D$13,3,MATCH($B96,'MOA role matrix'!$B$1:$D$1,0))="Fill","CFO / Head of Finance, ","")IF(INDEX('MOA role matrix'!$B$2:$D$13,3,MATCH($B96,'MOA role matrix'!$B$1:$D$1,0))="If finance","CFO / Head of Finance (if finance), ","")IF(INDEX('MOA role matrix'!$B$2:$D$13,3,MATCH($B96,'MOA role matrix'!$B$1:$D$1,0))="Auto","CFO / Head of Finance (auto), ","")IF(INDEX('MOA role matrix'!$B$2:$D$13,4,MATCH($B96,'MOA role matrix'!$B$1:$D$1,0))="Fill","CEO / COO / GM, ","")IF(INDEX('MOA role matrix'!$B$2:$D$13,4,MATCH($B96,'MOA role matrix'!$B$1:$D$1,0))="If finance","CEO / COO / GM (if finance), ","")IF(INDEX('MOA role matrix'!$B$2:$D$13,4,MATCH($B96,'MOA role matrix'!$B$1:$D$1,0))="Auto","CEO / COO / GM (auto), ","")IF(INDEX('MOA role matrix'!$B$2:$D$13,5,MATCH($B96,'MOA role matrix'!$B$1:$D$1,0))="Fill","Board member 1, ","")IF(INDEX('MOA role matrix'!$B$2:$D$13,5,MATCH($B96,'MOA role matrix'!$B$1:$D$1,0))="If finance","Board member 1 (if finance), ","")IF(INDEX('MOA role matrix'!$B$2:$D$13,5,MATCH($B96,'MOA role matrix'!$B$1:$D$1,0))="Auto","Board member 1 (auto), ","")IF(INDEX('MOA role matrix'!$B$2:$D$13,6,MATCH($B96,'MOA role matrix'!$B$1:$D$1,0))="Fill","Board member 2, ","")IF(INDEX('MOA role matrix'!$B$2:$D$13,6,MATCH($B96,'MOA role matrix'!$B$1:$D$1,0))="If finance","Board member 2 (if finance), ","")IF(INDEX('MOA role matrix'!$B$2:$D$13,6,MATCH($B96,'MOA role matrix'!$B$1:$D$1,0))="Auto","Board member 2 (auto), ","")IF(INDEX('MOA role matrix'!$B$2:$D$13,7,MATCH($B96,'MOA role matrix'!$B$1:$D$1,0))="Fill","LOA holder 1, ","")IF(INDEX('MOA role matrix'!$B$2:$D$13,7,MATCH($B96,'MOA role matrix'!$B$1:$D$1,0))="If finance","LOA holder 1 (if finance), ","")IF(INDEX('MOA role matrix'!$B$2:$D$13,7,MATCH($B96,'MOA role matrix'!$B$1:$D$1,0))="Auto","LOA holder 1 (auto), ","")IF(INDEX('MOA role matrix'!$B$2:$D$13,8,MATCH($B96,'MOA role matrix'!$B$1:$D$1,0))="Fill","LOA holder 2, ","")IF(INDEX('MOA role matrix'!$B$2:$D$13,8,MATCH($B96,'MOA role matrix'!$B$1:$D$1,0))="If finance","LOA holder 2 (if finance), ","")IF(INDEX('MOA role matrix'!$B$2:$D$13,8,MATCH($B96,'MOA role matrix'!$B$1:$D$1,0))="Auto","LOA holder 2 (auto), ","")IF(INDEX('MOA role matrix'!$B$2:$D$13,9,MATCH($B96,'MOA role matrix'!$B$1:$D$1,0))="Fill","Senior Manager CoSec, ","")IF(INDEX('MOA role matrix'!$B$2:$D$13,9,MATCH($B96,'MOA role matrix'!$B$1:$D$1,0))="If finance","Senior Manager CoSec (if finance), ","")IF(INDEX('MOA role matrix'!$B$2:$D$13,9,MATCH($B96,'MOA role matrix'!$B$1:$D$1,0))="Auto","Senior Manager CoSec (auto), ","")IF(INDEX('MOA role matrix'!$B$2:$D$13,10,MATCH($B96,'MOA role matrix'!$B$1:$D$1,0))="Fill","Division MOI managers, ","")IF(INDEX('MOA role matrix'!$B$2:$D$13,10,MATCH($B96,'MOA role matrix'!$B$1:$D$1,0))="If finance","Division MOI managers (if finance), ","")IF(INDEX('MOA role matrix'!$B$2:$D$13,10,MATCH($B96,'MOA role matrix'!$B$1:$D$1,0))="Auto","Division MOI managers (auto), ","")IF(INDEX('MOA role matrix'!$B$2:$D$13,11,MATCH($B96,'MOA role matrix'!$B$1:$D$1,0))="Fill","Ms Teh (bank), ","")IF(INDEX('MOA role matrix'!$B$2:$D$13,11,MATCH($B96,'MOA role matrix'!$B$1:$D$1,0))="If finance","Ms Teh (bank) (if finance), ","")IF(INDEX('MOA role matrix'!$B$2:$D$13,11,MATCH($B96,'MOA role matrix'!$B$1:$D$1,0))="Auto","Ms Teh (bank) (auto), ","")IF(INDEX('MOA role matrix'!$B$2:$D$13,12,MATCH($B96,'MOA role matrix'!$B$1:$D$1,0))="Fill","DLCM, ","")IF(INDEX('MOA role matrix'!$B$2:$D$13,12,MATCH($B96,'MOA role matrix'!$B$1:$D$1,0))="If finance","DLCM (if finance), ","")IF(INDEX('MOA role matrix'!$B$2:$D$13,12,MATCH($B96,'MOA role matrix'!$B$1:$D$1,0))="Auto","DLCM (auto), ","")))</f>
        <v/>
      </c>
      <c r="D96" s="5">
        <f>IF($A96="","",IFERROR(INDEX(FILTER('Client contacts'!$B$2:$B$500,('Client contacts'!$A$2:$A$500=$A96)*('Client contacts'!$H$2:$H$500="Y"),""),1),""))</f>
        <v/>
      </c>
      <c r="E96" s="5">
        <f>IF($A96="","",IFERROR(INDEX(FILTER('Client contacts'!$C$2:$C$500,('Client contacts'!$A$2:$A$500=$A96)*('Client contacts'!$H$2:$H$500="Y"),""),1),""))</f>
        <v/>
      </c>
      <c r="F96" s="5">
        <f>IF($A96="","",IFERROR(INDEX(FILTER('Client contacts'!$B$2:$B$500,('Client contacts'!$A$2:$A$500=$A96)*('Client contacts'!$G$2:$G$500="Y"),""),1),""))</f>
        <v/>
      </c>
      <c r="G96" s="5">
        <f>IF($A96="","",IFERROR(INDEX(FILTER('Client contacts'!$C$2:$C$500,('Client contacts'!$A$2:$A$500=$A96)*('Client contacts'!$G$2:$G$500="Y"),""),1),""))</f>
        <v/>
      </c>
      <c r="H96" s="5">
        <f>IF($A96="","",IFERROR(INDEX(FILTER('Client contacts'!$B$2:$B$500,('Client contacts'!$A$2:$A$500=$A96)*('Client contacts'!$G$2:$G$500="Y"),""),2),""))</f>
        <v/>
      </c>
      <c r="I96" s="5">
        <f>IF($A96="","",IFERROR(INDEX(FILTER('Client contacts'!$C$2:$C$500,('Client contacts'!$A$2:$A$500=$A96)*('Client contacts'!$G$2:$G$500="Y"),""),2),""))</f>
        <v/>
      </c>
      <c r="J96" s="8" t="n"/>
      <c r="K96" s="8" t="n"/>
      <c r="L96" s="8" t="n"/>
      <c r="M96" s="8" t="n"/>
      <c r="N96" s="8" t="n"/>
      <c r="O96" s="8" t="n"/>
      <c r="P96" s="8" t="n"/>
      <c r="Q96" s="8" t="n"/>
      <c r="R96" s="5">
        <f>IF($A96="","",IFERROR(INDEX(Companies!$I$2:$I$500,MATCH($A96,Companies!$A$2:$A$500,0)),""))</f>
        <v/>
      </c>
      <c r="S96" s="8" t="n"/>
      <c r="T96" s="8" t="n"/>
      <c r="U96" s="8" t="n"/>
      <c r="V96" s="8" t="n"/>
      <c r="W96" s="8" t="n"/>
    </row>
    <row r="97">
      <c r="C97" s="5">
        <f>IF($B97="","",TRIM(IF(INDEX('MOA role matrix'!$B$2:$D$13,1,MATCH($B97,'MOA role matrix'!$B$1:$D$1,0))="Fill","Project initiator, ","")IF(INDEX('MOA role matrix'!$B$2:$D$13,1,MATCH($B97,'MOA role matrix'!$B$1:$D$1,0))="If finance","Project initiator (if finance), ","")IF(INDEX('MOA role matrix'!$B$2:$D$13,1,MATCH($B97,'MOA role matrix'!$B$1:$D$1,0))="Auto","Project initiator (auto), ","")IF(INDEX('MOA role matrix'!$B$2:$D$13,2,MATCH($B97,'MOA role matrix'!$B$1:$D$1,0))="Fill","MOA signers (client), ","")IF(INDEX('MOA role matrix'!$B$2:$D$13,2,MATCH($B97,'MOA role matrix'!$B$1:$D$1,0))="If finance","MOA signers (client) (if finance), ","")IF(INDEX('MOA role matrix'!$B$2:$D$13,2,MATCH($B97,'MOA role matrix'!$B$1:$D$1,0))="Auto","MOA signers (client) (auto), ","")IF(INDEX('MOA role matrix'!$B$2:$D$13,3,MATCH($B97,'MOA role matrix'!$B$1:$D$1,0))="Fill","CFO / Head of Finance, ","")IF(INDEX('MOA role matrix'!$B$2:$D$13,3,MATCH($B97,'MOA role matrix'!$B$1:$D$1,0))="If finance","CFO / Head of Finance (if finance), ","")IF(INDEX('MOA role matrix'!$B$2:$D$13,3,MATCH($B97,'MOA role matrix'!$B$1:$D$1,0))="Auto","CFO / Head of Finance (auto), ","")IF(INDEX('MOA role matrix'!$B$2:$D$13,4,MATCH($B97,'MOA role matrix'!$B$1:$D$1,0))="Fill","CEO / COO / GM, ","")IF(INDEX('MOA role matrix'!$B$2:$D$13,4,MATCH($B97,'MOA role matrix'!$B$1:$D$1,0))="If finance","CEO / COO / GM (if finance), ","")IF(INDEX('MOA role matrix'!$B$2:$D$13,4,MATCH($B97,'MOA role matrix'!$B$1:$D$1,0))="Auto","CEO / COO / GM (auto), ","")IF(INDEX('MOA role matrix'!$B$2:$D$13,5,MATCH($B97,'MOA role matrix'!$B$1:$D$1,0))="Fill","Board member 1, ","")IF(INDEX('MOA role matrix'!$B$2:$D$13,5,MATCH($B97,'MOA role matrix'!$B$1:$D$1,0))="If finance","Board member 1 (if finance), ","")IF(INDEX('MOA role matrix'!$B$2:$D$13,5,MATCH($B97,'MOA role matrix'!$B$1:$D$1,0))="Auto","Board member 1 (auto), ","")IF(INDEX('MOA role matrix'!$B$2:$D$13,6,MATCH($B97,'MOA role matrix'!$B$1:$D$1,0))="Fill","Board member 2, ","")IF(INDEX('MOA role matrix'!$B$2:$D$13,6,MATCH($B97,'MOA role matrix'!$B$1:$D$1,0))="If finance","Board member 2 (if finance), ","")IF(INDEX('MOA role matrix'!$B$2:$D$13,6,MATCH($B97,'MOA role matrix'!$B$1:$D$1,0))="Auto","Board member 2 (auto), ","")IF(INDEX('MOA role matrix'!$B$2:$D$13,7,MATCH($B97,'MOA role matrix'!$B$1:$D$1,0))="Fill","LOA holder 1, ","")IF(INDEX('MOA role matrix'!$B$2:$D$13,7,MATCH($B97,'MOA role matrix'!$B$1:$D$1,0))="If finance","LOA holder 1 (if finance), ","")IF(INDEX('MOA role matrix'!$B$2:$D$13,7,MATCH($B97,'MOA role matrix'!$B$1:$D$1,0))="Auto","LOA holder 1 (auto), ","")IF(INDEX('MOA role matrix'!$B$2:$D$13,8,MATCH($B97,'MOA role matrix'!$B$1:$D$1,0))="Fill","LOA holder 2, ","")IF(INDEX('MOA role matrix'!$B$2:$D$13,8,MATCH($B97,'MOA role matrix'!$B$1:$D$1,0))="If finance","LOA holder 2 (if finance), ","")IF(INDEX('MOA role matrix'!$B$2:$D$13,8,MATCH($B97,'MOA role matrix'!$B$1:$D$1,0))="Auto","LOA holder 2 (auto), ","")IF(INDEX('MOA role matrix'!$B$2:$D$13,9,MATCH($B97,'MOA role matrix'!$B$1:$D$1,0))="Fill","Senior Manager CoSec, ","")IF(INDEX('MOA role matrix'!$B$2:$D$13,9,MATCH($B97,'MOA role matrix'!$B$1:$D$1,0))="If finance","Senior Manager CoSec (if finance), ","")IF(INDEX('MOA role matrix'!$B$2:$D$13,9,MATCH($B97,'MOA role matrix'!$B$1:$D$1,0))="Auto","Senior Manager CoSec (auto), ","")IF(INDEX('MOA role matrix'!$B$2:$D$13,10,MATCH($B97,'MOA role matrix'!$B$1:$D$1,0))="Fill","Division MOI managers, ","")IF(INDEX('MOA role matrix'!$B$2:$D$13,10,MATCH($B97,'MOA role matrix'!$B$1:$D$1,0))="If finance","Division MOI managers (if finance), ","")IF(INDEX('MOA role matrix'!$B$2:$D$13,10,MATCH($B97,'MOA role matrix'!$B$1:$D$1,0))="Auto","Division MOI managers (auto), ","")IF(INDEX('MOA role matrix'!$B$2:$D$13,11,MATCH($B97,'MOA role matrix'!$B$1:$D$1,0))="Fill","Ms Teh (bank), ","")IF(INDEX('MOA role matrix'!$B$2:$D$13,11,MATCH($B97,'MOA role matrix'!$B$1:$D$1,0))="If finance","Ms Teh (bank) (if finance), ","")IF(INDEX('MOA role matrix'!$B$2:$D$13,11,MATCH($B97,'MOA role matrix'!$B$1:$D$1,0))="Auto","Ms Teh (bank) (auto), ","")IF(INDEX('MOA role matrix'!$B$2:$D$13,12,MATCH($B97,'MOA role matrix'!$B$1:$D$1,0))="Fill","DLCM, ","")IF(INDEX('MOA role matrix'!$B$2:$D$13,12,MATCH($B97,'MOA role matrix'!$B$1:$D$1,0))="If finance","DLCM (if finance), ","")IF(INDEX('MOA role matrix'!$B$2:$D$13,12,MATCH($B97,'MOA role matrix'!$B$1:$D$1,0))="Auto","DLCM (auto), ","")))</f>
        <v/>
      </c>
      <c r="D97" s="5">
        <f>IF($A97="","",IFERROR(INDEX(FILTER('Client contacts'!$B$2:$B$500,('Client contacts'!$A$2:$A$500=$A97)*('Client contacts'!$H$2:$H$500="Y"),""),1),""))</f>
        <v/>
      </c>
      <c r="E97" s="5">
        <f>IF($A97="","",IFERROR(INDEX(FILTER('Client contacts'!$C$2:$C$500,('Client contacts'!$A$2:$A$500=$A97)*('Client contacts'!$H$2:$H$500="Y"),""),1),""))</f>
        <v/>
      </c>
      <c r="F97" s="5">
        <f>IF($A97="","",IFERROR(INDEX(FILTER('Client contacts'!$B$2:$B$500,('Client contacts'!$A$2:$A$500=$A97)*('Client contacts'!$G$2:$G$500="Y"),""),1),""))</f>
        <v/>
      </c>
      <c r="G97" s="5">
        <f>IF($A97="","",IFERROR(INDEX(FILTER('Client contacts'!$C$2:$C$500,('Client contacts'!$A$2:$A$500=$A97)*('Client contacts'!$G$2:$G$500="Y"),""),1),""))</f>
        <v/>
      </c>
      <c r="H97" s="5">
        <f>IF($A97="","",IFERROR(INDEX(FILTER('Client contacts'!$B$2:$B$500,('Client contacts'!$A$2:$A$500=$A97)*('Client contacts'!$G$2:$G$500="Y"),""),2),""))</f>
        <v/>
      </c>
      <c r="I97" s="5">
        <f>IF($A97="","",IFERROR(INDEX(FILTER('Client contacts'!$C$2:$C$500,('Client contacts'!$A$2:$A$500=$A97)*('Client contacts'!$G$2:$G$500="Y"),""),2),""))</f>
        <v/>
      </c>
      <c r="J97" s="8" t="n"/>
      <c r="K97" s="8" t="n"/>
      <c r="L97" s="8" t="n"/>
      <c r="M97" s="8" t="n"/>
      <c r="N97" s="8" t="n"/>
      <c r="O97" s="8" t="n"/>
      <c r="P97" s="8" t="n"/>
      <c r="Q97" s="8" t="n"/>
      <c r="R97" s="5">
        <f>IF($A97="","",IFERROR(INDEX(Companies!$I$2:$I$500,MATCH($A97,Companies!$A$2:$A$500,0)),""))</f>
        <v/>
      </c>
      <c r="S97" s="8" t="n"/>
      <c r="T97" s="8" t="n"/>
      <c r="U97" s="8" t="n"/>
      <c r="V97" s="8" t="n"/>
      <c r="W97" s="8" t="n"/>
    </row>
    <row r="98">
      <c r="C98" s="5">
        <f>IF($B98="","",TRIM(IF(INDEX('MOA role matrix'!$B$2:$D$13,1,MATCH($B98,'MOA role matrix'!$B$1:$D$1,0))="Fill","Project initiator, ","")IF(INDEX('MOA role matrix'!$B$2:$D$13,1,MATCH($B98,'MOA role matrix'!$B$1:$D$1,0))="If finance","Project initiator (if finance), ","")IF(INDEX('MOA role matrix'!$B$2:$D$13,1,MATCH($B98,'MOA role matrix'!$B$1:$D$1,0))="Auto","Project initiator (auto), ","")IF(INDEX('MOA role matrix'!$B$2:$D$13,2,MATCH($B98,'MOA role matrix'!$B$1:$D$1,0))="Fill","MOA signers (client), ","")IF(INDEX('MOA role matrix'!$B$2:$D$13,2,MATCH($B98,'MOA role matrix'!$B$1:$D$1,0))="If finance","MOA signers (client) (if finance), ","")IF(INDEX('MOA role matrix'!$B$2:$D$13,2,MATCH($B98,'MOA role matrix'!$B$1:$D$1,0))="Auto","MOA signers (client) (auto), ","")IF(INDEX('MOA role matrix'!$B$2:$D$13,3,MATCH($B98,'MOA role matrix'!$B$1:$D$1,0))="Fill","CFO / Head of Finance, ","")IF(INDEX('MOA role matrix'!$B$2:$D$13,3,MATCH($B98,'MOA role matrix'!$B$1:$D$1,0))="If finance","CFO / Head of Finance (if finance), ","")IF(INDEX('MOA role matrix'!$B$2:$D$13,3,MATCH($B98,'MOA role matrix'!$B$1:$D$1,0))="Auto","CFO / Head of Finance (auto), ","")IF(INDEX('MOA role matrix'!$B$2:$D$13,4,MATCH($B98,'MOA role matrix'!$B$1:$D$1,0))="Fill","CEO / COO / GM, ","")IF(INDEX('MOA role matrix'!$B$2:$D$13,4,MATCH($B98,'MOA role matrix'!$B$1:$D$1,0))="If finance","CEO / COO / GM (if finance), ","")IF(INDEX('MOA role matrix'!$B$2:$D$13,4,MATCH($B98,'MOA role matrix'!$B$1:$D$1,0))="Auto","CEO / COO / GM (auto), ","")IF(INDEX('MOA role matrix'!$B$2:$D$13,5,MATCH($B98,'MOA role matrix'!$B$1:$D$1,0))="Fill","Board member 1, ","")IF(INDEX('MOA role matrix'!$B$2:$D$13,5,MATCH($B98,'MOA role matrix'!$B$1:$D$1,0))="If finance","Board member 1 (if finance), ","")IF(INDEX('MOA role matrix'!$B$2:$D$13,5,MATCH($B98,'MOA role matrix'!$B$1:$D$1,0))="Auto","Board member 1 (auto), ","")IF(INDEX('MOA role matrix'!$B$2:$D$13,6,MATCH($B98,'MOA role matrix'!$B$1:$D$1,0))="Fill","Board member 2, ","")IF(INDEX('MOA role matrix'!$B$2:$D$13,6,MATCH($B98,'MOA role matrix'!$B$1:$D$1,0))="If finance","Board member 2 (if finance), ","")IF(INDEX('MOA role matrix'!$B$2:$D$13,6,MATCH($B98,'MOA role matrix'!$B$1:$D$1,0))="Auto","Board member 2 (auto), ","")IF(INDEX('MOA role matrix'!$B$2:$D$13,7,MATCH($B98,'MOA role matrix'!$B$1:$D$1,0))="Fill","LOA holder 1, ","")IF(INDEX('MOA role matrix'!$B$2:$D$13,7,MATCH($B98,'MOA role matrix'!$B$1:$D$1,0))="If finance","LOA holder 1 (if finance), ","")IF(INDEX('MOA role matrix'!$B$2:$D$13,7,MATCH($B98,'MOA role matrix'!$B$1:$D$1,0))="Auto","LOA holder 1 (auto), ","")IF(INDEX('MOA role matrix'!$B$2:$D$13,8,MATCH($B98,'MOA role matrix'!$B$1:$D$1,0))="Fill","LOA holder 2, ","")IF(INDEX('MOA role matrix'!$B$2:$D$13,8,MATCH($B98,'MOA role matrix'!$B$1:$D$1,0))="If finance","LOA holder 2 (if finance), ","")IF(INDEX('MOA role matrix'!$B$2:$D$13,8,MATCH($B98,'MOA role matrix'!$B$1:$D$1,0))="Auto","LOA holder 2 (auto), ","")IF(INDEX('MOA role matrix'!$B$2:$D$13,9,MATCH($B98,'MOA role matrix'!$B$1:$D$1,0))="Fill","Senior Manager CoSec, ","")IF(INDEX('MOA role matrix'!$B$2:$D$13,9,MATCH($B98,'MOA role matrix'!$B$1:$D$1,0))="If finance","Senior Manager CoSec (if finance), ","")IF(INDEX('MOA role matrix'!$B$2:$D$13,9,MATCH($B98,'MOA role matrix'!$B$1:$D$1,0))="Auto","Senior Manager CoSec (auto), ","")IF(INDEX('MOA role matrix'!$B$2:$D$13,10,MATCH($B98,'MOA role matrix'!$B$1:$D$1,0))="Fill","Division MOI managers, ","")IF(INDEX('MOA role matrix'!$B$2:$D$13,10,MATCH($B98,'MOA role matrix'!$B$1:$D$1,0))="If finance","Division MOI managers (if finance), ","")IF(INDEX('MOA role matrix'!$B$2:$D$13,10,MATCH($B98,'MOA role matrix'!$B$1:$D$1,0))="Auto","Division MOI managers (auto), ","")IF(INDEX('MOA role matrix'!$B$2:$D$13,11,MATCH($B98,'MOA role matrix'!$B$1:$D$1,0))="Fill","Ms Teh (bank), ","")IF(INDEX('MOA role matrix'!$B$2:$D$13,11,MATCH($B98,'MOA role matrix'!$B$1:$D$1,0))="If finance","Ms Teh (bank) (if finance), ","")IF(INDEX('MOA role matrix'!$B$2:$D$13,11,MATCH($B98,'MOA role matrix'!$B$1:$D$1,0))="Auto","Ms Teh (bank) (auto), ","")IF(INDEX('MOA role matrix'!$B$2:$D$13,12,MATCH($B98,'MOA role matrix'!$B$1:$D$1,0))="Fill","DLCM, ","")IF(INDEX('MOA role matrix'!$B$2:$D$13,12,MATCH($B98,'MOA role matrix'!$B$1:$D$1,0))="If finance","DLCM (if finance), ","")IF(INDEX('MOA role matrix'!$B$2:$D$13,12,MATCH($B98,'MOA role matrix'!$B$1:$D$1,0))="Auto","DLCM (auto), ","")))</f>
        <v/>
      </c>
      <c r="D98" s="5">
        <f>IF($A98="","",IFERROR(INDEX(FILTER('Client contacts'!$B$2:$B$500,('Client contacts'!$A$2:$A$500=$A98)*('Client contacts'!$H$2:$H$500="Y"),""),1),""))</f>
        <v/>
      </c>
      <c r="E98" s="5">
        <f>IF($A98="","",IFERROR(INDEX(FILTER('Client contacts'!$C$2:$C$500,('Client contacts'!$A$2:$A$500=$A98)*('Client contacts'!$H$2:$H$500="Y"),""),1),""))</f>
        <v/>
      </c>
      <c r="F98" s="5">
        <f>IF($A98="","",IFERROR(INDEX(FILTER('Client contacts'!$B$2:$B$500,('Client contacts'!$A$2:$A$500=$A98)*('Client contacts'!$G$2:$G$500="Y"),""),1),""))</f>
        <v/>
      </c>
      <c r="G98" s="5">
        <f>IF($A98="","",IFERROR(INDEX(FILTER('Client contacts'!$C$2:$C$500,('Client contacts'!$A$2:$A$500=$A98)*('Client contacts'!$G$2:$G$500="Y"),""),1),""))</f>
        <v/>
      </c>
      <c r="H98" s="5">
        <f>IF($A98="","",IFERROR(INDEX(FILTER('Client contacts'!$B$2:$B$500,('Client contacts'!$A$2:$A$500=$A98)*('Client contacts'!$G$2:$G$500="Y"),""),2),""))</f>
        <v/>
      </c>
      <c r="I98" s="5">
        <f>IF($A98="","",IFERROR(INDEX(FILTER('Client contacts'!$C$2:$C$500,('Client contacts'!$A$2:$A$500=$A98)*('Client contacts'!$G$2:$G$500="Y"),""),2),""))</f>
        <v/>
      </c>
      <c r="J98" s="8" t="n"/>
      <c r="K98" s="8" t="n"/>
      <c r="L98" s="8" t="n"/>
      <c r="M98" s="8" t="n"/>
      <c r="N98" s="8" t="n"/>
      <c r="O98" s="8" t="n"/>
      <c r="P98" s="8" t="n"/>
      <c r="Q98" s="8" t="n"/>
      <c r="R98" s="5">
        <f>IF($A98="","",IFERROR(INDEX(Companies!$I$2:$I$500,MATCH($A98,Companies!$A$2:$A$500,0)),""))</f>
        <v/>
      </c>
      <c r="S98" s="8" t="n"/>
      <c r="T98" s="8" t="n"/>
      <c r="U98" s="8" t="n"/>
      <c r="V98" s="8" t="n"/>
      <c r="W98" s="8" t="n"/>
    </row>
    <row r="99">
      <c r="C99" s="5">
        <f>IF($B99="","",TRIM(IF(INDEX('MOA role matrix'!$B$2:$D$13,1,MATCH($B99,'MOA role matrix'!$B$1:$D$1,0))="Fill","Project initiator, ","")IF(INDEX('MOA role matrix'!$B$2:$D$13,1,MATCH($B99,'MOA role matrix'!$B$1:$D$1,0))="If finance","Project initiator (if finance), ","")IF(INDEX('MOA role matrix'!$B$2:$D$13,1,MATCH($B99,'MOA role matrix'!$B$1:$D$1,0))="Auto","Project initiator (auto), ","")IF(INDEX('MOA role matrix'!$B$2:$D$13,2,MATCH($B99,'MOA role matrix'!$B$1:$D$1,0))="Fill","MOA signers (client), ","")IF(INDEX('MOA role matrix'!$B$2:$D$13,2,MATCH($B99,'MOA role matrix'!$B$1:$D$1,0))="If finance","MOA signers (client) (if finance), ","")IF(INDEX('MOA role matrix'!$B$2:$D$13,2,MATCH($B99,'MOA role matrix'!$B$1:$D$1,0))="Auto","MOA signers (client) (auto), ","")IF(INDEX('MOA role matrix'!$B$2:$D$13,3,MATCH($B99,'MOA role matrix'!$B$1:$D$1,0))="Fill","CFO / Head of Finance, ","")IF(INDEX('MOA role matrix'!$B$2:$D$13,3,MATCH($B99,'MOA role matrix'!$B$1:$D$1,0))="If finance","CFO / Head of Finance (if finance), ","")IF(INDEX('MOA role matrix'!$B$2:$D$13,3,MATCH($B99,'MOA role matrix'!$B$1:$D$1,0))="Auto","CFO / Head of Finance (auto), ","")IF(INDEX('MOA role matrix'!$B$2:$D$13,4,MATCH($B99,'MOA role matrix'!$B$1:$D$1,0))="Fill","CEO / COO / GM, ","")IF(INDEX('MOA role matrix'!$B$2:$D$13,4,MATCH($B99,'MOA role matrix'!$B$1:$D$1,0))="If finance","CEO / COO / GM (if finance), ","")IF(INDEX('MOA role matrix'!$B$2:$D$13,4,MATCH($B99,'MOA role matrix'!$B$1:$D$1,0))="Auto","CEO / COO / GM (auto), ","")IF(INDEX('MOA role matrix'!$B$2:$D$13,5,MATCH($B99,'MOA role matrix'!$B$1:$D$1,0))="Fill","Board member 1, ","")IF(INDEX('MOA role matrix'!$B$2:$D$13,5,MATCH($B99,'MOA role matrix'!$B$1:$D$1,0))="If finance","Board member 1 (if finance), ","")IF(INDEX('MOA role matrix'!$B$2:$D$13,5,MATCH($B99,'MOA role matrix'!$B$1:$D$1,0))="Auto","Board member 1 (auto), ","")IF(INDEX('MOA role matrix'!$B$2:$D$13,6,MATCH($B99,'MOA role matrix'!$B$1:$D$1,0))="Fill","Board member 2, ","")IF(INDEX('MOA role matrix'!$B$2:$D$13,6,MATCH($B99,'MOA role matrix'!$B$1:$D$1,0))="If finance","Board member 2 (if finance), ","")IF(INDEX('MOA role matrix'!$B$2:$D$13,6,MATCH($B99,'MOA role matrix'!$B$1:$D$1,0))="Auto","Board member 2 (auto), ","")IF(INDEX('MOA role matrix'!$B$2:$D$13,7,MATCH($B99,'MOA role matrix'!$B$1:$D$1,0))="Fill","LOA holder 1, ","")IF(INDEX('MOA role matrix'!$B$2:$D$13,7,MATCH($B99,'MOA role matrix'!$B$1:$D$1,0))="If finance","LOA holder 1 (if finance), ","")IF(INDEX('MOA role matrix'!$B$2:$D$13,7,MATCH($B99,'MOA role matrix'!$B$1:$D$1,0))="Auto","LOA holder 1 (auto), ","")IF(INDEX('MOA role matrix'!$B$2:$D$13,8,MATCH($B99,'MOA role matrix'!$B$1:$D$1,0))="Fill","LOA holder 2, ","")IF(INDEX('MOA role matrix'!$B$2:$D$13,8,MATCH($B99,'MOA role matrix'!$B$1:$D$1,0))="If finance","LOA holder 2 (if finance), ","")IF(INDEX('MOA role matrix'!$B$2:$D$13,8,MATCH($B99,'MOA role matrix'!$B$1:$D$1,0))="Auto","LOA holder 2 (auto), ","")IF(INDEX('MOA role matrix'!$B$2:$D$13,9,MATCH($B99,'MOA role matrix'!$B$1:$D$1,0))="Fill","Senior Manager CoSec, ","")IF(INDEX('MOA role matrix'!$B$2:$D$13,9,MATCH($B99,'MOA role matrix'!$B$1:$D$1,0))="If finance","Senior Manager CoSec (if finance), ","")IF(INDEX('MOA role matrix'!$B$2:$D$13,9,MATCH($B99,'MOA role matrix'!$B$1:$D$1,0))="Auto","Senior Manager CoSec (auto), ","")IF(INDEX('MOA role matrix'!$B$2:$D$13,10,MATCH($B99,'MOA role matrix'!$B$1:$D$1,0))="Fill","Division MOI managers, ","")IF(INDEX('MOA role matrix'!$B$2:$D$13,10,MATCH($B99,'MOA role matrix'!$B$1:$D$1,0))="If finance","Division MOI managers (if finance), ","")IF(INDEX('MOA role matrix'!$B$2:$D$13,10,MATCH($B99,'MOA role matrix'!$B$1:$D$1,0))="Auto","Division MOI managers (auto), ","")IF(INDEX('MOA role matrix'!$B$2:$D$13,11,MATCH($B99,'MOA role matrix'!$B$1:$D$1,0))="Fill","Ms Teh (bank), ","")IF(INDEX('MOA role matrix'!$B$2:$D$13,11,MATCH($B99,'MOA role matrix'!$B$1:$D$1,0))="If finance","Ms Teh (bank) (if finance), ","")IF(INDEX('MOA role matrix'!$B$2:$D$13,11,MATCH($B99,'MOA role matrix'!$B$1:$D$1,0))="Auto","Ms Teh (bank) (auto), ","")IF(INDEX('MOA role matrix'!$B$2:$D$13,12,MATCH($B99,'MOA role matrix'!$B$1:$D$1,0))="Fill","DLCM, ","")IF(INDEX('MOA role matrix'!$B$2:$D$13,12,MATCH($B99,'MOA role matrix'!$B$1:$D$1,0))="If finance","DLCM (if finance), ","")IF(INDEX('MOA role matrix'!$B$2:$D$13,12,MATCH($B99,'MOA role matrix'!$B$1:$D$1,0))="Auto","DLCM (auto), ","")))</f>
        <v/>
      </c>
      <c r="D99" s="5">
        <f>IF($A99="","",IFERROR(INDEX(FILTER('Client contacts'!$B$2:$B$500,('Client contacts'!$A$2:$A$500=$A99)*('Client contacts'!$H$2:$H$500="Y"),""),1),""))</f>
        <v/>
      </c>
      <c r="E99" s="5">
        <f>IF($A99="","",IFERROR(INDEX(FILTER('Client contacts'!$C$2:$C$500,('Client contacts'!$A$2:$A$500=$A99)*('Client contacts'!$H$2:$H$500="Y"),""),1),""))</f>
        <v/>
      </c>
      <c r="F99" s="5">
        <f>IF($A99="","",IFERROR(INDEX(FILTER('Client contacts'!$B$2:$B$500,('Client contacts'!$A$2:$A$500=$A99)*('Client contacts'!$G$2:$G$500="Y"),""),1),""))</f>
        <v/>
      </c>
      <c r="G99" s="5">
        <f>IF($A99="","",IFERROR(INDEX(FILTER('Client contacts'!$C$2:$C$500,('Client contacts'!$A$2:$A$500=$A99)*('Client contacts'!$G$2:$G$500="Y"),""),1),""))</f>
        <v/>
      </c>
      <c r="H99" s="5">
        <f>IF($A99="","",IFERROR(INDEX(FILTER('Client contacts'!$B$2:$B$500,('Client contacts'!$A$2:$A$500=$A99)*('Client contacts'!$G$2:$G$500="Y"),""),2),""))</f>
        <v/>
      </c>
      <c r="I99" s="5">
        <f>IF($A99="","",IFERROR(INDEX(FILTER('Client contacts'!$C$2:$C$500,('Client contacts'!$A$2:$A$500=$A99)*('Client contacts'!$G$2:$G$500="Y"),""),2),""))</f>
        <v/>
      </c>
      <c r="J99" s="8" t="n"/>
      <c r="K99" s="8" t="n"/>
      <c r="L99" s="8" t="n"/>
      <c r="M99" s="8" t="n"/>
      <c r="N99" s="8" t="n"/>
      <c r="O99" s="8" t="n"/>
      <c r="P99" s="8" t="n"/>
      <c r="Q99" s="8" t="n"/>
      <c r="R99" s="5">
        <f>IF($A99="","",IFERROR(INDEX(Companies!$I$2:$I$500,MATCH($A99,Companies!$A$2:$A$500,0)),""))</f>
        <v/>
      </c>
      <c r="S99" s="8" t="n"/>
      <c r="T99" s="8" t="n"/>
      <c r="U99" s="8" t="n"/>
      <c r="V99" s="8" t="n"/>
      <c r="W99" s="8" t="n"/>
    </row>
    <row r="100">
      <c r="C100" s="5">
        <f>IF($B100="","",TRIM(IF(INDEX('MOA role matrix'!$B$2:$D$13,1,MATCH($B100,'MOA role matrix'!$B$1:$D$1,0))="Fill","Project initiator, ","")IF(INDEX('MOA role matrix'!$B$2:$D$13,1,MATCH($B100,'MOA role matrix'!$B$1:$D$1,0))="If finance","Project initiator (if finance), ","")IF(INDEX('MOA role matrix'!$B$2:$D$13,1,MATCH($B100,'MOA role matrix'!$B$1:$D$1,0))="Auto","Project initiator (auto), ","")IF(INDEX('MOA role matrix'!$B$2:$D$13,2,MATCH($B100,'MOA role matrix'!$B$1:$D$1,0))="Fill","MOA signers (client), ","")IF(INDEX('MOA role matrix'!$B$2:$D$13,2,MATCH($B100,'MOA role matrix'!$B$1:$D$1,0))="If finance","MOA signers (client) (if finance), ","")IF(INDEX('MOA role matrix'!$B$2:$D$13,2,MATCH($B100,'MOA role matrix'!$B$1:$D$1,0))="Auto","MOA signers (client) (auto), ","")IF(INDEX('MOA role matrix'!$B$2:$D$13,3,MATCH($B100,'MOA role matrix'!$B$1:$D$1,0))="Fill","CFO / Head of Finance, ","")IF(INDEX('MOA role matrix'!$B$2:$D$13,3,MATCH($B100,'MOA role matrix'!$B$1:$D$1,0))="If finance","CFO / Head of Finance (if finance), ","")IF(INDEX('MOA role matrix'!$B$2:$D$13,3,MATCH($B100,'MOA role matrix'!$B$1:$D$1,0))="Auto","CFO / Head of Finance (auto), ","")IF(INDEX('MOA role matrix'!$B$2:$D$13,4,MATCH($B100,'MOA role matrix'!$B$1:$D$1,0))="Fill","CEO / COO / GM, ","")IF(INDEX('MOA role matrix'!$B$2:$D$13,4,MATCH($B100,'MOA role matrix'!$B$1:$D$1,0))="If finance","CEO / COO / GM (if finance), ","")IF(INDEX('MOA role matrix'!$B$2:$D$13,4,MATCH($B100,'MOA role matrix'!$B$1:$D$1,0))="Auto","CEO / COO / GM (auto), ","")IF(INDEX('MOA role matrix'!$B$2:$D$13,5,MATCH($B100,'MOA role matrix'!$B$1:$D$1,0))="Fill","Board member 1, ","")IF(INDEX('MOA role matrix'!$B$2:$D$13,5,MATCH($B100,'MOA role matrix'!$B$1:$D$1,0))="If finance","Board member 1 (if finance), ","")IF(INDEX('MOA role matrix'!$B$2:$D$13,5,MATCH($B100,'MOA role matrix'!$B$1:$D$1,0))="Auto","Board member 1 (auto), ","")IF(INDEX('MOA role matrix'!$B$2:$D$13,6,MATCH($B100,'MOA role matrix'!$B$1:$D$1,0))="Fill","Board member 2, ","")IF(INDEX('MOA role matrix'!$B$2:$D$13,6,MATCH($B100,'MOA role matrix'!$B$1:$D$1,0))="If finance","Board member 2 (if finance), ","")IF(INDEX('MOA role matrix'!$B$2:$D$13,6,MATCH($B100,'MOA role matrix'!$B$1:$D$1,0))="Auto","Board member 2 (auto), ","")IF(INDEX('MOA role matrix'!$B$2:$D$13,7,MATCH($B100,'MOA role matrix'!$B$1:$D$1,0))="Fill","LOA holder 1, ","")IF(INDEX('MOA role matrix'!$B$2:$D$13,7,MATCH($B100,'MOA role matrix'!$B$1:$D$1,0))="If finance","LOA holder 1 (if finance), ","")IF(INDEX('MOA role matrix'!$B$2:$D$13,7,MATCH($B100,'MOA role matrix'!$B$1:$D$1,0))="Auto","LOA holder 1 (auto), ","")IF(INDEX('MOA role matrix'!$B$2:$D$13,8,MATCH($B100,'MOA role matrix'!$B$1:$D$1,0))="Fill","LOA holder 2, ","")IF(INDEX('MOA role matrix'!$B$2:$D$13,8,MATCH($B100,'MOA role matrix'!$B$1:$D$1,0))="If finance","LOA holder 2 (if finance), ","")IF(INDEX('MOA role matrix'!$B$2:$D$13,8,MATCH($B100,'MOA role matrix'!$B$1:$D$1,0))="Auto","LOA holder 2 (auto), ","")IF(INDEX('MOA role matrix'!$B$2:$D$13,9,MATCH($B100,'MOA role matrix'!$B$1:$D$1,0))="Fill","Senior Manager CoSec, ","")IF(INDEX('MOA role matrix'!$B$2:$D$13,9,MATCH($B100,'MOA role matrix'!$B$1:$D$1,0))="If finance","Senior Manager CoSec (if finance), ","")IF(INDEX('MOA role matrix'!$B$2:$D$13,9,MATCH($B100,'MOA role matrix'!$B$1:$D$1,0))="Auto","Senior Manager CoSec (auto), ","")IF(INDEX('MOA role matrix'!$B$2:$D$13,10,MATCH($B100,'MOA role matrix'!$B$1:$D$1,0))="Fill","Division MOI managers, ","")IF(INDEX('MOA role matrix'!$B$2:$D$13,10,MATCH($B100,'MOA role matrix'!$B$1:$D$1,0))="If finance","Division MOI managers (if finance), ","")IF(INDEX('MOA role matrix'!$B$2:$D$13,10,MATCH($B100,'MOA role matrix'!$B$1:$D$1,0))="Auto","Division MOI managers (auto), ","")IF(INDEX('MOA role matrix'!$B$2:$D$13,11,MATCH($B100,'MOA role matrix'!$B$1:$D$1,0))="Fill","Ms Teh (bank), ","")IF(INDEX('MOA role matrix'!$B$2:$D$13,11,MATCH($B100,'MOA role matrix'!$B$1:$D$1,0))="If finance","Ms Teh (bank) (if finance), ","")IF(INDEX('MOA role matrix'!$B$2:$D$13,11,MATCH($B100,'MOA role matrix'!$B$1:$D$1,0))="Auto","Ms Teh (bank) (auto), ","")IF(INDEX('MOA role matrix'!$B$2:$D$13,12,MATCH($B100,'MOA role matrix'!$B$1:$D$1,0))="Fill","DLCM, ","")IF(INDEX('MOA role matrix'!$B$2:$D$13,12,MATCH($B100,'MOA role matrix'!$B$1:$D$1,0))="If finance","DLCM (if finance), ","")IF(INDEX('MOA role matrix'!$B$2:$D$13,12,MATCH($B100,'MOA role matrix'!$B$1:$D$1,0))="Auto","DLCM (auto), ","")))</f>
        <v/>
      </c>
      <c r="D100" s="5">
        <f>IF($A100="","",IFERROR(INDEX(FILTER('Client contacts'!$B$2:$B$500,('Client contacts'!$A$2:$A$500=$A100)*('Client contacts'!$H$2:$H$500="Y"),""),1),""))</f>
        <v/>
      </c>
      <c r="E100" s="5">
        <f>IF($A100="","",IFERROR(INDEX(FILTER('Client contacts'!$C$2:$C$500,('Client contacts'!$A$2:$A$500=$A100)*('Client contacts'!$H$2:$H$500="Y"),""),1),""))</f>
        <v/>
      </c>
      <c r="F100" s="5">
        <f>IF($A100="","",IFERROR(INDEX(FILTER('Client contacts'!$B$2:$B$500,('Client contacts'!$A$2:$A$500=$A100)*('Client contacts'!$G$2:$G$500="Y"),""),1),""))</f>
        <v/>
      </c>
      <c r="G100" s="5">
        <f>IF($A100="","",IFERROR(INDEX(FILTER('Client contacts'!$C$2:$C$500,('Client contacts'!$A$2:$A$500=$A100)*('Client contacts'!$G$2:$G$500="Y"),""),1),""))</f>
        <v/>
      </c>
      <c r="H100" s="5">
        <f>IF($A100="","",IFERROR(INDEX(FILTER('Client contacts'!$B$2:$B$500,('Client contacts'!$A$2:$A$500=$A100)*('Client contacts'!$G$2:$G$500="Y"),""),2),""))</f>
        <v/>
      </c>
      <c r="I100" s="5">
        <f>IF($A100="","",IFERROR(INDEX(FILTER('Client contacts'!$C$2:$C$500,('Client contacts'!$A$2:$A$500=$A100)*('Client contacts'!$G$2:$G$500="Y"),""),2),""))</f>
        <v/>
      </c>
      <c r="J100" s="8" t="n"/>
      <c r="K100" s="8" t="n"/>
      <c r="L100" s="8" t="n"/>
      <c r="M100" s="8" t="n"/>
      <c r="N100" s="8" t="n"/>
      <c r="O100" s="8" t="n"/>
      <c r="P100" s="8" t="n"/>
      <c r="Q100" s="8" t="n"/>
      <c r="R100" s="5">
        <f>IF($A100="","",IFERROR(INDEX(Companies!$I$2:$I$500,MATCH($A100,Companies!$A$2:$A$500,0)),""))</f>
        <v/>
      </c>
      <c r="S100" s="8" t="n"/>
      <c r="T100" s="8" t="n"/>
      <c r="U100" s="8" t="n"/>
      <c r="V100" s="8" t="n"/>
      <c r="W100" s="8" t="n"/>
    </row>
    <row r="101">
      <c r="C101" s="5">
        <f>IF($B101="","",TRIM(IF(INDEX('MOA role matrix'!$B$2:$D$13,1,MATCH($B101,'MOA role matrix'!$B$1:$D$1,0))="Fill","Project initiator, ","")IF(INDEX('MOA role matrix'!$B$2:$D$13,1,MATCH($B101,'MOA role matrix'!$B$1:$D$1,0))="If finance","Project initiator (if finance), ","")IF(INDEX('MOA role matrix'!$B$2:$D$13,1,MATCH($B101,'MOA role matrix'!$B$1:$D$1,0))="Auto","Project initiator (auto), ","")IF(INDEX('MOA role matrix'!$B$2:$D$13,2,MATCH($B101,'MOA role matrix'!$B$1:$D$1,0))="Fill","MOA signers (client), ","")IF(INDEX('MOA role matrix'!$B$2:$D$13,2,MATCH($B101,'MOA role matrix'!$B$1:$D$1,0))="If finance","MOA signers (client) (if finance), ","")IF(INDEX('MOA role matrix'!$B$2:$D$13,2,MATCH($B101,'MOA role matrix'!$B$1:$D$1,0))="Auto","MOA signers (client) (auto), ","")IF(INDEX('MOA role matrix'!$B$2:$D$13,3,MATCH($B101,'MOA role matrix'!$B$1:$D$1,0))="Fill","CFO / Head of Finance, ","")IF(INDEX('MOA role matrix'!$B$2:$D$13,3,MATCH($B101,'MOA role matrix'!$B$1:$D$1,0))="If finance","CFO / Head of Finance (if finance), ","")IF(INDEX('MOA role matrix'!$B$2:$D$13,3,MATCH($B101,'MOA role matrix'!$B$1:$D$1,0))="Auto","CFO / Head of Finance (auto), ","")IF(INDEX('MOA role matrix'!$B$2:$D$13,4,MATCH($B101,'MOA role matrix'!$B$1:$D$1,0))="Fill","CEO / COO / GM, ","")IF(INDEX('MOA role matrix'!$B$2:$D$13,4,MATCH($B101,'MOA role matrix'!$B$1:$D$1,0))="If finance","CEO / COO / GM (if finance), ","")IF(INDEX('MOA role matrix'!$B$2:$D$13,4,MATCH($B101,'MOA role matrix'!$B$1:$D$1,0))="Auto","CEO / COO / GM (auto), ","")IF(INDEX('MOA role matrix'!$B$2:$D$13,5,MATCH($B101,'MOA role matrix'!$B$1:$D$1,0))="Fill","Board member 1, ","")IF(INDEX('MOA role matrix'!$B$2:$D$13,5,MATCH($B101,'MOA role matrix'!$B$1:$D$1,0))="If finance","Board member 1 (if finance), ","")IF(INDEX('MOA role matrix'!$B$2:$D$13,5,MATCH($B101,'MOA role matrix'!$B$1:$D$1,0))="Auto","Board member 1 (auto), ","")IF(INDEX('MOA role matrix'!$B$2:$D$13,6,MATCH($B101,'MOA role matrix'!$B$1:$D$1,0))="Fill","Board member 2, ","")IF(INDEX('MOA role matrix'!$B$2:$D$13,6,MATCH($B101,'MOA role matrix'!$B$1:$D$1,0))="If finance","Board member 2 (if finance), ","")IF(INDEX('MOA role matrix'!$B$2:$D$13,6,MATCH($B101,'MOA role matrix'!$B$1:$D$1,0))="Auto","Board member 2 (auto), ","")IF(INDEX('MOA role matrix'!$B$2:$D$13,7,MATCH($B101,'MOA role matrix'!$B$1:$D$1,0))="Fill","LOA holder 1, ","")IF(INDEX('MOA role matrix'!$B$2:$D$13,7,MATCH($B101,'MOA role matrix'!$B$1:$D$1,0))="If finance","LOA holder 1 (if finance), ","")IF(INDEX('MOA role matrix'!$B$2:$D$13,7,MATCH($B101,'MOA role matrix'!$B$1:$D$1,0))="Auto","LOA holder 1 (auto), ","")IF(INDEX('MOA role matrix'!$B$2:$D$13,8,MATCH($B101,'MOA role matrix'!$B$1:$D$1,0))="Fill","LOA holder 2, ","")IF(INDEX('MOA role matrix'!$B$2:$D$13,8,MATCH($B101,'MOA role matrix'!$B$1:$D$1,0))="If finance","LOA holder 2 (if finance), ","")IF(INDEX('MOA role matrix'!$B$2:$D$13,8,MATCH($B101,'MOA role matrix'!$B$1:$D$1,0))="Auto","LOA holder 2 (auto), ","")IF(INDEX('MOA role matrix'!$B$2:$D$13,9,MATCH($B101,'MOA role matrix'!$B$1:$D$1,0))="Fill","Senior Manager CoSec, ","")IF(INDEX('MOA role matrix'!$B$2:$D$13,9,MATCH($B101,'MOA role matrix'!$B$1:$D$1,0))="If finance","Senior Manager CoSec (if finance), ","")IF(INDEX('MOA role matrix'!$B$2:$D$13,9,MATCH($B101,'MOA role matrix'!$B$1:$D$1,0))="Auto","Senior Manager CoSec (auto), ","")IF(INDEX('MOA role matrix'!$B$2:$D$13,10,MATCH($B101,'MOA role matrix'!$B$1:$D$1,0))="Fill","Division MOI managers, ","")IF(INDEX('MOA role matrix'!$B$2:$D$13,10,MATCH($B101,'MOA role matrix'!$B$1:$D$1,0))="If finance","Division MOI managers (if finance), ","")IF(INDEX('MOA role matrix'!$B$2:$D$13,10,MATCH($B101,'MOA role matrix'!$B$1:$D$1,0))="Auto","Division MOI managers (auto), ","")IF(INDEX('MOA role matrix'!$B$2:$D$13,11,MATCH($B101,'MOA role matrix'!$B$1:$D$1,0))="Fill","Ms Teh (bank), ","")IF(INDEX('MOA role matrix'!$B$2:$D$13,11,MATCH($B101,'MOA role matrix'!$B$1:$D$1,0))="If finance","Ms Teh (bank) (if finance), ","")IF(INDEX('MOA role matrix'!$B$2:$D$13,11,MATCH($B101,'MOA role matrix'!$B$1:$D$1,0))="Auto","Ms Teh (bank) (auto), ","")IF(INDEX('MOA role matrix'!$B$2:$D$13,12,MATCH($B101,'MOA role matrix'!$B$1:$D$1,0))="Fill","DLCM, ","")IF(INDEX('MOA role matrix'!$B$2:$D$13,12,MATCH($B101,'MOA role matrix'!$B$1:$D$1,0))="If finance","DLCM (if finance), ","")IF(INDEX('MOA role matrix'!$B$2:$D$13,12,MATCH($B101,'MOA role matrix'!$B$1:$D$1,0))="Auto","DLCM (auto), ","")))</f>
        <v/>
      </c>
      <c r="D101" s="5">
        <f>IF($A101="","",IFERROR(INDEX(FILTER('Client contacts'!$B$2:$B$500,('Client contacts'!$A$2:$A$500=$A101)*('Client contacts'!$H$2:$H$500="Y"),""),1),""))</f>
        <v/>
      </c>
      <c r="E101" s="5">
        <f>IF($A101="","",IFERROR(INDEX(FILTER('Client contacts'!$C$2:$C$500,('Client contacts'!$A$2:$A$500=$A101)*('Client contacts'!$H$2:$H$500="Y"),""),1),""))</f>
        <v/>
      </c>
      <c r="F101" s="5">
        <f>IF($A101="","",IFERROR(INDEX(FILTER('Client contacts'!$B$2:$B$500,('Client contacts'!$A$2:$A$500=$A101)*('Client contacts'!$G$2:$G$500="Y"),""),1),""))</f>
        <v/>
      </c>
      <c r="G101" s="5">
        <f>IF($A101="","",IFERROR(INDEX(FILTER('Client contacts'!$C$2:$C$500,('Client contacts'!$A$2:$A$500=$A101)*('Client contacts'!$G$2:$G$500="Y"),""),1),""))</f>
        <v/>
      </c>
      <c r="H101" s="5">
        <f>IF($A101="","",IFERROR(INDEX(FILTER('Client contacts'!$B$2:$B$500,('Client contacts'!$A$2:$A$500=$A101)*('Client contacts'!$G$2:$G$500="Y"),""),2),""))</f>
        <v/>
      </c>
      <c r="I101" s="5">
        <f>IF($A101="","",IFERROR(INDEX(FILTER('Client contacts'!$C$2:$C$500,('Client contacts'!$A$2:$A$500=$A101)*('Client contacts'!$G$2:$G$500="Y"),""),2),""))</f>
        <v/>
      </c>
      <c r="J101" s="8" t="n"/>
      <c r="K101" s="8" t="n"/>
      <c r="L101" s="8" t="n"/>
      <c r="M101" s="8" t="n"/>
      <c r="N101" s="8" t="n"/>
      <c r="O101" s="8" t="n"/>
      <c r="P101" s="8" t="n"/>
      <c r="Q101" s="8" t="n"/>
      <c r="R101" s="5">
        <f>IF($A101="","",IFERROR(INDEX(Companies!$I$2:$I$500,MATCH($A101,Companies!$A$2:$A$500,0)),""))</f>
        <v/>
      </c>
      <c r="S101" s="8" t="n"/>
      <c r="T101" s="8" t="n"/>
      <c r="U101" s="8" t="n"/>
      <c r="V101" s="8" t="n"/>
      <c r="W101" s="8" t="n"/>
    </row>
    <row r="102">
      <c r="C102" s="5">
        <f>IF($B102="","",TRIM(IF(INDEX('MOA role matrix'!$B$2:$D$13,1,MATCH($B102,'MOA role matrix'!$B$1:$D$1,0))="Fill","Project initiator, ","")IF(INDEX('MOA role matrix'!$B$2:$D$13,1,MATCH($B102,'MOA role matrix'!$B$1:$D$1,0))="If finance","Project initiator (if finance), ","")IF(INDEX('MOA role matrix'!$B$2:$D$13,1,MATCH($B102,'MOA role matrix'!$B$1:$D$1,0))="Auto","Project initiator (auto), ","")IF(INDEX('MOA role matrix'!$B$2:$D$13,2,MATCH($B102,'MOA role matrix'!$B$1:$D$1,0))="Fill","MOA signers (client), ","")IF(INDEX('MOA role matrix'!$B$2:$D$13,2,MATCH($B102,'MOA role matrix'!$B$1:$D$1,0))="If finance","MOA signers (client) (if finance), ","")IF(INDEX('MOA role matrix'!$B$2:$D$13,2,MATCH($B102,'MOA role matrix'!$B$1:$D$1,0))="Auto","MOA signers (client) (auto), ","")IF(INDEX('MOA role matrix'!$B$2:$D$13,3,MATCH($B102,'MOA role matrix'!$B$1:$D$1,0))="Fill","CFO / Head of Finance, ","")IF(INDEX('MOA role matrix'!$B$2:$D$13,3,MATCH($B102,'MOA role matrix'!$B$1:$D$1,0))="If finance","CFO / Head of Finance (if finance), ","")IF(INDEX('MOA role matrix'!$B$2:$D$13,3,MATCH($B102,'MOA role matrix'!$B$1:$D$1,0))="Auto","CFO / Head of Finance (auto), ","")IF(INDEX('MOA role matrix'!$B$2:$D$13,4,MATCH($B102,'MOA role matrix'!$B$1:$D$1,0))="Fill","CEO / COO / GM, ","")IF(INDEX('MOA role matrix'!$B$2:$D$13,4,MATCH($B102,'MOA role matrix'!$B$1:$D$1,0))="If finance","CEO / COO / GM (if finance), ","")IF(INDEX('MOA role matrix'!$B$2:$D$13,4,MATCH($B102,'MOA role matrix'!$B$1:$D$1,0))="Auto","CEO / COO / GM (auto), ","")IF(INDEX('MOA role matrix'!$B$2:$D$13,5,MATCH($B102,'MOA role matrix'!$B$1:$D$1,0))="Fill","Board member 1, ","")IF(INDEX('MOA role matrix'!$B$2:$D$13,5,MATCH($B102,'MOA role matrix'!$B$1:$D$1,0))="If finance","Board member 1 (if finance), ","")IF(INDEX('MOA role matrix'!$B$2:$D$13,5,MATCH($B102,'MOA role matrix'!$B$1:$D$1,0))="Auto","Board member 1 (auto), ","")IF(INDEX('MOA role matrix'!$B$2:$D$13,6,MATCH($B102,'MOA role matrix'!$B$1:$D$1,0))="Fill","Board member 2, ","")IF(INDEX('MOA role matrix'!$B$2:$D$13,6,MATCH($B102,'MOA role matrix'!$B$1:$D$1,0))="If finance","Board member 2 (if finance), ","")IF(INDEX('MOA role matrix'!$B$2:$D$13,6,MATCH($B102,'MOA role matrix'!$B$1:$D$1,0))="Auto","Board member 2 (auto), ","")IF(INDEX('MOA role matrix'!$B$2:$D$13,7,MATCH($B102,'MOA role matrix'!$B$1:$D$1,0))="Fill","LOA holder 1, ","")IF(INDEX('MOA role matrix'!$B$2:$D$13,7,MATCH($B102,'MOA role matrix'!$B$1:$D$1,0))="If finance","LOA holder 1 (if finance), ","")IF(INDEX('MOA role matrix'!$B$2:$D$13,7,MATCH($B102,'MOA role matrix'!$B$1:$D$1,0))="Auto","LOA holder 1 (auto), ","")IF(INDEX('MOA role matrix'!$B$2:$D$13,8,MATCH($B102,'MOA role matrix'!$B$1:$D$1,0))="Fill","LOA holder 2, ","")IF(INDEX('MOA role matrix'!$B$2:$D$13,8,MATCH($B102,'MOA role matrix'!$B$1:$D$1,0))="If finance","LOA holder 2 (if finance), ","")IF(INDEX('MOA role matrix'!$B$2:$D$13,8,MATCH($B102,'MOA role matrix'!$B$1:$D$1,0))="Auto","LOA holder 2 (auto), ","")IF(INDEX('MOA role matrix'!$B$2:$D$13,9,MATCH($B102,'MOA role matrix'!$B$1:$D$1,0))="Fill","Senior Manager CoSec, ","")IF(INDEX('MOA role matrix'!$B$2:$D$13,9,MATCH($B102,'MOA role matrix'!$B$1:$D$1,0))="If finance","Senior Manager CoSec (if finance), ","")IF(INDEX('MOA role matrix'!$B$2:$D$13,9,MATCH($B102,'MOA role matrix'!$B$1:$D$1,0))="Auto","Senior Manager CoSec (auto), ","")IF(INDEX('MOA role matrix'!$B$2:$D$13,10,MATCH($B102,'MOA role matrix'!$B$1:$D$1,0))="Fill","Division MOI managers, ","")IF(INDEX('MOA role matrix'!$B$2:$D$13,10,MATCH($B102,'MOA role matrix'!$B$1:$D$1,0))="If finance","Division MOI managers (if finance), ","")IF(INDEX('MOA role matrix'!$B$2:$D$13,10,MATCH($B102,'MOA role matrix'!$B$1:$D$1,0))="Auto","Division MOI managers (auto), ","")IF(INDEX('MOA role matrix'!$B$2:$D$13,11,MATCH($B102,'MOA role matrix'!$B$1:$D$1,0))="Fill","Ms Teh (bank), ","")IF(INDEX('MOA role matrix'!$B$2:$D$13,11,MATCH($B102,'MOA role matrix'!$B$1:$D$1,0))="If finance","Ms Teh (bank) (if finance), ","")IF(INDEX('MOA role matrix'!$B$2:$D$13,11,MATCH($B102,'MOA role matrix'!$B$1:$D$1,0))="Auto","Ms Teh (bank) (auto), ","")IF(INDEX('MOA role matrix'!$B$2:$D$13,12,MATCH($B102,'MOA role matrix'!$B$1:$D$1,0))="Fill","DLCM, ","")IF(INDEX('MOA role matrix'!$B$2:$D$13,12,MATCH($B102,'MOA role matrix'!$B$1:$D$1,0))="If finance","DLCM (if finance), ","")IF(INDEX('MOA role matrix'!$B$2:$D$13,12,MATCH($B102,'MOA role matrix'!$B$1:$D$1,0))="Auto","DLCM (auto), ","")))</f>
        <v/>
      </c>
      <c r="D102" s="5">
        <f>IF($A102="","",IFERROR(INDEX(FILTER('Client contacts'!$B$2:$B$500,('Client contacts'!$A$2:$A$500=$A102)*('Client contacts'!$H$2:$H$500="Y"),""),1),""))</f>
        <v/>
      </c>
      <c r="E102" s="5">
        <f>IF($A102="","",IFERROR(INDEX(FILTER('Client contacts'!$C$2:$C$500,('Client contacts'!$A$2:$A$500=$A102)*('Client contacts'!$H$2:$H$500="Y"),""),1),""))</f>
        <v/>
      </c>
      <c r="F102" s="5">
        <f>IF($A102="","",IFERROR(INDEX(FILTER('Client contacts'!$B$2:$B$500,('Client contacts'!$A$2:$A$500=$A102)*('Client contacts'!$G$2:$G$500="Y"),""),1),""))</f>
        <v/>
      </c>
      <c r="G102" s="5">
        <f>IF($A102="","",IFERROR(INDEX(FILTER('Client contacts'!$C$2:$C$500,('Client contacts'!$A$2:$A$500=$A102)*('Client contacts'!$G$2:$G$500="Y"),""),1),""))</f>
        <v/>
      </c>
      <c r="H102" s="5">
        <f>IF($A102="","",IFERROR(INDEX(FILTER('Client contacts'!$B$2:$B$500,('Client contacts'!$A$2:$A$500=$A102)*('Client contacts'!$G$2:$G$500="Y"),""),2),""))</f>
        <v/>
      </c>
      <c r="I102" s="5">
        <f>IF($A102="","",IFERROR(INDEX(FILTER('Client contacts'!$C$2:$C$500,('Client contacts'!$A$2:$A$500=$A102)*('Client contacts'!$G$2:$G$500="Y"),""),2),""))</f>
        <v/>
      </c>
      <c r="J102" s="8" t="n"/>
      <c r="K102" s="8" t="n"/>
      <c r="L102" s="8" t="n"/>
      <c r="M102" s="8" t="n"/>
      <c r="N102" s="8" t="n"/>
      <c r="O102" s="8" t="n"/>
      <c r="P102" s="8" t="n"/>
      <c r="Q102" s="8" t="n"/>
      <c r="R102" s="5">
        <f>IF($A102="","",IFERROR(INDEX(Companies!$I$2:$I$500,MATCH($A102,Companies!$A$2:$A$500,0)),""))</f>
        <v/>
      </c>
      <c r="S102" s="8" t="n"/>
      <c r="T102" s="8" t="n"/>
      <c r="U102" s="8" t="n"/>
      <c r="V102" s="8" t="n"/>
      <c r="W102" s="8" t="n"/>
    </row>
    <row r="103">
      <c r="C103" s="5">
        <f>IF($B103="","",TRIM(IF(INDEX('MOA role matrix'!$B$2:$D$13,1,MATCH($B103,'MOA role matrix'!$B$1:$D$1,0))="Fill","Project initiator, ","")IF(INDEX('MOA role matrix'!$B$2:$D$13,1,MATCH($B103,'MOA role matrix'!$B$1:$D$1,0))="If finance","Project initiator (if finance), ","")IF(INDEX('MOA role matrix'!$B$2:$D$13,1,MATCH($B103,'MOA role matrix'!$B$1:$D$1,0))="Auto","Project initiator (auto), ","")IF(INDEX('MOA role matrix'!$B$2:$D$13,2,MATCH($B103,'MOA role matrix'!$B$1:$D$1,0))="Fill","MOA signers (client), ","")IF(INDEX('MOA role matrix'!$B$2:$D$13,2,MATCH($B103,'MOA role matrix'!$B$1:$D$1,0))="If finance","MOA signers (client) (if finance), ","")IF(INDEX('MOA role matrix'!$B$2:$D$13,2,MATCH($B103,'MOA role matrix'!$B$1:$D$1,0))="Auto","MOA signers (client) (auto), ","")IF(INDEX('MOA role matrix'!$B$2:$D$13,3,MATCH($B103,'MOA role matrix'!$B$1:$D$1,0))="Fill","CFO / Head of Finance, ","")IF(INDEX('MOA role matrix'!$B$2:$D$13,3,MATCH($B103,'MOA role matrix'!$B$1:$D$1,0))="If finance","CFO / Head of Finance (if finance), ","")IF(INDEX('MOA role matrix'!$B$2:$D$13,3,MATCH($B103,'MOA role matrix'!$B$1:$D$1,0))="Auto","CFO / Head of Finance (auto), ","")IF(INDEX('MOA role matrix'!$B$2:$D$13,4,MATCH($B103,'MOA role matrix'!$B$1:$D$1,0))="Fill","CEO / COO / GM, ","")IF(INDEX('MOA role matrix'!$B$2:$D$13,4,MATCH($B103,'MOA role matrix'!$B$1:$D$1,0))="If finance","CEO / COO / GM (if finance), ","")IF(INDEX('MOA role matrix'!$B$2:$D$13,4,MATCH($B103,'MOA role matrix'!$B$1:$D$1,0))="Auto","CEO / COO / GM (auto), ","")IF(INDEX('MOA role matrix'!$B$2:$D$13,5,MATCH($B103,'MOA role matrix'!$B$1:$D$1,0))="Fill","Board member 1, ","")IF(INDEX('MOA role matrix'!$B$2:$D$13,5,MATCH($B103,'MOA role matrix'!$B$1:$D$1,0))="If finance","Board member 1 (if finance), ","")IF(INDEX('MOA role matrix'!$B$2:$D$13,5,MATCH($B103,'MOA role matrix'!$B$1:$D$1,0))="Auto","Board member 1 (auto), ","")IF(INDEX('MOA role matrix'!$B$2:$D$13,6,MATCH($B103,'MOA role matrix'!$B$1:$D$1,0))="Fill","Board member 2, ","")IF(INDEX('MOA role matrix'!$B$2:$D$13,6,MATCH($B103,'MOA role matrix'!$B$1:$D$1,0))="If finance","Board member 2 (if finance), ","")IF(INDEX('MOA role matrix'!$B$2:$D$13,6,MATCH($B103,'MOA role matrix'!$B$1:$D$1,0))="Auto","Board member 2 (auto), ","")IF(INDEX('MOA role matrix'!$B$2:$D$13,7,MATCH($B103,'MOA role matrix'!$B$1:$D$1,0))="Fill","LOA holder 1, ","")IF(INDEX('MOA role matrix'!$B$2:$D$13,7,MATCH($B103,'MOA role matrix'!$B$1:$D$1,0))="If finance","LOA holder 1 (if finance), ","")IF(INDEX('MOA role matrix'!$B$2:$D$13,7,MATCH($B103,'MOA role matrix'!$B$1:$D$1,0))="Auto","LOA holder 1 (auto), ","")IF(INDEX('MOA role matrix'!$B$2:$D$13,8,MATCH($B103,'MOA role matrix'!$B$1:$D$1,0))="Fill","LOA holder 2, ","")IF(INDEX('MOA role matrix'!$B$2:$D$13,8,MATCH($B103,'MOA role matrix'!$B$1:$D$1,0))="If finance","LOA holder 2 (if finance), ","")IF(INDEX('MOA role matrix'!$B$2:$D$13,8,MATCH($B103,'MOA role matrix'!$B$1:$D$1,0))="Auto","LOA holder 2 (auto), ","")IF(INDEX('MOA role matrix'!$B$2:$D$13,9,MATCH($B103,'MOA role matrix'!$B$1:$D$1,0))="Fill","Senior Manager CoSec, ","")IF(INDEX('MOA role matrix'!$B$2:$D$13,9,MATCH($B103,'MOA role matrix'!$B$1:$D$1,0))="If finance","Senior Manager CoSec (if finance), ","")IF(INDEX('MOA role matrix'!$B$2:$D$13,9,MATCH($B103,'MOA role matrix'!$B$1:$D$1,0))="Auto","Senior Manager CoSec (auto), ","")IF(INDEX('MOA role matrix'!$B$2:$D$13,10,MATCH($B103,'MOA role matrix'!$B$1:$D$1,0))="Fill","Division MOI managers, ","")IF(INDEX('MOA role matrix'!$B$2:$D$13,10,MATCH($B103,'MOA role matrix'!$B$1:$D$1,0))="If finance","Division MOI managers (if finance), ","")IF(INDEX('MOA role matrix'!$B$2:$D$13,10,MATCH($B103,'MOA role matrix'!$B$1:$D$1,0))="Auto","Division MOI managers (auto), ","")IF(INDEX('MOA role matrix'!$B$2:$D$13,11,MATCH($B103,'MOA role matrix'!$B$1:$D$1,0))="Fill","Ms Teh (bank), ","")IF(INDEX('MOA role matrix'!$B$2:$D$13,11,MATCH($B103,'MOA role matrix'!$B$1:$D$1,0))="If finance","Ms Teh (bank) (if finance), ","")IF(INDEX('MOA role matrix'!$B$2:$D$13,11,MATCH($B103,'MOA role matrix'!$B$1:$D$1,0))="Auto","Ms Teh (bank) (auto), ","")IF(INDEX('MOA role matrix'!$B$2:$D$13,12,MATCH($B103,'MOA role matrix'!$B$1:$D$1,0))="Fill","DLCM, ","")IF(INDEX('MOA role matrix'!$B$2:$D$13,12,MATCH($B103,'MOA role matrix'!$B$1:$D$1,0))="If finance","DLCM (if finance), ","")IF(INDEX('MOA role matrix'!$B$2:$D$13,12,MATCH($B103,'MOA role matrix'!$B$1:$D$1,0))="Auto","DLCM (auto), ","")))</f>
        <v/>
      </c>
      <c r="D103" s="5">
        <f>IF($A103="","",IFERROR(INDEX(FILTER('Client contacts'!$B$2:$B$500,('Client contacts'!$A$2:$A$500=$A103)*('Client contacts'!$H$2:$H$500="Y"),""),1),""))</f>
        <v/>
      </c>
      <c r="E103" s="5">
        <f>IF($A103="","",IFERROR(INDEX(FILTER('Client contacts'!$C$2:$C$500,('Client contacts'!$A$2:$A$500=$A103)*('Client contacts'!$H$2:$H$500="Y"),""),1),""))</f>
        <v/>
      </c>
      <c r="F103" s="5">
        <f>IF($A103="","",IFERROR(INDEX(FILTER('Client contacts'!$B$2:$B$500,('Client contacts'!$A$2:$A$500=$A103)*('Client contacts'!$G$2:$G$500="Y"),""),1),""))</f>
        <v/>
      </c>
      <c r="G103" s="5">
        <f>IF($A103="","",IFERROR(INDEX(FILTER('Client contacts'!$C$2:$C$500,('Client contacts'!$A$2:$A$500=$A103)*('Client contacts'!$G$2:$G$500="Y"),""),1),""))</f>
        <v/>
      </c>
      <c r="H103" s="5">
        <f>IF($A103="","",IFERROR(INDEX(FILTER('Client contacts'!$B$2:$B$500,('Client contacts'!$A$2:$A$500=$A103)*('Client contacts'!$G$2:$G$500="Y"),""),2),""))</f>
        <v/>
      </c>
      <c r="I103" s="5">
        <f>IF($A103="","",IFERROR(INDEX(FILTER('Client contacts'!$C$2:$C$500,('Client contacts'!$A$2:$A$500=$A103)*('Client contacts'!$G$2:$G$500="Y"),""),2),""))</f>
        <v/>
      </c>
      <c r="J103" s="8" t="n"/>
      <c r="K103" s="8" t="n"/>
      <c r="L103" s="8" t="n"/>
      <c r="M103" s="8" t="n"/>
      <c r="N103" s="8" t="n"/>
      <c r="O103" s="8" t="n"/>
      <c r="P103" s="8" t="n"/>
      <c r="Q103" s="8" t="n"/>
      <c r="R103" s="5">
        <f>IF($A103="","",IFERROR(INDEX(Companies!$I$2:$I$500,MATCH($A103,Companies!$A$2:$A$500,0)),""))</f>
        <v/>
      </c>
      <c r="S103" s="8" t="n"/>
      <c r="T103" s="8" t="n"/>
      <c r="U103" s="8" t="n"/>
      <c r="V103" s="8" t="n"/>
      <c r="W103" s="8" t="n"/>
    </row>
    <row r="104">
      <c r="C104" s="5">
        <f>IF($B104="","",TRIM(IF(INDEX('MOA role matrix'!$B$2:$D$13,1,MATCH($B104,'MOA role matrix'!$B$1:$D$1,0))="Fill","Project initiator, ","")IF(INDEX('MOA role matrix'!$B$2:$D$13,1,MATCH($B104,'MOA role matrix'!$B$1:$D$1,0))="If finance","Project initiator (if finance), ","")IF(INDEX('MOA role matrix'!$B$2:$D$13,1,MATCH($B104,'MOA role matrix'!$B$1:$D$1,0))="Auto","Project initiator (auto), ","")IF(INDEX('MOA role matrix'!$B$2:$D$13,2,MATCH($B104,'MOA role matrix'!$B$1:$D$1,0))="Fill","MOA signers (client), ","")IF(INDEX('MOA role matrix'!$B$2:$D$13,2,MATCH($B104,'MOA role matrix'!$B$1:$D$1,0))="If finance","MOA signers (client) (if finance), ","")IF(INDEX('MOA role matrix'!$B$2:$D$13,2,MATCH($B104,'MOA role matrix'!$B$1:$D$1,0))="Auto","MOA signers (client) (auto), ","")IF(INDEX('MOA role matrix'!$B$2:$D$13,3,MATCH($B104,'MOA role matrix'!$B$1:$D$1,0))="Fill","CFO / Head of Finance, ","")IF(INDEX('MOA role matrix'!$B$2:$D$13,3,MATCH($B104,'MOA role matrix'!$B$1:$D$1,0))="If finance","CFO / Head of Finance (if finance), ","")IF(INDEX('MOA role matrix'!$B$2:$D$13,3,MATCH($B104,'MOA role matrix'!$B$1:$D$1,0))="Auto","CFO / Head of Finance (auto), ","")IF(INDEX('MOA role matrix'!$B$2:$D$13,4,MATCH($B104,'MOA role matrix'!$B$1:$D$1,0))="Fill","CEO / COO / GM, ","")IF(INDEX('MOA role matrix'!$B$2:$D$13,4,MATCH($B104,'MOA role matrix'!$B$1:$D$1,0))="If finance","CEO / COO / GM (if finance), ","")IF(INDEX('MOA role matrix'!$B$2:$D$13,4,MATCH($B104,'MOA role matrix'!$B$1:$D$1,0))="Auto","CEO / COO / GM (auto), ","")IF(INDEX('MOA role matrix'!$B$2:$D$13,5,MATCH($B104,'MOA role matrix'!$B$1:$D$1,0))="Fill","Board member 1, ","")IF(INDEX('MOA role matrix'!$B$2:$D$13,5,MATCH($B104,'MOA role matrix'!$B$1:$D$1,0))="If finance","Board member 1 (if finance), ","")IF(INDEX('MOA role matrix'!$B$2:$D$13,5,MATCH($B104,'MOA role matrix'!$B$1:$D$1,0))="Auto","Board member 1 (auto), ","")IF(INDEX('MOA role matrix'!$B$2:$D$13,6,MATCH($B104,'MOA role matrix'!$B$1:$D$1,0))="Fill","Board member 2, ","")IF(INDEX('MOA role matrix'!$B$2:$D$13,6,MATCH($B104,'MOA role matrix'!$B$1:$D$1,0))="If finance","Board member 2 (if finance), ","")IF(INDEX('MOA role matrix'!$B$2:$D$13,6,MATCH($B104,'MOA role matrix'!$B$1:$D$1,0))="Auto","Board member 2 (auto), ","")IF(INDEX('MOA role matrix'!$B$2:$D$13,7,MATCH($B104,'MOA role matrix'!$B$1:$D$1,0))="Fill","LOA holder 1, ","")IF(INDEX('MOA role matrix'!$B$2:$D$13,7,MATCH($B104,'MOA role matrix'!$B$1:$D$1,0))="If finance","LOA holder 1 (if finance), ","")IF(INDEX('MOA role matrix'!$B$2:$D$13,7,MATCH($B104,'MOA role matrix'!$B$1:$D$1,0))="Auto","LOA holder 1 (auto), ","")IF(INDEX('MOA role matrix'!$B$2:$D$13,8,MATCH($B104,'MOA role matrix'!$B$1:$D$1,0))="Fill","LOA holder 2, ","")IF(INDEX('MOA role matrix'!$B$2:$D$13,8,MATCH($B104,'MOA role matrix'!$B$1:$D$1,0))="If finance","LOA holder 2 (if finance), ","")IF(INDEX('MOA role matrix'!$B$2:$D$13,8,MATCH($B104,'MOA role matrix'!$B$1:$D$1,0))="Auto","LOA holder 2 (auto), ","")IF(INDEX('MOA role matrix'!$B$2:$D$13,9,MATCH($B104,'MOA role matrix'!$B$1:$D$1,0))="Fill","Senior Manager CoSec, ","")IF(INDEX('MOA role matrix'!$B$2:$D$13,9,MATCH($B104,'MOA role matrix'!$B$1:$D$1,0))="If finance","Senior Manager CoSec (if finance), ","")IF(INDEX('MOA role matrix'!$B$2:$D$13,9,MATCH($B104,'MOA role matrix'!$B$1:$D$1,0))="Auto","Senior Manager CoSec (auto), ","")IF(INDEX('MOA role matrix'!$B$2:$D$13,10,MATCH($B104,'MOA role matrix'!$B$1:$D$1,0))="Fill","Division MOI managers, ","")IF(INDEX('MOA role matrix'!$B$2:$D$13,10,MATCH($B104,'MOA role matrix'!$B$1:$D$1,0))="If finance","Division MOI managers (if finance), ","")IF(INDEX('MOA role matrix'!$B$2:$D$13,10,MATCH($B104,'MOA role matrix'!$B$1:$D$1,0))="Auto","Division MOI managers (auto), ","")IF(INDEX('MOA role matrix'!$B$2:$D$13,11,MATCH($B104,'MOA role matrix'!$B$1:$D$1,0))="Fill","Ms Teh (bank), ","")IF(INDEX('MOA role matrix'!$B$2:$D$13,11,MATCH($B104,'MOA role matrix'!$B$1:$D$1,0))="If finance","Ms Teh (bank) (if finance), ","")IF(INDEX('MOA role matrix'!$B$2:$D$13,11,MATCH($B104,'MOA role matrix'!$B$1:$D$1,0))="Auto","Ms Teh (bank) (auto), ","")IF(INDEX('MOA role matrix'!$B$2:$D$13,12,MATCH($B104,'MOA role matrix'!$B$1:$D$1,0))="Fill","DLCM, ","")IF(INDEX('MOA role matrix'!$B$2:$D$13,12,MATCH($B104,'MOA role matrix'!$B$1:$D$1,0))="If finance","DLCM (if finance), ","")IF(INDEX('MOA role matrix'!$B$2:$D$13,12,MATCH($B104,'MOA role matrix'!$B$1:$D$1,0))="Auto","DLCM (auto), ","")))</f>
        <v/>
      </c>
      <c r="D104" s="5">
        <f>IF($A104="","",IFERROR(INDEX(FILTER('Client contacts'!$B$2:$B$500,('Client contacts'!$A$2:$A$500=$A104)*('Client contacts'!$H$2:$H$500="Y"),""),1),""))</f>
        <v/>
      </c>
      <c r="E104" s="5">
        <f>IF($A104="","",IFERROR(INDEX(FILTER('Client contacts'!$C$2:$C$500,('Client contacts'!$A$2:$A$500=$A104)*('Client contacts'!$H$2:$H$500="Y"),""),1),""))</f>
        <v/>
      </c>
      <c r="F104" s="5">
        <f>IF($A104="","",IFERROR(INDEX(FILTER('Client contacts'!$B$2:$B$500,('Client contacts'!$A$2:$A$500=$A104)*('Client contacts'!$G$2:$G$500="Y"),""),1),""))</f>
        <v/>
      </c>
      <c r="G104" s="5">
        <f>IF($A104="","",IFERROR(INDEX(FILTER('Client contacts'!$C$2:$C$500,('Client contacts'!$A$2:$A$500=$A104)*('Client contacts'!$G$2:$G$500="Y"),""),1),""))</f>
        <v/>
      </c>
      <c r="H104" s="5">
        <f>IF($A104="","",IFERROR(INDEX(FILTER('Client contacts'!$B$2:$B$500,('Client contacts'!$A$2:$A$500=$A104)*('Client contacts'!$G$2:$G$500="Y"),""),2),""))</f>
        <v/>
      </c>
      <c r="I104" s="5">
        <f>IF($A104="","",IFERROR(INDEX(FILTER('Client contacts'!$C$2:$C$500,('Client contacts'!$A$2:$A$500=$A104)*('Client contacts'!$G$2:$G$500="Y"),""),2),""))</f>
        <v/>
      </c>
      <c r="J104" s="8" t="n"/>
      <c r="K104" s="8" t="n"/>
      <c r="L104" s="8" t="n"/>
      <c r="M104" s="8" t="n"/>
      <c r="N104" s="8" t="n"/>
      <c r="O104" s="8" t="n"/>
      <c r="P104" s="8" t="n"/>
      <c r="Q104" s="8" t="n"/>
      <c r="R104" s="5">
        <f>IF($A104="","",IFERROR(INDEX(Companies!$I$2:$I$500,MATCH($A104,Companies!$A$2:$A$500,0)),""))</f>
        <v/>
      </c>
      <c r="S104" s="8" t="n"/>
      <c r="T104" s="8" t="n"/>
      <c r="U104" s="8" t="n"/>
      <c r="V104" s="8" t="n"/>
      <c r="W104" s="8" t="n"/>
    </row>
    <row r="105">
      <c r="C105" s="5">
        <f>IF($B105="","",TRIM(IF(INDEX('MOA role matrix'!$B$2:$D$13,1,MATCH($B105,'MOA role matrix'!$B$1:$D$1,0))="Fill","Project initiator, ","")IF(INDEX('MOA role matrix'!$B$2:$D$13,1,MATCH($B105,'MOA role matrix'!$B$1:$D$1,0))="If finance","Project initiator (if finance), ","")IF(INDEX('MOA role matrix'!$B$2:$D$13,1,MATCH($B105,'MOA role matrix'!$B$1:$D$1,0))="Auto","Project initiator (auto), ","")IF(INDEX('MOA role matrix'!$B$2:$D$13,2,MATCH($B105,'MOA role matrix'!$B$1:$D$1,0))="Fill","MOA signers (client), ","")IF(INDEX('MOA role matrix'!$B$2:$D$13,2,MATCH($B105,'MOA role matrix'!$B$1:$D$1,0))="If finance","MOA signers (client) (if finance), ","")IF(INDEX('MOA role matrix'!$B$2:$D$13,2,MATCH($B105,'MOA role matrix'!$B$1:$D$1,0))="Auto","MOA signers (client) (auto), ","")IF(INDEX('MOA role matrix'!$B$2:$D$13,3,MATCH($B105,'MOA role matrix'!$B$1:$D$1,0))="Fill","CFO / Head of Finance, ","")IF(INDEX('MOA role matrix'!$B$2:$D$13,3,MATCH($B105,'MOA role matrix'!$B$1:$D$1,0))="If finance","CFO / Head of Finance (if finance), ","")IF(INDEX('MOA role matrix'!$B$2:$D$13,3,MATCH($B105,'MOA role matrix'!$B$1:$D$1,0))="Auto","CFO / Head of Finance (auto), ","")IF(INDEX('MOA role matrix'!$B$2:$D$13,4,MATCH($B105,'MOA role matrix'!$B$1:$D$1,0))="Fill","CEO / COO / GM, ","")IF(INDEX('MOA role matrix'!$B$2:$D$13,4,MATCH($B105,'MOA role matrix'!$B$1:$D$1,0))="If finance","CEO / COO / GM (if finance), ","")IF(INDEX('MOA role matrix'!$B$2:$D$13,4,MATCH($B105,'MOA role matrix'!$B$1:$D$1,0))="Auto","CEO / COO / GM (auto), ","")IF(INDEX('MOA role matrix'!$B$2:$D$13,5,MATCH($B105,'MOA role matrix'!$B$1:$D$1,0))="Fill","Board member 1, ","")IF(INDEX('MOA role matrix'!$B$2:$D$13,5,MATCH($B105,'MOA role matrix'!$B$1:$D$1,0))="If finance","Board member 1 (if finance), ","")IF(INDEX('MOA role matrix'!$B$2:$D$13,5,MATCH($B105,'MOA role matrix'!$B$1:$D$1,0))="Auto","Board member 1 (auto), ","")IF(INDEX('MOA role matrix'!$B$2:$D$13,6,MATCH($B105,'MOA role matrix'!$B$1:$D$1,0))="Fill","Board member 2, ","")IF(INDEX('MOA role matrix'!$B$2:$D$13,6,MATCH($B105,'MOA role matrix'!$B$1:$D$1,0))="If finance","Board member 2 (if finance), ","")IF(INDEX('MOA role matrix'!$B$2:$D$13,6,MATCH($B105,'MOA role matrix'!$B$1:$D$1,0))="Auto","Board member 2 (auto), ","")IF(INDEX('MOA role matrix'!$B$2:$D$13,7,MATCH($B105,'MOA role matrix'!$B$1:$D$1,0))="Fill","LOA holder 1, ","")IF(INDEX('MOA role matrix'!$B$2:$D$13,7,MATCH($B105,'MOA role matrix'!$B$1:$D$1,0))="If finance","LOA holder 1 (if finance), ","")IF(INDEX('MOA role matrix'!$B$2:$D$13,7,MATCH($B105,'MOA role matrix'!$B$1:$D$1,0))="Auto","LOA holder 1 (auto), ","")IF(INDEX('MOA role matrix'!$B$2:$D$13,8,MATCH($B105,'MOA role matrix'!$B$1:$D$1,0))="Fill","LOA holder 2, ","")IF(INDEX('MOA role matrix'!$B$2:$D$13,8,MATCH($B105,'MOA role matrix'!$B$1:$D$1,0))="If finance","LOA holder 2 (if finance), ","")IF(INDEX('MOA role matrix'!$B$2:$D$13,8,MATCH($B105,'MOA role matrix'!$B$1:$D$1,0))="Auto","LOA holder 2 (auto), ","")IF(INDEX('MOA role matrix'!$B$2:$D$13,9,MATCH($B105,'MOA role matrix'!$B$1:$D$1,0))="Fill","Senior Manager CoSec, ","")IF(INDEX('MOA role matrix'!$B$2:$D$13,9,MATCH($B105,'MOA role matrix'!$B$1:$D$1,0))="If finance","Senior Manager CoSec (if finance), ","")IF(INDEX('MOA role matrix'!$B$2:$D$13,9,MATCH($B105,'MOA role matrix'!$B$1:$D$1,0))="Auto","Senior Manager CoSec (auto), ","")IF(INDEX('MOA role matrix'!$B$2:$D$13,10,MATCH($B105,'MOA role matrix'!$B$1:$D$1,0))="Fill","Division MOI managers, ","")IF(INDEX('MOA role matrix'!$B$2:$D$13,10,MATCH($B105,'MOA role matrix'!$B$1:$D$1,0))="If finance","Division MOI managers (if finance), ","")IF(INDEX('MOA role matrix'!$B$2:$D$13,10,MATCH($B105,'MOA role matrix'!$B$1:$D$1,0))="Auto","Division MOI managers (auto), ","")IF(INDEX('MOA role matrix'!$B$2:$D$13,11,MATCH($B105,'MOA role matrix'!$B$1:$D$1,0))="Fill","Ms Teh (bank), ","")IF(INDEX('MOA role matrix'!$B$2:$D$13,11,MATCH($B105,'MOA role matrix'!$B$1:$D$1,0))="If finance","Ms Teh (bank) (if finance), ","")IF(INDEX('MOA role matrix'!$B$2:$D$13,11,MATCH($B105,'MOA role matrix'!$B$1:$D$1,0))="Auto","Ms Teh (bank) (auto), ","")IF(INDEX('MOA role matrix'!$B$2:$D$13,12,MATCH($B105,'MOA role matrix'!$B$1:$D$1,0))="Fill","DLCM, ","")IF(INDEX('MOA role matrix'!$B$2:$D$13,12,MATCH($B105,'MOA role matrix'!$B$1:$D$1,0))="If finance","DLCM (if finance), ","")IF(INDEX('MOA role matrix'!$B$2:$D$13,12,MATCH($B105,'MOA role matrix'!$B$1:$D$1,0))="Auto","DLCM (auto), ","")))</f>
        <v/>
      </c>
      <c r="D105" s="5">
        <f>IF($A105="","",IFERROR(INDEX(FILTER('Client contacts'!$B$2:$B$500,('Client contacts'!$A$2:$A$500=$A105)*('Client contacts'!$H$2:$H$500="Y"),""),1),""))</f>
        <v/>
      </c>
      <c r="E105" s="5">
        <f>IF($A105="","",IFERROR(INDEX(FILTER('Client contacts'!$C$2:$C$500,('Client contacts'!$A$2:$A$500=$A105)*('Client contacts'!$H$2:$H$500="Y"),""),1),""))</f>
        <v/>
      </c>
      <c r="F105" s="5">
        <f>IF($A105="","",IFERROR(INDEX(FILTER('Client contacts'!$B$2:$B$500,('Client contacts'!$A$2:$A$500=$A105)*('Client contacts'!$G$2:$G$500="Y"),""),1),""))</f>
        <v/>
      </c>
      <c r="G105" s="5">
        <f>IF($A105="","",IFERROR(INDEX(FILTER('Client contacts'!$C$2:$C$500,('Client contacts'!$A$2:$A$500=$A105)*('Client contacts'!$G$2:$G$500="Y"),""),1),""))</f>
        <v/>
      </c>
      <c r="H105" s="5">
        <f>IF($A105="","",IFERROR(INDEX(FILTER('Client contacts'!$B$2:$B$500,('Client contacts'!$A$2:$A$500=$A105)*('Client contacts'!$G$2:$G$500="Y"),""),2),""))</f>
        <v/>
      </c>
      <c r="I105" s="5">
        <f>IF($A105="","",IFERROR(INDEX(FILTER('Client contacts'!$C$2:$C$500,('Client contacts'!$A$2:$A$500=$A105)*('Client contacts'!$G$2:$G$500="Y"),""),2),""))</f>
        <v/>
      </c>
      <c r="J105" s="8" t="n"/>
      <c r="K105" s="8" t="n"/>
      <c r="L105" s="8" t="n"/>
      <c r="M105" s="8" t="n"/>
      <c r="N105" s="8" t="n"/>
      <c r="O105" s="8" t="n"/>
      <c r="P105" s="8" t="n"/>
      <c r="Q105" s="8" t="n"/>
      <c r="R105" s="5">
        <f>IF($A105="","",IFERROR(INDEX(Companies!$I$2:$I$500,MATCH($A105,Companies!$A$2:$A$500,0)),""))</f>
        <v/>
      </c>
      <c r="S105" s="8" t="n"/>
      <c r="T105" s="8" t="n"/>
      <c r="U105" s="8" t="n"/>
      <c r="V105" s="8" t="n"/>
      <c r="W105" s="8" t="n"/>
    </row>
    <row r="106">
      <c r="C106" s="5">
        <f>IF($B106="","",TRIM(IF(INDEX('MOA role matrix'!$B$2:$D$13,1,MATCH($B106,'MOA role matrix'!$B$1:$D$1,0))="Fill","Project initiator, ","")IF(INDEX('MOA role matrix'!$B$2:$D$13,1,MATCH($B106,'MOA role matrix'!$B$1:$D$1,0))="If finance","Project initiator (if finance), ","")IF(INDEX('MOA role matrix'!$B$2:$D$13,1,MATCH($B106,'MOA role matrix'!$B$1:$D$1,0))="Auto","Project initiator (auto), ","")IF(INDEX('MOA role matrix'!$B$2:$D$13,2,MATCH($B106,'MOA role matrix'!$B$1:$D$1,0))="Fill","MOA signers (client), ","")IF(INDEX('MOA role matrix'!$B$2:$D$13,2,MATCH($B106,'MOA role matrix'!$B$1:$D$1,0))="If finance","MOA signers (client) (if finance), ","")IF(INDEX('MOA role matrix'!$B$2:$D$13,2,MATCH($B106,'MOA role matrix'!$B$1:$D$1,0))="Auto","MOA signers (client) (auto), ","")IF(INDEX('MOA role matrix'!$B$2:$D$13,3,MATCH($B106,'MOA role matrix'!$B$1:$D$1,0))="Fill","CFO / Head of Finance, ","")IF(INDEX('MOA role matrix'!$B$2:$D$13,3,MATCH($B106,'MOA role matrix'!$B$1:$D$1,0))="If finance","CFO / Head of Finance (if finance), ","")IF(INDEX('MOA role matrix'!$B$2:$D$13,3,MATCH($B106,'MOA role matrix'!$B$1:$D$1,0))="Auto","CFO / Head of Finance (auto), ","")IF(INDEX('MOA role matrix'!$B$2:$D$13,4,MATCH($B106,'MOA role matrix'!$B$1:$D$1,0))="Fill","CEO / COO / GM, ","")IF(INDEX('MOA role matrix'!$B$2:$D$13,4,MATCH($B106,'MOA role matrix'!$B$1:$D$1,0))="If finance","CEO / COO / GM (if finance), ","")IF(INDEX('MOA role matrix'!$B$2:$D$13,4,MATCH($B106,'MOA role matrix'!$B$1:$D$1,0))="Auto","CEO / COO / GM (auto), ","")IF(INDEX('MOA role matrix'!$B$2:$D$13,5,MATCH($B106,'MOA role matrix'!$B$1:$D$1,0))="Fill","Board member 1, ","")IF(INDEX('MOA role matrix'!$B$2:$D$13,5,MATCH($B106,'MOA role matrix'!$B$1:$D$1,0))="If finance","Board member 1 (if finance), ","")IF(INDEX('MOA role matrix'!$B$2:$D$13,5,MATCH($B106,'MOA role matrix'!$B$1:$D$1,0))="Auto","Board member 1 (auto), ","")IF(INDEX('MOA role matrix'!$B$2:$D$13,6,MATCH($B106,'MOA role matrix'!$B$1:$D$1,0))="Fill","Board member 2, ","")IF(INDEX('MOA role matrix'!$B$2:$D$13,6,MATCH($B106,'MOA role matrix'!$B$1:$D$1,0))="If finance","Board member 2 (if finance), ","")IF(INDEX('MOA role matrix'!$B$2:$D$13,6,MATCH($B106,'MOA role matrix'!$B$1:$D$1,0))="Auto","Board member 2 (auto), ","")IF(INDEX('MOA role matrix'!$B$2:$D$13,7,MATCH($B106,'MOA role matrix'!$B$1:$D$1,0))="Fill","LOA holder 1, ","")IF(INDEX('MOA role matrix'!$B$2:$D$13,7,MATCH($B106,'MOA role matrix'!$B$1:$D$1,0))="If finance","LOA holder 1 (if finance), ","")IF(INDEX('MOA role matrix'!$B$2:$D$13,7,MATCH($B106,'MOA role matrix'!$B$1:$D$1,0))="Auto","LOA holder 1 (auto), ","")IF(INDEX('MOA role matrix'!$B$2:$D$13,8,MATCH($B106,'MOA role matrix'!$B$1:$D$1,0))="Fill","LOA holder 2, ","")IF(INDEX('MOA role matrix'!$B$2:$D$13,8,MATCH($B106,'MOA role matrix'!$B$1:$D$1,0))="If finance","LOA holder 2 (if finance), ","")IF(INDEX('MOA role matrix'!$B$2:$D$13,8,MATCH($B106,'MOA role matrix'!$B$1:$D$1,0))="Auto","LOA holder 2 (auto), ","")IF(INDEX('MOA role matrix'!$B$2:$D$13,9,MATCH($B106,'MOA role matrix'!$B$1:$D$1,0))="Fill","Senior Manager CoSec, ","")IF(INDEX('MOA role matrix'!$B$2:$D$13,9,MATCH($B106,'MOA role matrix'!$B$1:$D$1,0))="If finance","Senior Manager CoSec (if finance), ","")IF(INDEX('MOA role matrix'!$B$2:$D$13,9,MATCH($B106,'MOA role matrix'!$B$1:$D$1,0))="Auto","Senior Manager CoSec (auto), ","")IF(INDEX('MOA role matrix'!$B$2:$D$13,10,MATCH($B106,'MOA role matrix'!$B$1:$D$1,0))="Fill","Division MOI managers, ","")IF(INDEX('MOA role matrix'!$B$2:$D$13,10,MATCH($B106,'MOA role matrix'!$B$1:$D$1,0))="If finance","Division MOI managers (if finance), ","")IF(INDEX('MOA role matrix'!$B$2:$D$13,10,MATCH($B106,'MOA role matrix'!$B$1:$D$1,0))="Auto","Division MOI managers (auto), ","")IF(INDEX('MOA role matrix'!$B$2:$D$13,11,MATCH($B106,'MOA role matrix'!$B$1:$D$1,0))="Fill","Ms Teh (bank), ","")IF(INDEX('MOA role matrix'!$B$2:$D$13,11,MATCH($B106,'MOA role matrix'!$B$1:$D$1,0))="If finance","Ms Teh (bank) (if finance), ","")IF(INDEX('MOA role matrix'!$B$2:$D$13,11,MATCH($B106,'MOA role matrix'!$B$1:$D$1,0))="Auto","Ms Teh (bank) (auto), ","")IF(INDEX('MOA role matrix'!$B$2:$D$13,12,MATCH($B106,'MOA role matrix'!$B$1:$D$1,0))="Fill","DLCM, ","")IF(INDEX('MOA role matrix'!$B$2:$D$13,12,MATCH($B106,'MOA role matrix'!$B$1:$D$1,0))="If finance","DLCM (if finance), ","")IF(INDEX('MOA role matrix'!$B$2:$D$13,12,MATCH($B106,'MOA role matrix'!$B$1:$D$1,0))="Auto","DLCM (auto), ","")))</f>
        <v/>
      </c>
      <c r="D106" s="5">
        <f>IF($A106="","",IFERROR(INDEX(FILTER('Client contacts'!$B$2:$B$500,('Client contacts'!$A$2:$A$500=$A106)*('Client contacts'!$H$2:$H$500="Y"),""),1),""))</f>
        <v/>
      </c>
      <c r="E106" s="5">
        <f>IF($A106="","",IFERROR(INDEX(FILTER('Client contacts'!$C$2:$C$500,('Client contacts'!$A$2:$A$500=$A106)*('Client contacts'!$H$2:$H$500="Y"),""),1),""))</f>
        <v/>
      </c>
      <c r="F106" s="5">
        <f>IF($A106="","",IFERROR(INDEX(FILTER('Client contacts'!$B$2:$B$500,('Client contacts'!$A$2:$A$500=$A106)*('Client contacts'!$G$2:$G$500="Y"),""),1),""))</f>
        <v/>
      </c>
      <c r="G106" s="5">
        <f>IF($A106="","",IFERROR(INDEX(FILTER('Client contacts'!$C$2:$C$500,('Client contacts'!$A$2:$A$500=$A106)*('Client contacts'!$G$2:$G$500="Y"),""),1),""))</f>
        <v/>
      </c>
      <c r="H106" s="5">
        <f>IF($A106="","",IFERROR(INDEX(FILTER('Client contacts'!$B$2:$B$500,('Client contacts'!$A$2:$A$500=$A106)*('Client contacts'!$G$2:$G$500="Y"),""),2),""))</f>
        <v/>
      </c>
      <c r="I106" s="5">
        <f>IF($A106="","",IFERROR(INDEX(FILTER('Client contacts'!$C$2:$C$500,('Client contacts'!$A$2:$A$500=$A106)*('Client contacts'!$G$2:$G$500="Y"),""),2),""))</f>
        <v/>
      </c>
      <c r="J106" s="8" t="n"/>
      <c r="K106" s="8" t="n"/>
      <c r="L106" s="8" t="n"/>
      <c r="M106" s="8" t="n"/>
      <c r="N106" s="8" t="n"/>
      <c r="O106" s="8" t="n"/>
      <c r="P106" s="8" t="n"/>
      <c r="Q106" s="8" t="n"/>
      <c r="R106" s="5">
        <f>IF($A106="","",IFERROR(INDEX(Companies!$I$2:$I$500,MATCH($A106,Companies!$A$2:$A$500,0)),""))</f>
        <v/>
      </c>
      <c r="S106" s="8" t="n"/>
      <c r="T106" s="8" t="n"/>
      <c r="U106" s="8" t="n"/>
      <c r="V106" s="8" t="n"/>
      <c r="W106" s="8" t="n"/>
    </row>
    <row r="107">
      <c r="C107" s="5">
        <f>IF($B107="","",TRIM(IF(INDEX('MOA role matrix'!$B$2:$D$13,1,MATCH($B107,'MOA role matrix'!$B$1:$D$1,0))="Fill","Project initiator, ","")IF(INDEX('MOA role matrix'!$B$2:$D$13,1,MATCH($B107,'MOA role matrix'!$B$1:$D$1,0))="If finance","Project initiator (if finance), ","")IF(INDEX('MOA role matrix'!$B$2:$D$13,1,MATCH($B107,'MOA role matrix'!$B$1:$D$1,0))="Auto","Project initiator (auto), ","")IF(INDEX('MOA role matrix'!$B$2:$D$13,2,MATCH($B107,'MOA role matrix'!$B$1:$D$1,0))="Fill","MOA signers (client), ","")IF(INDEX('MOA role matrix'!$B$2:$D$13,2,MATCH($B107,'MOA role matrix'!$B$1:$D$1,0))="If finance","MOA signers (client) (if finance), ","")IF(INDEX('MOA role matrix'!$B$2:$D$13,2,MATCH($B107,'MOA role matrix'!$B$1:$D$1,0))="Auto","MOA signers (client) (auto), ","")IF(INDEX('MOA role matrix'!$B$2:$D$13,3,MATCH($B107,'MOA role matrix'!$B$1:$D$1,0))="Fill","CFO / Head of Finance, ","")IF(INDEX('MOA role matrix'!$B$2:$D$13,3,MATCH($B107,'MOA role matrix'!$B$1:$D$1,0))="If finance","CFO / Head of Finance (if finance), ","")IF(INDEX('MOA role matrix'!$B$2:$D$13,3,MATCH($B107,'MOA role matrix'!$B$1:$D$1,0))="Auto","CFO / Head of Finance (auto), ","")IF(INDEX('MOA role matrix'!$B$2:$D$13,4,MATCH($B107,'MOA role matrix'!$B$1:$D$1,0))="Fill","CEO / COO / GM, ","")IF(INDEX('MOA role matrix'!$B$2:$D$13,4,MATCH($B107,'MOA role matrix'!$B$1:$D$1,0))="If finance","CEO / COO / GM (if finance), ","")IF(INDEX('MOA role matrix'!$B$2:$D$13,4,MATCH($B107,'MOA role matrix'!$B$1:$D$1,0))="Auto","CEO / COO / GM (auto), ","")IF(INDEX('MOA role matrix'!$B$2:$D$13,5,MATCH($B107,'MOA role matrix'!$B$1:$D$1,0))="Fill","Board member 1, ","")IF(INDEX('MOA role matrix'!$B$2:$D$13,5,MATCH($B107,'MOA role matrix'!$B$1:$D$1,0))="If finance","Board member 1 (if finance), ","")IF(INDEX('MOA role matrix'!$B$2:$D$13,5,MATCH($B107,'MOA role matrix'!$B$1:$D$1,0))="Auto","Board member 1 (auto), ","")IF(INDEX('MOA role matrix'!$B$2:$D$13,6,MATCH($B107,'MOA role matrix'!$B$1:$D$1,0))="Fill","Board member 2, ","")IF(INDEX('MOA role matrix'!$B$2:$D$13,6,MATCH($B107,'MOA role matrix'!$B$1:$D$1,0))="If finance","Board member 2 (if finance), ","")IF(INDEX('MOA role matrix'!$B$2:$D$13,6,MATCH($B107,'MOA role matrix'!$B$1:$D$1,0))="Auto","Board member 2 (auto), ","")IF(INDEX('MOA role matrix'!$B$2:$D$13,7,MATCH($B107,'MOA role matrix'!$B$1:$D$1,0))="Fill","LOA holder 1, ","")IF(INDEX('MOA role matrix'!$B$2:$D$13,7,MATCH($B107,'MOA role matrix'!$B$1:$D$1,0))="If finance","LOA holder 1 (if finance), ","")IF(INDEX('MOA role matrix'!$B$2:$D$13,7,MATCH($B107,'MOA role matrix'!$B$1:$D$1,0))="Auto","LOA holder 1 (auto), ","")IF(INDEX('MOA role matrix'!$B$2:$D$13,8,MATCH($B107,'MOA role matrix'!$B$1:$D$1,0))="Fill","LOA holder 2, ","")IF(INDEX('MOA role matrix'!$B$2:$D$13,8,MATCH($B107,'MOA role matrix'!$B$1:$D$1,0))="If finance","LOA holder 2 (if finance), ","")IF(INDEX('MOA role matrix'!$B$2:$D$13,8,MATCH($B107,'MOA role matrix'!$B$1:$D$1,0))="Auto","LOA holder 2 (auto), ","")IF(INDEX('MOA role matrix'!$B$2:$D$13,9,MATCH($B107,'MOA role matrix'!$B$1:$D$1,0))="Fill","Senior Manager CoSec, ","")IF(INDEX('MOA role matrix'!$B$2:$D$13,9,MATCH($B107,'MOA role matrix'!$B$1:$D$1,0))="If finance","Senior Manager CoSec (if finance), ","")IF(INDEX('MOA role matrix'!$B$2:$D$13,9,MATCH($B107,'MOA role matrix'!$B$1:$D$1,0))="Auto","Senior Manager CoSec (auto), ","")IF(INDEX('MOA role matrix'!$B$2:$D$13,10,MATCH($B107,'MOA role matrix'!$B$1:$D$1,0))="Fill","Division MOI managers, ","")IF(INDEX('MOA role matrix'!$B$2:$D$13,10,MATCH($B107,'MOA role matrix'!$B$1:$D$1,0))="If finance","Division MOI managers (if finance), ","")IF(INDEX('MOA role matrix'!$B$2:$D$13,10,MATCH($B107,'MOA role matrix'!$B$1:$D$1,0))="Auto","Division MOI managers (auto), ","")IF(INDEX('MOA role matrix'!$B$2:$D$13,11,MATCH($B107,'MOA role matrix'!$B$1:$D$1,0))="Fill","Ms Teh (bank), ","")IF(INDEX('MOA role matrix'!$B$2:$D$13,11,MATCH($B107,'MOA role matrix'!$B$1:$D$1,0))="If finance","Ms Teh (bank) (if finance), ","")IF(INDEX('MOA role matrix'!$B$2:$D$13,11,MATCH($B107,'MOA role matrix'!$B$1:$D$1,0))="Auto","Ms Teh (bank) (auto), ","")IF(INDEX('MOA role matrix'!$B$2:$D$13,12,MATCH($B107,'MOA role matrix'!$B$1:$D$1,0))="Fill","DLCM, ","")IF(INDEX('MOA role matrix'!$B$2:$D$13,12,MATCH($B107,'MOA role matrix'!$B$1:$D$1,0))="If finance","DLCM (if finance), ","")IF(INDEX('MOA role matrix'!$B$2:$D$13,12,MATCH($B107,'MOA role matrix'!$B$1:$D$1,0))="Auto","DLCM (auto), ","")))</f>
        <v/>
      </c>
      <c r="D107" s="5">
        <f>IF($A107="","",IFERROR(INDEX(FILTER('Client contacts'!$B$2:$B$500,('Client contacts'!$A$2:$A$500=$A107)*('Client contacts'!$H$2:$H$500="Y"),""),1),""))</f>
        <v/>
      </c>
      <c r="E107" s="5">
        <f>IF($A107="","",IFERROR(INDEX(FILTER('Client contacts'!$C$2:$C$500,('Client contacts'!$A$2:$A$500=$A107)*('Client contacts'!$H$2:$H$500="Y"),""),1),""))</f>
        <v/>
      </c>
      <c r="F107" s="5">
        <f>IF($A107="","",IFERROR(INDEX(FILTER('Client contacts'!$B$2:$B$500,('Client contacts'!$A$2:$A$500=$A107)*('Client contacts'!$G$2:$G$500="Y"),""),1),""))</f>
        <v/>
      </c>
      <c r="G107" s="5">
        <f>IF($A107="","",IFERROR(INDEX(FILTER('Client contacts'!$C$2:$C$500,('Client contacts'!$A$2:$A$500=$A107)*('Client contacts'!$G$2:$G$500="Y"),""),1),""))</f>
        <v/>
      </c>
      <c r="H107" s="5">
        <f>IF($A107="","",IFERROR(INDEX(FILTER('Client contacts'!$B$2:$B$500,('Client contacts'!$A$2:$A$500=$A107)*('Client contacts'!$G$2:$G$500="Y"),""),2),""))</f>
        <v/>
      </c>
      <c r="I107" s="5">
        <f>IF($A107="","",IFERROR(INDEX(FILTER('Client contacts'!$C$2:$C$500,('Client contacts'!$A$2:$A$500=$A107)*('Client contacts'!$G$2:$G$500="Y"),""),2),""))</f>
        <v/>
      </c>
      <c r="J107" s="8" t="n"/>
      <c r="K107" s="8" t="n"/>
      <c r="L107" s="8" t="n"/>
      <c r="M107" s="8" t="n"/>
      <c r="N107" s="8" t="n"/>
      <c r="O107" s="8" t="n"/>
      <c r="P107" s="8" t="n"/>
      <c r="Q107" s="8" t="n"/>
      <c r="R107" s="5">
        <f>IF($A107="","",IFERROR(INDEX(Companies!$I$2:$I$500,MATCH($A107,Companies!$A$2:$A$500,0)),""))</f>
        <v/>
      </c>
      <c r="S107" s="8" t="n"/>
      <c r="T107" s="8" t="n"/>
      <c r="U107" s="8" t="n"/>
      <c r="V107" s="8" t="n"/>
      <c r="W107" s="8" t="n"/>
    </row>
    <row r="108">
      <c r="C108" s="5">
        <f>IF($B108="","",TRIM(IF(INDEX('MOA role matrix'!$B$2:$D$13,1,MATCH($B108,'MOA role matrix'!$B$1:$D$1,0))="Fill","Project initiator, ","")IF(INDEX('MOA role matrix'!$B$2:$D$13,1,MATCH($B108,'MOA role matrix'!$B$1:$D$1,0))="If finance","Project initiator (if finance), ","")IF(INDEX('MOA role matrix'!$B$2:$D$13,1,MATCH($B108,'MOA role matrix'!$B$1:$D$1,0))="Auto","Project initiator (auto), ","")IF(INDEX('MOA role matrix'!$B$2:$D$13,2,MATCH($B108,'MOA role matrix'!$B$1:$D$1,0))="Fill","MOA signers (client), ","")IF(INDEX('MOA role matrix'!$B$2:$D$13,2,MATCH($B108,'MOA role matrix'!$B$1:$D$1,0))="If finance","MOA signers (client) (if finance), ","")IF(INDEX('MOA role matrix'!$B$2:$D$13,2,MATCH($B108,'MOA role matrix'!$B$1:$D$1,0))="Auto","MOA signers (client) (auto), ","")IF(INDEX('MOA role matrix'!$B$2:$D$13,3,MATCH($B108,'MOA role matrix'!$B$1:$D$1,0))="Fill","CFO / Head of Finance, ","")IF(INDEX('MOA role matrix'!$B$2:$D$13,3,MATCH($B108,'MOA role matrix'!$B$1:$D$1,0))="If finance","CFO / Head of Finance (if finance), ","")IF(INDEX('MOA role matrix'!$B$2:$D$13,3,MATCH($B108,'MOA role matrix'!$B$1:$D$1,0))="Auto","CFO / Head of Finance (auto), ","")IF(INDEX('MOA role matrix'!$B$2:$D$13,4,MATCH($B108,'MOA role matrix'!$B$1:$D$1,0))="Fill","CEO / COO / GM, ","")IF(INDEX('MOA role matrix'!$B$2:$D$13,4,MATCH($B108,'MOA role matrix'!$B$1:$D$1,0))="If finance","CEO / COO / GM (if finance), ","")IF(INDEX('MOA role matrix'!$B$2:$D$13,4,MATCH($B108,'MOA role matrix'!$B$1:$D$1,0))="Auto","CEO / COO / GM (auto), ","")IF(INDEX('MOA role matrix'!$B$2:$D$13,5,MATCH($B108,'MOA role matrix'!$B$1:$D$1,0))="Fill","Board member 1, ","")IF(INDEX('MOA role matrix'!$B$2:$D$13,5,MATCH($B108,'MOA role matrix'!$B$1:$D$1,0))="If finance","Board member 1 (if finance), ","")IF(INDEX('MOA role matrix'!$B$2:$D$13,5,MATCH($B108,'MOA role matrix'!$B$1:$D$1,0))="Auto","Board member 1 (auto), ","")IF(INDEX('MOA role matrix'!$B$2:$D$13,6,MATCH($B108,'MOA role matrix'!$B$1:$D$1,0))="Fill","Board member 2, ","")IF(INDEX('MOA role matrix'!$B$2:$D$13,6,MATCH($B108,'MOA role matrix'!$B$1:$D$1,0))="If finance","Board member 2 (if finance), ","")IF(INDEX('MOA role matrix'!$B$2:$D$13,6,MATCH($B108,'MOA role matrix'!$B$1:$D$1,0))="Auto","Board member 2 (auto), ","")IF(INDEX('MOA role matrix'!$B$2:$D$13,7,MATCH($B108,'MOA role matrix'!$B$1:$D$1,0))="Fill","LOA holder 1, ","")IF(INDEX('MOA role matrix'!$B$2:$D$13,7,MATCH($B108,'MOA role matrix'!$B$1:$D$1,0))="If finance","LOA holder 1 (if finance), ","")IF(INDEX('MOA role matrix'!$B$2:$D$13,7,MATCH($B108,'MOA role matrix'!$B$1:$D$1,0))="Auto","LOA holder 1 (auto), ","")IF(INDEX('MOA role matrix'!$B$2:$D$13,8,MATCH($B108,'MOA role matrix'!$B$1:$D$1,0))="Fill","LOA holder 2, ","")IF(INDEX('MOA role matrix'!$B$2:$D$13,8,MATCH($B108,'MOA role matrix'!$B$1:$D$1,0))="If finance","LOA holder 2 (if finance), ","")IF(INDEX('MOA role matrix'!$B$2:$D$13,8,MATCH($B108,'MOA role matrix'!$B$1:$D$1,0))="Auto","LOA holder 2 (auto), ","")IF(INDEX('MOA role matrix'!$B$2:$D$13,9,MATCH($B108,'MOA role matrix'!$B$1:$D$1,0))="Fill","Senior Manager CoSec, ","")IF(INDEX('MOA role matrix'!$B$2:$D$13,9,MATCH($B108,'MOA role matrix'!$B$1:$D$1,0))="If finance","Senior Manager CoSec (if finance), ","")IF(INDEX('MOA role matrix'!$B$2:$D$13,9,MATCH($B108,'MOA role matrix'!$B$1:$D$1,0))="Auto","Senior Manager CoSec (auto), ","")IF(INDEX('MOA role matrix'!$B$2:$D$13,10,MATCH($B108,'MOA role matrix'!$B$1:$D$1,0))="Fill","Division MOI managers, ","")IF(INDEX('MOA role matrix'!$B$2:$D$13,10,MATCH($B108,'MOA role matrix'!$B$1:$D$1,0))="If finance","Division MOI managers (if finance), ","")IF(INDEX('MOA role matrix'!$B$2:$D$13,10,MATCH($B108,'MOA role matrix'!$B$1:$D$1,0))="Auto","Division MOI managers (auto), ","")IF(INDEX('MOA role matrix'!$B$2:$D$13,11,MATCH($B108,'MOA role matrix'!$B$1:$D$1,0))="Fill","Ms Teh (bank), ","")IF(INDEX('MOA role matrix'!$B$2:$D$13,11,MATCH($B108,'MOA role matrix'!$B$1:$D$1,0))="If finance","Ms Teh (bank) (if finance), ","")IF(INDEX('MOA role matrix'!$B$2:$D$13,11,MATCH($B108,'MOA role matrix'!$B$1:$D$1,0))="Auto","Ms Teh (bank) (auto), ","")IF(INDEX('MOA role matrix'!$B$2:$D$13,12,MATCH($B108,'MOA role matrix'!$B$1:$D$1,0))="Fill","DLCM, ","")IF(INDEX('MOA role matrix'!$B$2:$D$13,12,MATCH($B108,'MOA role matrix'!$B$1:$D$1,0))="If finance","DLCM (if finance), ","")IF(INDEX('MOA role matrix'!$B$2:$D$13,12,MATCH($B108,'MOA role matrix'!$B$1:$D$1,0))="Auto","DLCM (auto), ","")))</f>
        <v/>
      </c>
      <c r="D108" s="5">
        <f>IF($A108="","",IFERROR(INDEX(FILTER('Client contacts'!$B$2:$B$500,('Client contacts'!$A$2:$A$500=$A108)*('Client contacts'!$H$2:$H$500="Y"),""),1),""))</f>
        <v/>
      </c>
      <c r="E108" s="5">
        <f>IF($A108="","",IFERROR(INDEX(FILTER('Client contacts'!$C$2:$C$500,('Client contacts'!$A$2:$A$500=$A108)*('Client contacts'!$H$2:$H$500="Y"),""),1),""))</f>
        <v/>
      </c>
      <c r="F108" s="5">
        <f>IF($A108="","",IFERROR(INDEX(FILTER('Client contacts'!$B$2:$B$500,('Client contacts'!$A$2:$A$500=$A108)*('Client contacts'!$G$2:$G$500="Y"),""),1),""))</f>
        <v/>
      </c>
      <c r="G108" s="5">
        <f>IF($A108="","",IFERROR(INDEX(FILTER('Client contacts'!$C$2:$C$500,('Client contacts'!$A$2:$A$500=$A108)*('Client contacts'!$G$2:$G$500="Y"),""),1),""))</f>
        <v/>
      </c>
      <c r="H108" s="5">
        <f>IF($A108="","",IFERROR(INDEX(FILTER('Client contacts'!$B$2:$B$500,('Client contacts'!$A$2:$A$500=$A108)*('Client contacts'!$G$2:$G$500="Y"),""),2),""))</f>
        <v/>
      </c>
      <c r="I108" s="5">
        <f>IF($A108="","",IFERROR(INDEX(FILTER('Client contacts'!$C$2:$C$500,('Client contacts'!$A$2:$A$500=$A108)*('Client contacts'!$G$2:$G$500="Y"),""),2),""))</f>
        <v/>
      </c>
      <c r="J108" s="8" t="n"/>
      <c r="K108" s="8" t="n"/>
      <c r="L108" s="8" t="n"/>
      <c r="M108" s="8" t="n"/>
      <c r="N108" s="8" t="n"/>
      <c r="O108" s="8" t="n"/>
      <c r="P108" s="8" t="n"/>
      <c r="Q108" s="8" t="n"/>
      <c r="R108" s="5">
        <f>IF($A108="","",IFERROR(INDEX(Companies!$I$2:$I$500,MATCH($A108,Companies!$A$2:$A$500,0)),""))</f>
        <v/>
      </c>
      <c r="S108" s="8" t="n"/>
      <c r="T108" s="8" t="n"/>
      <c r="U108" s="8" t="n"/>
      <c r="V108" s="8" t="n"/>
      <c r="W108" s="8" t="n"/>
    </row>
    <row r="109">
      <c r="C109" s="5">
        <f>IF($B109="","",TRIM(IF(INDEX('MOA role matrix'!$B$2:$D$13,1,MATCH($B109,'MOA role matrix'!$B$1:$D$1,0))="Fill","Project initiator, ","")IF(INDEX('MOA role matrix'!$B$2:$D$13,1,MATCH($B109,'MOA role matrix'!$B$1:$D$1,0))="If finance","Project initiator (if finance), ","")IF(INDEX('MOA role matrix'!$B$2:$D$13,1,MATCH($B109,'MOA role matrix'!$B$1:$D$1,0))="Auto","Project initiator (auto), ","")IF(INDEX('MOA role matrix'!$B$2:$D$13,2,MATCH($B109,'MOA role matrix'!$B$1:$D$1,0))="Fill","MOA signers (client), ","")IF(INDEX('MOA role matrix'!$B$2:$D$13,2,MATCH($B109,'MOA role matrix'!$B$1:$D$1,0))="If finance","MOA signers (client) (if finance), ","")IF(INDEX('MOA role matrix'!$B$2:$D$13,2,MATCH($B109,'MOA role matrix'!$B$1:$D$1,0))="Auto","MOA signers (client) (auto), ","")IF(INDEX('MOA role matrix'!$B$2:$D$13,3,MATCH($B109,'MOA role matrix'!$B$1:$D$1,0))="Fill","CFO / Head of Finance, ","")IF(INDEX('MOA role matrix'!$B$2:$D$13,3,MATCH($B109,'MOA role matrix'!$B$1:$D$1,0))="If finance","CFO / Head of Finance (if finance), ","")IF(INDEX('MOA role matrix'!$B$2:$D$13,3,MATCH($B109,'MOA role matrix'!$B$1:$D$1,0))="Auto","CFO / Head of Finance (auto), ","")IF(INDEX('MOA role matrix'!$B$2:$D$13,4,MATCH($B109,'MOA role matrix'!$B$1:$D$1,0))="Fill","CEO / COO / GM, ","")IF(INDEX('MOA role matrix'!$B$2:$D$13,4,MATCH($B109,'MOA role matrix'!$B$1:$D$1,0))="If finance","CEO / COO / GM (if finance), ","")IF(INDEX('MOA role matrix'!$B$2:$D$13,4,MATCH($B109,'MOA role matrix'!$B$1:$D$1,0))="Auto","CEO / COO / GM (auto), ","")IF(INDEX('MOA role matrix'!$B$2:$D$13,5,MATCH($B109,'MOA role matrix'!$B$1:$D$1,0))="Fill","Board member 1, ","")IF(INDEX('MOA role matrix'!$B$2:$D$13,5,MATCH($B109,'MOA role matrix'!$B$1:$D$1,0))="If finance","Board member 1 (if finance), ","")IF(INDEX('MOA role matrix'!$B$2:$D$13,5,MATCH($B109,'MOA role matrix'!$B$1:$D$1,0))="Auto","Board member 1 (auto), ","")IF(INDEX('MOA role matrix'!$B$2:$D$13,6,MATCH($B109,'MOA role matrix'!$B$1:$D$1,0))="Fill","Board member 2, ","")IF(INDEX('MOA role matrix'!$B$2:$D$13,6,MATCH($B109,'MOA role matrix'!$B$1:$D$1,0))="If finance","Board member 2 (if finance), ","")IF(INDEX('MOA role matrix'!$B$2:$D$13,6,MATCH($B109,'MOA role matrix'!$B$1:$D$1,0))="Auto","Board member 2 (auto), ","")IF(INDEX('MOA role matrix'!$B$2:$D$13,7,MATCH($B109,'MOA role matrix'!$B$1:$D$1,0))="Fill","LOA holder 1, ","")IF(INDEX('MOA role matrix'!$B$2:$D$13,7,MATCH($B109,'MOA role matrix'!$B$1:$D$1,0))="If finance","LOA holder 1 (if finance), ","")IF(INDEX('MOA role matrix'!$B$2:$D$13,7,MATCH($B109,'MOA role matrix'!$B$1:$D$1,0))="Auto","LOA holder 1 (auto), ","")IF(INDEX('MOA role matrix'!$B$2:$D$13,8,MATCH($B109,'MOA role matrix'!$B$1:$D$1,0))="Fill","LOA holder 2, ","")IF(INDEX('MOA role matrix'!$B$2:$D$13,8,MATCH($B109,'MOA role matrix'!$B$1:$D$1,0))="If finance","LOA holder 2 (if finance), ","")IF(INDEX('MOA role matrix'!$B$2:$D$13,8,MATCH($B109,'MOA role matrix'!$B$1:$D$1,0))="Auto","LOA holder 2 (auto), ","")IF(INDEX('MOA role matrix'!$B$2:$D$13,9,MATCH($B109,'MOA role matrix'!$B$1:$D$1,0))="Fill","Senior Manager CoSec, ","")IF(INDEX('MOA role matrix'!$B$2:$D$13,9,MATCH($B109,'MOA role matrix'!$B$1:$D$1,0))="If finance","Senior Manager CoSec (if finance), ","")IF(INDEX('MOA role matrix'!$B$2:$D$13,9,MATCH($B109,'MOA role matrix'!$B$1:$D$1,0))="Auto","Senior Manager CoSec (auto), ","")IF(INDEX('MOA role matrix'!$B$2:$D$13,10,MATCH($B109,'MOA role matrix'!$B$1:$D$1,0))="Fill","Division MOI managers, ","")IF(INDEX('MOA role matrix'!$B$2:$D$13,10,MATCH($B109,'MOA role matrix'!$B$1:$D$1,0))="If finance","Division MOI managers (if finance), ","")IF(INDEX('MOA role matrix'!$B$2:$D$13,10,MATCH($B109,'MOA role matrix'!$B$1:$D$1,0))="Auto","Division MOI managers (auto), ","")IF(INDEX('MOA role matrix'!$B$2:$D$13,11,MATCH($B109,'MOA role matrix'!$B$1:$D$1,0))="Fill","Ms Teh (bank), ","")IF(INDEX('MOA role matrix'!$B$2:$D$13,11,MATCH($B109,'MOA role matrix'!$B$1:$D$1,0))="If finance","Ms Teh (bank) (if finance), ","")IF(INDEX('MOA role matrix'!$B$2:$D$13,11,MATCH($B109,'MOA role matrix'!$B$1:$D$1,0))="Auto","Ms Teh (bank) (auto), ","")IF(INDEX('MOA role matrix'!$B$2:$D$13,12,MATCH($B109,'MOA role matrix'!$B$1:$D$1,0))="Fill","DLCM, ","")IF(INDEX('MOA role matrix'!$B$2:$D$13,12,MATCH($B109,'MOA role matrix'!$B$1:$D$1,0))="If finance","DLCM (if finance), ","")IF(INDEX('MOA role matrix'!$B$2:$D$13,12,MATCH($B109,'MOA role matrix'!$B$1:$D$1,0))="Auto","DLCM (auto), ","")))</f>
        <v/>
      </c>
      <c r="D109" s="5">
        <f>IF($A109="","",IFERROR(INDEX(FILTER('Client contacts'!$B$2:$B$500,('Client contacts'!$A$2:$A$500=$A109)*('Client contacts'!$H$2:$H$500="Y"),""),1),""))</f>
        <v/>
      </c>
      <c r="E109" s="5">
        <f>IF($A109="","",IFERROR(INDEX(FILTER('Client contacts'!$C$2:$C$500,('Client contacts'!$A$2:$A$500=$A109)*('Client contacts'!$H$2:$H$500="Y"),""),1),""))</f>
        <v/>
      </c>
      <c r="F109" s="5">
        <f>IF($A109="","",IFERROR(INDEX(FILTER('Client contacts'!$B$2:$B$500,('Client contacts'!$A$2:$A$500=$A109)*('Client contacts'!$G$2:$G$500="Y"),""),1),""))</f>
        <v/>
      </c>
      <c r="G109" s="5">
        <f>IF($A109="","",IFERROR(INDEX(FILTER('Client contacts'!$C$2:$C$500,('Client contacts'!$A$2:$A$500=$A109)*('Client contacts'!$G$2:$G$500="Y"),""),1),""))</f>
        <v/>
      </c>
      <c r="H109" s="5">
        <f>IF($A109="","",IFERROR(INDEX(FILTER('Client contacts'!$B$2:$B$500,('Client contacts'!$A$2:$A$500=$A109)*('Client contacts'!$G$2:$G$500="Y"),""),2),""))</f>
        <v/>
      </c>
      <c r="I109" s="5">
        <f>IF($A109="","",IFERROR(INDEX(FILTER('Client contacts'!$C$2:$C$500,('Client contacts'!$A$2:$A$500=$A109)*('Client contacts'!$G$2:$G$500="Y"),""),2),""))</f>
        <v/>
      </c>
      <c r="J109" s="8" t="n"/>
      <c r="K109" s="8" t="n"/>
      <c r="L109" s="8" t="n"/>
      <c r="M109" s="8" t="n"/>
      <c r="N109" s="8" t="n"/>
      <c r="O109" s="8" t="n"/>
      <c r="P109" s="8" t="n"/>
      <c r="Q109" s="8" t="n"/>
      <c r="R109" s="5">
        <f>IF($A109="","",IFERROR(INDEX(Companies!$I$2:$I$500,MATCH($A109,Companies!$A$2:$A$500,0)),""))</f>
        <v/>
      </c>
      <c r="S109" s="8" t="n"/>
      <c r="T109" s="8" t="n"/>
      <c r="U109" s="8" t="n"/>
      <c r="V109" s="8" t="n"/>
      <c r="W109" s="8" t="n"/>
    </row>
    <row r="110">
      <c r="C110" s="5">
        <f>IF($B110="","",TRIM(IF(INDEX('MOA role matrix'!$B$2:$D$13,1,MATCH($B110,'MOA role matrix'!$B$1:$D$1,0))="Fill","Project initiator, ","")IF(INDEX('MOA role matrix'!$B$2:$D$13,1,MATCH($B110,'MOA role matrix'!$B$1:$D$1,0))="If finance","Project initiator (if finance), ","")IF(INDEX('MOA role matrix'!$B$2:$D$13,1,MATCH($B110,'MOA role matrix'!$B$1:$D$1,0))="Auto","Project initiator (auto), ","")IF(INDEX('MOA role matrix'!$B$2:$D$13,2,MATCH($B110,'MOA role matrix'!$B$1:$D$1,0))="Fill","MOA signers (client), ","")IF(INDEX('MOA role matrix'!$B$2:$D$13,2,MATCH($B110,'MOA role matrix'!$B$1:$D$1,0))="If finance","MOA signers (client) (if finance), ","")IF(INDEX('MOA role matrix'!$B$2:$D$13,2,MATCH($B110,'MOA role matrix'!$B$1:$D$1,0))="Auto","MOA signers (client) (auto), ","")IF(INDEX('MOA role matrix'!$B$2:$D$13,3,MATCH($B110,'MOA role matrix'!$B$1:$D$1,0))="Fill","CFO / Head of Finance, ","")IF(INDEX('MOA role matrix'!$B$2:$D$13,3,MATCH($B110,'MOA role matrix'!$B$1:$D$1,0))="If finance","CFO / Head of Finance (if finance), ","")IF(INDEX('MOA role matrix'!$B$2:$D$13,3,MATCH($B110,'MOA role matrix'!$B$1:$D$1,0))="Auto","CFO / Head of Finance (auto), ","")IF(INDEX('MOA role matrix'!$B$2:$D$13,4,MATCH($B110,'MOA role matrix'!$B$1:$D$1,0))="Fill","CEO / COO / GM, ","")IF(INDEX('MOA role matrix'!$B$2:$D$13,4,MATCH($B110,'MOA role matrix'!$B$1:$D$1,0))="If finance","CEO / COO / GM (if finance), ","")IF(INDEX('MOA role matrix'!$B$2:$D$13,4,MATCH($B110,'MOA role matrix'!$B$1:$D$1,0))="Auto","CEO / COO / GM (auto), ","")IF(INDEX('MOA role matrix'!$B$2:$D$13,5,MATCH($B110,'MOA role matrix'!$B$1:$D$1,0))="Fill","Board member 1, ","")IF(INDEX('MOA role matrix'!$B$2:$D$13,5,MATCH($B110,'MOA role matrix'!$B$1:$D$1,0))="If finance","Board member 1 (if finance), ","")IF(INDEX('MOA role matrix'!$B$2:$D$13,5,MATCH($B110,'MOA role matrix'!$B$1:$D$1,0))="Auto","Board member 1 (auto), ","")IF(INDEX('MOA role matrix'!$B$2:$D$13,6,MATCH($B110,'MOA role matrix'!$B$1:$D$1,0))="Fill","Board member 2, ","")IF(INDEX('MOA role matrix'!$B$2:$D$13,6,MATCH($B110,'MOA role matrix'!$B$1:$D$1,0))="If finance","Board member 2 (if finance), ","")IF(INDEX('MOA role matrix'!$B$2:$D$13,6,MATCH($B110,'MOA role matrix'!$B$1:$D$1,0))="Auto","Board member 2 (auto), ","")IF(INDEX('MOA role matrix'!$B$2:$D$13,7,MATCH($B110,'MOA role matrix'!$B$1:$D$1,0))="Fill","LOA holder 1, ","")IF(INDEX('MOA role matrix'!$B$2:$D$13,7,MATCH($B110,'MOA role matrix'!$B$1:$D$1,0))="If finance","LOA holder 1 (if finance), ","")IF(INDEX('MOA role matrix'!$B$2:$D$13,7,MATCH($B110,'MOA role matrix'!$B$1:$D$1,0))="Auto","LOA holder 1 (auto), ","")IF(INDEX('MOA role matrix'!$B$2:$D$13,8,MATCH($B110,'MOA role matrix'!$B$1:$D$1,0))="Fill","LOA holder 2, ","")IF(INDEX('MOA role matrix'!$B$2:$D$13,8,MATCH($B110,'MOA role matrix'!$B$1:$D$1,0))="If finance","LOA holder 2 (if finance), ","")IF(INDEX('MOA role matrix'!$B$2:$D$13,8,MATCH($B110,'MOA role matrix'!$B$1:$D$1,0))="Auto","LOA holder 2 (auto), ","")IF(INDEX('MOA role matrix'!$B$2:$D$13,9,MATCH($B110,'MOA role matrix'!$B$1:$D$1,0))="Fill","Senior Manager CoSec, ","")IF(INDEX('MOA role matrix'!$B$2:$D$13,9,MATCH($B110,'MOA role matrix'!$B$1:$D$1,0))="If finance","Senior Manager CoSec (if finance), ","")IF(INDEX('MOA role matrix'!$B$2:$D$13,9,MATCH($B110,'MOA role matrix'!$B$1:$D$1,0))="Auto","Senior Manager CoSec (auto), ","")IF(INDEX('MOA role matrix'!$B$2:$D$13,10,MATCH($B110,'MOA role matrix'!$B$1:$D$1,0))="Fill","Division MOI managers, ","")IF(INDEX('MOA role matrix'!$B$2:$D$13,10,MATCH($B110,'MOA role matrix'!$B$1:$D$1,0))="If finance","Division MOI managers (if finance), ","")IF(INDEX('MOA role matrix'!$B$2:$D$13,10,MATCH($B110,'MOA role matrix'!$B$1:$D$1,0))="Auto","Division MOI managers (auto), ","")IF(INDEX('MOA role matrix'!$B$2:$D$13,11,MATCH($B110,'MOA role matrix'!$B$1:$D$1,0))="Fill","Ms Teh (bank), ","")IF(INDEX('MOA role matrix'!$B$2:$D$13,11,MATCH($B110,'MOA role matrix'!$B$1:$D$1,0))="If finance","Ms Teh (bank) (if finance), ","")IF(INDEX('MOA role matrix'!$B$2:$D$13,11,MATCH($B110,'MOA role matrix'!$B$1:$D$1,0))="Auto","Ms Teh (bank) (auto), ","")IF(INDEX('MOA role matrix'!$B$2:$D$13,12,MATCH($B110,'MOA role matrix'!$B$1:$D$1,0))="Fill","DLCM, ","")IF(INDEX('MOA role matrix'!$B$2:$D$13,12,MATCH($B110,'MOA role matrix'!$B$1:$D$1,0))="If finance","DLCM (if finance), ","")IF(INDEX('MOA role matrix'!$B$2:$D$13,12,MATCH($B110,'MOA role matrix'!$B$1:$D$1,0))="Auto","DLCM (auto), ","")))</f>
        <v/>
      </c>
      <c r="D110" s="5">
        <f>IF($A110="","",IFERROR(INDEX(FILTER('Client contacts'!$B$2:$B$500,('Client contacts'!$A$2:$A$500=$A110)*('Client contacts'!$H$2:$H$500="Y"),""),1),""))</f>
        <v/>
      </c>
      <c r="E110" s="5">
        <f>IF($A110="","",IFERROR(INDEX(FILTER('Client contacts'!$C$2:$C$500,('Client contacts'!$A$2:$A$500=$A110)*('Client contacts'!$H$2:$H$500="Y"),""),1),""))</f>
        <v/>
      </c>
      <c r="F110" s="5">
        <f>IF($A110="","",IFERROR(INDEX(FILTER('Client contacts'!$B$2:$B$500,('Client contacts'!$A$2:$A$500=$A110)*('Client contacts'!$G$2:$G$500="Y"),""),1),""))</f>
        <v/>
      </c>
      <c r="G110" s="5">
        <f>IF($A110="","",IFERROR(INDEX(FILTER('Client contacts'!$C$2:$C$500,('Client contacts'!$A$2:$A$500=$A110)*('Client contacts'!$G$2:$G$500="Y"),""),1),""))</f>
        <v/>
      </c>
      <c r="H110" s="5">
        <f>IF($A110="","",IFERROR(INDEX(FILTER('Client contacts'!$B$2:$B$500,('Client contacts'!$A$2:$A$500=$A110)*('Client contacts'!$G$2:$G$500="Y"),""),2),""))</f>
        <v/>
      </c>
      <c r="I110" s="5">
        <f>IF($A110="","",IFERROR(INDEX(FILTER('Client contacts'!$C$2:$C$500,('Client contacts'!$A$2:$A$500=$A110)*('Client contacts'!$G$2:$G$500="Y"),""),2),""))</f>
        <v/>
      </c>
      <c r="J110" s="8" t="n"/>
      <c r="K110" s="8" t="n"/>
      <c r="L110" s="8" t="n"/>
      <c r="M110" s="8" t="n"/>
      <c r="N110" s="8" t="n"/>
      <c r="O110" s="8" t="n"/>
      <c r="P110" s="8" t="n"/>
      <c r="Q110" s="8" t="n"/>
      <c r="R110" s="5">
        <f>IF($A110="","",IFERROR(INDEX(Companies!$I$2:$I$500,MATCH($A110,Companies!$A$2:$A$500,0)),""))</f>
        <v/>
      </c>
      <c r="S110" s="8" t="n"/>
      <c r="T110" s="8" t="n"/>
      <c r="U110" s="8" t="n"/>
      <c r="V110" s="8" t="n"/>
      <c r="W110" s="8" t="n"/>
    </row>
    <row r="111">
      <c r="C111" s="5">
        <f>IF($B111="","",TRIM(IF(INDEX('MOA role matrix'!$B$2:$D$13,1,MATCH($B111,'MOA role matrix'!$B$1:$D$1,0))="Fill","Project initiator, ","")IF(INDEX('MOA role matrix'!$B$2:$D$13,1,MATCH($B111,'MOA role matrix'!$B$1:$D$1,0))="If finance","Project initiator (if finance), ","")IF(INDEX('MOA role matrix'!$B$2:$D$13,1,MATCH($B111,'MOA role matrix'!$B$1:$D$1,0))="Auto","Project initiator (auto), ","")IF(INDEX('MOA role matrix'!$B$2:$D$13,2,MATCH($B111,'MOA role matrix'!$B$1:$D$1,0))="Fill","MOA signers (client), ","")IF(INDEX('MOA role matrix'!$B$2:$D$13,2,MATCH($B111,'MOA role matrix'!$B$1:$D$1,0))="If finance","MOA signers (client) (if finance), ","")IF(INDEX('MOA role matrix'!$B$2:$D$13,2,MATCH($B111,'MOA role matrix'!$B$1:$D$1,0))="Auto","MOA signers (client) (auto), ","")IF(INDEX('MOA role matrix'!$B$2:$D$13,3,MATCH($B111,'MOA role matrix'!$B$1:$D$1,0))="Fill","CFO / Head of Finance, ","")IF(INDEX('MOA role matrix'!$B$2:$D$13,3,MATCH($B111,'MOA role matrix'!$B$1:$D$1,0))="If finance","CFO / Head of Finance (if finance), ","")IF(INDEX('MOA role matrix'!$B$2:$D$13,3,MATCH($B111,'MOA role matrix'!$B$1:$D$1,0))="Auto","CFO / Head of Finance (auto), ","")IF(INDEX('MOA role matrix'!$B$2:$D$13,4,MATCH($B111,'MOA role matrix'!$B$1:$D$1,0))="Fill","CEO / COO / GM, ","")IF(INDEX('MOA role matrix'!$B$2:$D$13,4,MATCH($B111,'MOA role matrix'!$B$1:$D$1,0))="If finance","CEO / COO / GM (if finance), ","")IF(INDEX('MOA role matrix'!$B$2:$D$13,4,MATCH($B111,'MOA role matrix'!$B$1:$D$1,0))="Auto","CEO / COO / GM (auto), ","")IF(INDEX('MOA role matrix'!$B$2:$D$13,5,MATCH($B111,'MOA role matrix'!$B$1:$D$1,0))="Fill","Board member 1, ","")IF(INDEX('MOA role matrix'!$B$2:$D$13,5,MATCH($B111,'MOA role matrix'!$B$1:$D$1,0))="If finance","Board member 1 (if finance), ","")IF(INDEX('MOA role matrix'!$B$2:$D$13,5,MATCH($B111,'MOA role matrix'!$B$1:$D$1,0))="Auto","Board member 1 (auto), ","")IF(INDEX('MOA role matrix'!$B$2:$D$13,6,MATCH($B111,'MOA role matrix'!$B$1:$D$1,0))="Fill","Board member 2, ","")IF(INDEX('MOA role matrix'!$B$2:$D$13,6,MATCH($B111,'MOA role matrix'!$B$1:$D$1,0))="If finance","Board member 2 (if finance), ","")IF(INDEX('MOA role matrix'!$B$2:$D$13,6,MATCH($B111,'MOA role matrix'!$B$1:$D$1,0))="Auto","Board member 2 (auto), ","")IF(INDEX('MOA role matrix'!$B$2:$D$13,7,MATCH($B111,'MOA role matrix'!$B$1:$D$1,0))="Fill","LOA holder 1, ","")IF(INDEX('MOA role matrix'!$B$2:$D$13,7,MATCH($B111,'MOA role matrix'!$B$1:$D$1,0))="If finance","LOA holder 1 (if finance), ","")IF(INDEX('MOA role matrix'!$B$2:$D$13,7,MATCH($B111,'MOA role matrix'!$B$1:$D$1,0))="Auto","LOA holder 1 (auto), ","")IF(INDEX('MOA role matrix'!$B$2:$D$13,8,MATCH($B111,'MOA role matrix'!$B$1:$D$1,0))="Fill","LOA holder 2, ","")IF(INDEX('MOA role matrix'!$B$2:$D$13,8,MATCH($B111,'MOA role matrix'!$B$1:$D$1,0))="If finance","LOA holder 2 (if finance), ","")IF(INDEX('MOA role matrix'!$B$2:$D$13,8,MATCH($B111,'MOA role matrix'!$B$1:$D$1,0))="Auto","LOA holder 2 (auto), ","")IF(INDEX('MOA role matrix'!$B$2:$D$13,9,MATCH($B111,'MOA role matrix'!$B$1:$D$1,0))="Fill","Senior Manager CoSec, ","")IF(INDEX('MOA role matrix'!$B$2:$D$13,9,MATCH($B111,'MOA role matrix'!$B$1:$D$1,0))="If finance","Senior Manager CoSec (if finance), ","")IF(INDEX('MOA role matrix'!$B$2:$D$13,9,MATCH($B111,'MOA role matrix'!$B$1:$D$1,0))="Auto","Senior Manager CoSec (auto), ","")IF(INDEX('MOA role matrix'!$B$2:$D$13,10,MATCH($B111,'MOA role matrix'!$B$1:$D$1,0))="Fill","Division MOI managers, ","")IF(INDEX('MOA role matrix'!$B$2:$D$13,10,MATCH($B111,'MOA role matrix'!$B$1:$D$1,0))="If finance","Division MOI managers (if finance), ","")IF(INDEX('MOA role matrix'!$B$2:$D$13,10,MATCH($B111,'MOA role matrix'!$B$1:$D$1,0))="Auto","Division MOI managers (auto), ","")IF(INDEX('MOA role matrix'!$B$2:$D$13,11,MATCH($B111,'MOA role matrix'!$B$1:$D$1,0))="Fill","Ms Teh (bank), ","")IF(INDEX('MOA role matrix'!$B$2:$D$13,11,MATCH($B111,'MOA role matrix'!$B$1:$D$1,0))="If finance","Ms Teh (bank) (if finance), ","")IF(INDEX('MOA role matrix'!$B$2:$D$13,11,MATCH($B111,'MOA role matrix'!$B$1:$D$1,0))="Auto","Ms Teh (bank) (auto), ","")IF(INDEX('MOA role matrix'!$B$2:$D$13,12,MATCH($B111,'MOA role matrix'!$B$1:$D$1,0))="Fill","DLCM, ","")IF(INDEX('MOA role matrix'!$B$2:$D$13,12,MATCH($B111,'MOA role matrix'!$B$1:$D$1,0))="If finance","DLCM (if finance), ","")IF(INDEX('MOA role matrix'!$B$2:$D$13,12,MATCH($B111,'MOA role matrix'!$B$1:$D$1,0))="Auto","DLCM (auto), ","")))</f>
        <v/>
      </c>
      <c r="D111" s="5">
        <f>IF($A111="","",IFERROR(INDEX(FILTER('Client contacts'!$B$2:$B$500,('Client contacts'!$A$2:$A$500=$A111)*('Client contacts'!$H$2:$H$500="Y"),""),1),""))</f>
        <v/>
      </c>
      <c r="E111" s="5">
        <f>IF($A111="","",IFERROR(INDEX(FILTER('Client contacts'!$C$2:$C$500,('Client contacts'!$A$2:$A$500=$A111)*('Client contacts'!$H$2:$H$500="Y"),""),1),""))</f>
        <v/>
      </c>
      <c r="F111" s="5">
        <f>IF($A111="","",IFERROR(INDEX(FILTER('Client contacts'!$B$2:$B$500,('Client contacts'!$A$2:$A$500=$A111)*('Client contacts'!$G$2:$G$500="Y"),""),1),""))</f>
        <v/>
      </c>
      <c r="G111" s="5">
        <f>IF($A111="","",IFERROR(INDEX(FILTER('Client contacts'!$C$2:$C$500,('Client contacts'!$A$2:$A$500=$A111)*('Client contacts'!$G$2:$G$500="Y"),""),1),""))</f>
        <v/>
      </c>
      <c r="H111" s="5">
        <f>IF($A111="","",IFERROR(INDEX(FILTER('Client contacts'!$B$2:$B$500,('Client contacts'!$A$2:$A$500=$A111)*('Client contacts'!$G$2:$G$500="Y"),""),2),""))</f>
        <v/>
      </c>
      <c r="I111" s="5">
        <f>IF($A111="","",IFERROR(INDEX(FILTER('Client contacts'!$C$2:$C$500,('Client contacts'!$A$2:$A$500=$A111)*('Client contacts'!$G$2:$G$500="Y"),""),2),""))</f>
        <v/>
      </c>
      <c r="J111" s="8" t="n"/>
      <c r="K111" s="8" t="n"/>
      <c r="L111" s="8" t="n"/>
      <c r="M111" s="8" t="n"/>
      <c r="N111" s="8" t="n"/>
      <c r="O111" s="8" t="n"/>
      <c r="P111" s="8" t="n"/>
      <c r="Q111" s="8" t="n"/>
      <c r="R111" s="5">
        <f>IF($A111="","",IFERROR(INDEX(Companies!$I$2:$I$500,MATCH($A111,Companies!$A$2:$A$500,0)),""))</f>
        <v/>
      </c>
      <c r="S111" s="8" t="n"/>
      <c r="T111" s="8" t="n"/>
      <c r="U111" s="8" t="n"/>
      <c r="V111" s="8" t="n"/>
      <c r="W111" s="8" t="n"/>
    </row>
    <row r="112">
      <c r="C112" s="5">
        <f>IF($B112="","",TRIM(IF(INDEX('MOA role matrix'!$B$2:$D$13,1,MATCH($B112,'MOA role matrix'!$B$1:$D$1,0))="Fill","Project initiator, ","")IF(INDEX('MOA role matrix'!$B$2:$D$13,1,MATCH($B112,'MOA role matrix'!$B$1:$D$1,0))="If finance","Project initiator (if finance), ","")IF(INDEX('MOA role matrix'!$B$2:$D$13,1,MATCH($B112,'MOA role matrix'!$B$1:$D$1,0))="Auto","Project initiator (auto), ","")IF(INDEX('MOA role matrix'!$B$2:$D$13,2,MATCH($B112,'MOA role matrix'!$B$1:$D$1,0))="Fill","MOA signers (client), ","")IF(INDEX('MOA role matrix'!$B$2:$D$13,2,MATCH($B112,'MOA role matrix'!$B$1:$D$1,0))="If finance","MOA signers (client) (if finance), ","")IF(INDEX('MOA role matrix'!$B$2:$D$13,2,MATCH($B112,'MOA role matrix'!$B$1:$D$1,0))="Auto","MOA signers (client) (auto), ","")IF(INDEX('MOA role matrix'!$B$2:$D$13,3,MATCH($B112,'MOA role matrix'!$B$1:$D$1,0))="Fill","CFO / Head of Finance, ","")IF(INDEX('MOA role matrix'!$B$2:$D$13,3,MATCH($B112,'MOA role matrix'!$B$1:$D$1,0))="If finance","CFO / Head of Finance (if finance), ","")IF(INDEX('MOA role matrix'!$B$2:$D$13,3,MATCH($B112,'MOA role matrix'!$B$1:$D$1,0))="Auto","CFO / Head of Finance (auto), ","")IF(INDEX('MOA role matrix'!$B$2:$D$13,4,MATCH($B112,'MOA role matrix'!$B$1:$D$1,0))="Fill","CEO / COO / GM, ","")IF(INDEX('MOA role matrix'!$B$2:$D$13,4,MATCH($B112,'MOA role matrix'!$B$1:$D$1,0))="If finance","CEO / COO / GM (if finance), ","")IF(INDEX('MOA role matrix'!$B$2:$D$13,4,MATCH($B112,'MOA role matrix'!$B$1:$D$1,0))="Auto","CEO / COO / GM (auto), ","")IF(INDEX('MOA role matrix'!$B$2:$D$13,5,MATCH($B112,'MOA role matrix'!$B$1:$D$1,0))="Fill","Board member 1, ","")IF(INDEX('MOA role matrix'!$B$2:$D$13,5,MATCH($B112,'MOA role matrix'!$B$1:$D$1,0))="If finance","Board member 1 (if finance), ","")IF(INDEX('MOA role matrix'!$B$2:$D$13,5,MATCH($B112,'MOA role matrix'!$B$1:$D$1,0))="Auto","Board member 1 (auto), ","")IF(INDEX('MOA role matrix'!$B$2:$D$13,6,MATCH($B112,'MOA role matrix'!$B$1:$D$1,0))="Fill","Board member 2, ","")IF(INDEX('MOA role matrix'!$B$2:$D$13,6,MATCH($B112,'MOA role matrix'!$B$1:$D$1,0))="If finance","Board member 2 (if finance), ","")IF(INDEX('MOA role matrix'!$B$2:$D$13,6,MATCH($B112,'MOA role matrix'!$B$1:$D$1,0))="Auto","Board member 2 (auto), ","")IF(INDEX('MOA role matrix'!$B$2:$D$13,7,MATCH($B112,'MOA role matrix'!$B$1:$D$1,0))="Fill","LOA holder 1, ","")IF(INDEX('MOA role matrix'!$B$2:$D$13,7,MATCH($B112,'MOA role matrix'!$B$1:$D$1,0))="If finance","LOA holder 1 (if finance), ","")IF(INDEX('MOA role matrix'!$B$2:$D$13,7,MATCH($B112,'MOA role matrix'!$B$1:$D$1,0))="Auto","LOA holder 1 (auto), ","")IF(INDEX('MOA role matrix'!$B$2:$D$13,8,MATCH($B112,'MOA role matrix'!$B$1:$D$1,0))="Fill","LOA holder 2, ","")IF(INDEX('MOA role matrix'!$B$2:$D$13,8,MATCH($B112,'MOA role matrix'!$B$1:$D$1,0))="If finance","LOA holder 2 (if finance), ","")IF(INDEX('MOA role matrix'!$B$2:$D$13,8,MATCH($B112,'MOA role matrix'!$B$1:$D$1,0))="Auto","LOA holder 2 (auto), ","")IF(INDEX('MOA role matrix'!$B$2:$D$13,9,MATCH($B112,'MOA role matrix'!$B$1:$D$1,0))="Fill","Senior Manager CoSec, ","")IF(INDEX('MOA role matrix'!$B$2:$D$13,9,MATCH($B112,'MOA role matrix'!$B$1:$D$1,0))="If finance","Senior Manager CoSec (if finance), ","")IF(INDEX('MOA role matrix'!$B$2:$D$13,9,MATCH($B112,'MOA role matrix'!$B$1:$D$1,0))="Auto","Senior Manager CoSec (auto), ","")IF(INDEX('MOA role matrix'!$B$2:$D$13,10,MATCH($B112,'MOA role matrix'!$B$1:$D$1,0))="Fill","Division MOI managers, ","")IF(INDEX('MOA role matrix'!$B$2:$D$13,10,MATCH($B112,'MOA role matrix'!$B$1:$D$1,0))="If finance","Division MOI managers (if finance), ","")IF(INDEX('MOA role matrix'!$B$2:$D$13,10,MATCH($B112,'MOA role matrix'!$B$1:$D$1,0))="Auto","Division MOI managers (auto), ","")IF(INDEX('MOA role matrix'!$B$2:$D$13,11,MATCH($B112,'MOA role matrix'!$B$1:$D$1,0))="Fill","Ms Teh (bank), ","")IF(INDEX('MOA role matrix'!$B$2:$D$13,11,MATCH($B112,'MOA role matrix'!$B$1:$D$1,0))="If finance","Ms Teh (bank) (if finance), ","")IF(INDEX('MOA role matrix'!$B$2:$D$13,11,MATCH($B112,'MOA role matrix'!$B$1:$D$1,0))="Auto","Ms Teh (bank) (auto), ","")IF(INDEX('MOA role matrix'!$B$2:$D$13,12,MATCH($B112,'MOA role matrix'!$B$1:$D$1,0))="Fill","DLCM, ","")IF(INDEX('MOA role matrix'!$B$2:$D$13,12,MATCH($B112,'MOA role matrix'!$B$1:$D$1,0))="If finance","DLCM (if finance), ","")IF(INDEX('MOA role matrix'!$B$2:$D$13,12,MATCH($B112,'MOA role matrix'!$B$1:$D$1,0))="Auto","DLCM (auto), ","")))</f>
        <v/>
      </c>
      <c r="D112" s="5">
        <f>IF($A112="","",IFERROR(INDEX(FILTER('Client contacts'!$B$2:$B$500,('Client contacts'!$A$2:$A$500=$A112)*('Client contacts'!$H$2:$H$500="Y"),""),1),""))</f>
        <v/>
      </c>
      <c r="E112" s="5">
        <f>IF($A112="","",IFERROR(INDEX(FILTER('Client contacts'!$C$2:$C$500,('Client contacts'!$A$2:$A$500=$A112)*('Client contacts'!$H$2:$H$500="Y"),""),1),""))</f>
        <v/>
      </c>
      <c r="F112" s="5">
        <f>IF($A112="","",IFERROR(INDEX(FILTER('Client contacts'!$B$2:$B$500,('Client contacts'!$A$2:$A$500=$A112)*('Client contacts'!$G$2:$G$500="Y"),""),1),""))</f>
        <v/>
      </c>
      <c r="G112" s="5">
        <f>IF($A112="","",IFERROR(INDEX(FILTER('Client contacts'!$C$2:$C$500,('Client contacts'!$A$2:$A$500=$A112)*('Client contacts'!$G$2:$G$500="Y"),""),1),""))</f>
        <v/>
      </c>
      <c r="H112" s="5">
        <f>IF($A112="","",IFERROR(INDEX(FILTER('Client contacts'!$B$2:$B$500,('Client contacts'!$A$2:$A$500=$A112)*('Client contacts'!$G$2:$G$500="Y"),""),2),""))</f>
        <v/>
      </c>
      <c r="I112" s="5">
        <f>IF($A112="","",IFERROR(INDEX(FILTER('Client contacts'!$C$2:$C$500,('Client contacts'!$A$2:$A$500=$A112)*('Client contacts'!$G$2:$G$500="Y"),""),2),""))</f>
        <v/>
      </c>
      <c r="J112" s="8" t="n"/>
      <c r="K112" s="8" t="n"/>
      <c r="L112" s="8" t="n"/>
      <c r="M112" s="8" t="n"/>
      <c r="N112" s="8" t="n"/>
      <c r="O112" s="8" t="n"/>
      <c r="P112" s="8" t="n"/>
      <c r="Q112" s="8" t="n"/>
      <c r="R112" s="5">
        <f>IF($A112="","",IFERROR(INDEX(Companies!$I$2:$I$500,MATCH($A112,Companies!$A$2:$A$500,0)),""))</f>
        <v/>
      </c>
      <c r="S112" s="8" t="n"/>
      <c r="T112" s="8" t="n"/>
      <c r="U112" s="8" t="n"/>
      <c r="V112" s="8" t="n"/>
      <c r="W112" s="8" t="n"/>
    </row>
    <row r="113">
      <c r="C113" s="5">
        <f>IF($B113="","",TRIM(IF(INDEX('MOA role matrix'!$B$2:$D$13,1,MATCH($B113,'MOA role matrix'!$B$1:$D$1,0))="Fill","Project initiator, ","")IF(INDEX('MOA role matrix'!$B$2:$D$13,1,MATCH($B113,'MOA role matrix'!$B$1:$D$1,0))="If finance","Project initiator (if finance), ","")IF(INDEX('MOA role matrix'!$B$2:$D$13,1,MATCH($B113,'MOA role matrix'!$B$1:$D$1,0))="Auto","Project initiator (auto), ","")IF(INDEX('MOA role matrix'!$B$2:$D$13,2,MATCH($B113,'MOA role matrix'!$B$1:$D$1,0))="Fill","MOA signers (client), ","")IF(INDEX('MOA role matrix'!$B$2:$D$13,2,MATCH($B113,'MOA role matrix'!$B$1:$D$1,0))="If finance","MOA signers (client) (if finance), ","")IF(INDEX('MOA role matrix'!$B$2:$D$13,2,MATCH($B113,'MOA role matrix'!$B$1:$D$1,0))="Auto","MOA signers (client) (auto), ","")IF(INDEX('MOA role matrix'!$B$2:$D$13,3,MATCH($B113,'MOA role matrix'!$B$1:$D$1,0))="Fill","CFO / Head of Finance, ","")IF(INDEX('MOA role matrix'!$B$2:$D$13,3,MATCH($B113,'MOA role matrix'!$B$1:$D$1,0))="If finance","CFO / Head of Finance (if finance), ","")IF(INDEX('MOA role matrix'!$B$2:$D$13,3,MATCH($B113,'MOA role matrix'!$B$1:$D$1,0))="Auto","CFO / Head of Finance (auto), ","")IF(INDEX('MOA role matrix'!$B$2:$D$13,4,MATCH($B113,'MOA role matrix'!$B$1:$D$1,0))="Fill","CEO / COO / GM, ","")IF(INDEX('MOA role matrix'!$B$2:$D$13,4,MATCH($B113,'MOA role matrix'!$B$1:$D$1,0))="If finance","CEO / COO / GM (if finance), ","")IF(INDEX('MOA role matrix'!$B$2:$D$13,4,MATCH($B113,'MOA role matrix'!$B$1:$D$1,0))="Auto","CEO / COO / GM (auto), ","")IF(INDEX('MOA role matrix'!$B$2:$D$13,5,MATCH($B113,'MOA role matrix'!$B$1:$D$1,0))="Fill","Board member 1, ","")IF(INDEX('MOA role matrix'!$B$2:$D$13,5,MATCH($B113,'MOA role matrix'!$B$1:$D$1,0))="If finance","Board member 1 (if finance), ","")IF(INDEX('MOA role matrix'!$B$2:$D$13,5,MATCH($B113,'MOA role matrix'!$B$1:$D$1,0))="Auto","Board member 1 (auto), ","")IF(INDEX('MOA role matrix'!$B$2:$D$13,6,MATCH($B113,'MOA role matrix'!$B$1:$D$1,0))="Fill","Board member 2, ","")IF(INDEX('MOA role matrix'!$B$2:$D$13,6,MATCH($B113,'MOA role matrix'!$B$1:$D$1,0))="If finance","Board member 2 (if finance), ","")IF(INDEX('MOA role matrix'!$B$2:$D$13,6,MATCH($B113,'MOA role matrix'!$B$1:$D$1,0))="Auto","Board member 2 (auto), ","")IF(INDEX('MOA role matrix'!$B$2:$D$13,7,MATCH($B113,'MOA role matrix'!$B$1:$D$1,0))="Fill","LOA holder 1, ","")IF(INDEX('MOA role matrix'!$B$2:$D$13,7,MATCH($B113,'MOA role matrix'!$B$1:$D$1,0))="If finance","LOA holder 1 (if finance), ","")IF(INDEX('MOA role matrix'!$B$2:$D$13,7,MATCH($B113,'MOA role matrix'!$B$1:$D$1,0))="Auto","LOA holder 1 (auto), ","")IF(INDEX('MOA role matrix'!$B$2:$D$13,8,MATCH($B113,'MOA role matrix'!$B$1:$D$1,0))="Fill","LOA holder 2, ","")IF(INDEX('MOA role matrix'!$B$2:$D$13,8,MATCH($B113,'MOA role matrix'!$B$1:$D$1,0))="If finance","LOA holder 2 (if finance), ","")IF(INDEX('MOA role matrix'!$B$2:$D$13,8,MATCH($B113,'MOA role matrix'!$B$1:$D$1,0))="Auto","LOA holder 2 (auto), ","")IF(INDEX('MOA role matrix'!$B$2:$D$13,9,MATCH($B113,'MOA role matrix'!$B$1:$D$1,0))="Fill","Senior Manager CoSec, ","")IF(INDEX('MOA role matrix'!$B$2:$D$13,9,MATCH($B113,'MOA role matrix'!$B$1:$D$1,0))="If finance","Senior Manager CoSec (if finance), ","")IF(INDEX('MOA role matrix'!$B$2:$D$13,9,MATCH($B113,'MOA role matrix'!$B$1:$D$1,0))="Auto","Senior Manager CoSec (auto), ","")IF(INDEX('MOA role matrix'!$B$2:$D$13,10,MATCH($B113,'MOA role matrix'!$B$1:$D$1,0))="Fill","Division MOI managers, ","")IF(INDEX('MOA role matrix'!$B$2:$D$13,10,MATCH($B113,'MOA role matrix'!$B$1:$D$1,0))="If finance","Division MOI managers (if finance), ","")IF(INDEX('MOA role matrix'!$B$2:$D$13,10,MATCH($B113,'MOA role matrix'!$B$1:$D$1,0))="Auto","Division MOI managers (auto), ","")IF(INDEX('MOA role matrix'!$B$2:$D$13,11,MATCH($B113,'MOA role matrix'!$B$1:$D$1,0))="Fill","Ms Teh (bank), ","")IF(INDEX('MOA role matrix'!$B$2:$D$13,11,MATCH($B113,'MOA role matrix'!$B$1:$D$1,0))="If finance","Ms Teh (bank) (if finance), ","")IF(INDEX('MOA role matrix'!$B$2:$D$13,11,MATCH($B113,'MOA role matrix'!$B$1:$D$1,0))="Auto","Ms Teh (bank) (auto), ","")IF(INDEX('MOA role matrix'!$B$2:$D$13,12,MATCH($B113,'MOA role matrix'!$B$1:$D$1,0))="Fill","DLCM, ","")IF(INDEX('MOA role matrix'!$B$2:$D$13,12,MATCH($B113,'MOA role matrix'!$B$1:$D$1,0))="If finance","DLCM (if finance), ","")IF(INDEX('MOA role matrix'!$B$2:$D$13,12,MATCH($B113,'MOA role matrix'!$B$1:$D$1,0))="Auto","DLCM (auto), ","")))</f>
        <v/>
      </c>
      <c r="D113" s="5">
        <f>IF($A113="","",IFERROR(INDEX(FILTER('Client contacts'!$B$2:$B$500,('Client contacts'!$A$2:$A$500=$A113)*('Client contacts'!$H$2:$H$500="Y"),""),1),""))</f>
        <v/>
      </c>
      <c r="E113" s="5">
        <f>IF($A113="","",IFERROR(INDEX(FILTER('Client contacts'!$C$2:$C$500,('Client contacts'!$A$2:$A$500=$A113)*('Client contacts'!$H$2:$H$500="Y"),""),1),""))</f>
        <v/>
      </c>
      <c r="F113" s="5">
        <f>IF($A113="","",IFERROR(INDEX(FILTER('Client contacts'!$B$2:$B$500,('Client contacts'!$A$2:$A$500=$A113)*('Client contacts'!$G$2:$G$500="Y"),""),1),""))</f>
        <v/>
      </c>
      <c r="G113" s="5">
        <f>IF($A113="","",IFERROR(INDEX(FILTER('Client contacts'!$C$2:$C$500,('Client contacts'!$A$2:$A$500=$A113)*('Client contacts'!$G$2:$G$500="Y"),""),1),""))</f>
        <v/>
      </c>
      <c r="H113" s="5">
        <f>IF($A113="","",IFERROR(INDEX(FILTER('Client contacts'!$B$2:$B$500,('Client contacts'!$A$2:$A$500=$A113)*('Client contacts'!$G$2:$G$500="Y"),""),2),""))</f>
        <v/>
      </c>
      <c r="I113" s="5">
        <f>IF($A113="","",IFERROR(INDEX(FILTER('Client contacts'!$C$2:$C$500,('Client contacts'!$A$2:$A$500=$A113)*('Client contacts'!$G$2:$G$500="Y"),""),2),""))</f>
        <v/>
      </c>
      <c r="J113" s="8" t="n"/>
      <c r="K113" s="8" t="n"/>
      <c r="L113" s="8" t="n"/>
      <c r="M113" s="8" t="n"/>
      <c r="N113" s="8" t="n"/>
      <c r="O113" s="8" t="n"/>
      <c r="P113" s="8" t="n"/>
      <c r="Q113" s="8" t="n"/>
      <c r="R113" s="5">
        <f>IF($A113="","",IFERROR(INDEX(Companies!$I$2:$I$500,MATCH($A113,Companies!$A$2:$A$500,0)),""))</f>
        <v/>
      </c>
      <c r="S113" s="8" t="n"/>
      <c r="T113" s="8" t="n"/>
      <c r="U113" s="8" t="n"/>
      <c r="V113" s="8" t="n"/>
      <c r="W113" s="8" t="n"/>
    </row>
    <row r="114">
      <c r="C114" s="5">
        <f>IF($B114="","",TRIM(IF(INDEX('MOA role matrix'!$B$2:$D$13,1,MATCH($B114,'MOA role matrix'!$B$1:$D$1,0))="Fill","Project initiator, ","")IF(INDEX('MOA role matrix'!$B$2:$D$13,1,MATCH($B114,'MOA role matrix'!$B$1:$D$1,0))="If finance","Project initiator (if finance), ","")IF(INDEX('MOA role matrix'!$B$2:$D$13,1,MATCH($B114,'MOA role matrix'!$B$1:$D$1,0))="Auto","Project initiator (auto), ","")IF(INDEX('MOA role matrix'!$B$2:$D$13,2,MATCH($B114,'MOA role matrix'!$B$1:$D$1,0))="Fill","MOA signers (client), ","")IF(INDEX('MOA role matrix'!$B$2:$D$13,2,MATCH($B114,'MOA role matrix'!$B$1:$D$1,0))="If finance","MOA signers (client) (if finance), ","")IF(INDEX('MOA role matrix'!$B$2:$D$13,2,MATCH($B114,'MOA role matrix'!$B$1:$D$1,0))="Auto","MOA signers (client) (auto), ","")IF(INDEX('MOA role matrix'!$B$2:$D$13,3,MATCH($B114,'MOA role matrix'!$B$1:$D$1,0))="Fill","CFO / Head of Finance, ","")IF(INDEX('MOA role matrix'!$B$2:$D$13,3,MATCH($B114,'MOA role matrix'!$B$1:$D$1,0))="If finance","CFO / Head of Finance (if finance), ","")IF(INDEX('MOA role matrix'!$B$2:$D$13,3,MATCH($B114,'MOA role matrix'!$B$1:$D$1,0))="Auto","CFO / Head of Finance (auto), ","")IF(INDEX('MOA role matrix'!$B$2:$D$13,4,MATCH($B114,'MOA role matrix'!$B$1:$D$1,0))="Fill","CEO / COO / GM, ","")IF(INDEX('MOA role matrix'!$B$2:$D$13,4,MATCH($B114,'MOA role matrix'!$B$1:$D$1,0))="If finance","CEO / COO / GM (if finance), ","")IF(INDEX('MOA role matrix'!$B$2:$D$13,4,MATCH($B114,'MOA role matrix'!$B$1:$D$1,0))="Auto","CEO / COO / GM (auto), ","")IF(INDEX('MOA role matrix'!$B$2:$D$13,5,MATCH($B114,'MOA role matrix'!$B$1:$D$1,0))="Fill","Board member 1, ","")IF(INDEX('MOA role matrix'!$B$2:$D$13,5,MATCH($B114,'MOA role matrix'!$B$1:$D$1,0))="If finance","Board member 1 (if finance), ","")IF(INDEX('MOA role matrix'!$B$2:$D$13,5,MATCH($B114,'MOA role matrix'!$B$1:$D$1,0))="Auto","Board member 1 (auto), ","")IF(INDEX('MOA role matrix'!$B$2:$D$13,6,MATCH($B114,'MOA role matrix'!$B$1:$D$1,0))="Fill","Board member 2, ","")IF(INDEX('MOA role matrix'!$B$2:$D$13,6,MATCH($B114,'MOA role matrix'!$B$1:$D$1,0))="If finance","Board member 2 (if finance), ","")IF(INDEX('MOA role matrix'!$B$2:$D$13,6,MATCH($B114,'MOA role matrix'!$B$1:$D$1,0))="Auto","Board member 2 (auto), ","")IF(INDEX('MOA role matrix'!$B$2:$D$13,7,MATCH($B114,'MOA role matrix'!$B$1:$D$1,0))="Fill","LOA holder 1, ","")IF(INDEX('MOA role matrix'!$B$2:$D$13,7,MATCH($B114,'MOA role matrix'!$B$1:$D$1,0))="If finance","LOA holder 1 (if finance), ","")IF(INDEX('MOA role matrix'!$B$2:$D$13,7,MATCH($B114,'MOA role matrix'!$B$1:$D$1,0))="Auto","LOA holder 1 (auto), ","")IF(INDEX('MOA role matrix'!$B$2:$D$13,8,MATCH($B114,'MOA role matrix'!$B$1:$D$1,0))="Fill","LOA holder 2, ","")IF(INDEX('MOA role matrix'!$B$2:$D$13,8,MATCH($B114,'MOA role matrix'!$B$1:$D$1,0))="If finance","LOA holder 2 (if finance), ","")IF(INDEX('MOA role matrix'!$B$2:$D$13,8,MATCH($B114,'MOA role matrix'!$B$1:$D$1,0))="Auto","LOA holder 2 (auto), ","")IF(INDEX('MOA role matrix'!$B$2:$D$13,9,MATCH($B114,'MOA role matrix'!$B$1:$D$1,0))="Fill","Senior Manager CoSec, ","")IF(INDEX('MOA role matrix'!$B$2:$D$13,9,MATCH($B114,'MOA role matrix'!$B$1:$D$1,0))="If finance","Senior Manager CoSec (if finance), ","")IF(INDEX('MOA role matrix'!$B$2:$D$13,9,MATCH($B114,'MOA role matrix'!$B$1:$D$1,0))="Auto","Senior Manager CoSec (auto), ","")IF(INDEX('MOA role matrix'!$B$2:$D$13,10,MATCH($B114,'MOA role matrix'!$B$1:$D$1,0))="Fill","Division MOI managers, ","")IF(INDEX('MOA role matrix'!$B$2:$D$13,10,MATCH($B114,'MOA role matrix'!$B$1:$D$1,0))="If finance","Division MOI managers (if finance), ","")IF(INDEX('MOA role matrix'!$B$2:$D$13,10,MATCH($B114,'MOA role matrix'!$B$1:$D$1,0))="Auto","Division MOI managers (auto), ","")IF(INDEX('MOA role matrix'!$B$2:$D$13,11,MATCH($B114,'MOA role matrix'!$B$1:$D$1,0))="Fill","Ms Teh (bank), ","")IF(INDEX('MOA role matrix'!$B$2:$D$13,11,MATCH($B114,'MOA role matrix'!$B$1:$D$1,0))="If finance","Ms Teh (bank) (if finance), ","")IF(INDEX('MOA role matrix'!$B$2:$D$13,11,MATCH($B114,'MOA role matrix'!$B$1:$D$1,0))="Auto","Ms Teh (bank) (auto), ","")IF(INDEX('MOA role matrix'!$B$2:$D$13,12,MATCH($B114,'MOA role matrix'!$B$1:$D$1,0))="Fill","DLCM, ","")IF(INDEX('MOA role matrix'!$B$2:$D$13,12,MATCH($B114,'MOA role matrix'!$B$1:$D$1,0))="If finance","DLCM (if finance), ","")IF(INDEX('MOA role matrix'!$B$2:$D$13,12,MATCH($B114,'MOA role matrix'!$B$1:$D$1,0))="Auto","DLCM (auto), ","")))</f>
        <v/>
      </c>
      <c r="D114" s="5">
        <f>IF($A114="","",IFERROR(INDEX(FILTER('Client contacts'!$B$2:$B$500,('Client contacts'!$A$2:$A$500=$A114)*('Client contacts'!$H$2:$H$500="Y"),""),1),""))</f>
        <v/>
      </c>
      <c r="E114" s="5">
        <f>IF($A114="","",IFERROR(INDEX(FILTER('Client contacts'!$C$2:$C$500,('Client contacts'!$A$2:$A$500=$A114)*('Client contacts'!$H$2:$H$500="Y"),""),1),""))</f>
        <v/>
      </c>
      <c r="F114" s="5">
        <f>IF($A114="","",IFERROR(INDEX(FILTER('Client contacts'!$B$2:$B$500,('Client contacts'!$A$2:$A$500=$A114)*('Client contacts'!$G$2:$G$500="Y"),""),1),""))</f>
        <v/>
      </c>
      <c r="G114" s="5">
        <f>IF($A114="","",IFERROR(INDEX(FILTER('Client contacts'!$C$2:$C$500,('Client contacts'!$A$2:$A$500=$A114)*('Client contacts'!$G$2:$G$500="Y"),""),1),""))</f>
        <v/>
      </c>
      <c r="H114" s="5">
        <f>IF($A114="","",IFERROR(INDEX(FILTER('Client contacts'!$B$2:$B$500,('Client contacts'!$A$2:$A$500=$A114)*('Client contacts'!$G$2:$G$500="Y"),""),2),""))</f>
        <v/>
      </c>
      <c r="I114" s="5">
        <f>IF($A114="","",IFERROR(INDEX(FILTER('Client contacts'!$C$2:$C$500,('Client contacts'!$A$2:$A$500=$A114)*('Client contacts'!$G$2:$G$500="Y"),""),2),""))</f>
        <v/>
      </c>
      <c r="J114" s="8" t="n"/>
      <c r="K114" s="8" t="n"/>
      <c r="L114" s="8" t="n"/>
      <c r="M114" s="8" t="n"/>
      <c r="N114" s="8" t="n"/>
      <c r="O114" s="8" t="n"/>
      <c r="P114" s="8" t="n"/>
      <c r="Q114" s="8" t="n"/>
      <c r="R114" s="5">
        <f>IF($A114="","",IFERROR(INDEX(Companies!$I$2:$I$500,MATCH($A114,Companies!$A$2:$A$500,0)),""))</f>
        <v/>
      </c>
      <c r="S114" s="8" t="n"/>
      <c r="T114" s="8" t="n"/>
      <c r="U114" s="8" t="n"/>
      <c r="V114" s="8" t="n"/>
      <c r="W114" s="8" t="n"/>
    </row>
    <row r="115">
      <c r="C115" s="5">
        <f>IF($B115="","",TRIM(IF(INDEX('MOA role matrix'!$B$2:$D$13,1,MATCH($B115,'MOA role matrix'!$B$1:$D$1,0))="Fill","Project initiator, ","")IF(INDEX('MOA role matrix'!$B$2:$D$13,1,MATCH($B115,'MOA role matrix'!$B$1:$D$1,0))="If finance","Project initiator (if finance), ","")IF(INDEX('MOA role matrix'!$B$2:$D$13,1,MATCH($B115,'MOA role matrix'!$B$1:$D$1,0))="Auto","Project initiator (auto), ","")IF(INDEX('MOA role matrix'!$B$2:$D$13,2,MATCH($B115,'MOA role matrix'!$B$1:$D$1,0))="Fill","MOA signers (client), ","")IF(INDEX('MOA role matrix'!$B$2:$D$13,2,MATCH($B115,'MOA role matrix'!$B$1:$D$1,0))="If finance","MOA signers (client) (if finance), ","")IF(INDEX('MOA role matrix'!$B$2:$D$13,2,MATCH($B115,'MOA role matrix'!$B$1:$D$1,0))="Auto","MOA signers (client) (auto), ","")IF(INDEX('MOA role matrix'!$B$2:$D$13,3,MATCH($B115,'MOA role matrix'!$B$1:$D$1,0))="Fill","CFO / Head of Finance, ","")IF(INDEX('MOA role matrix'!$B$2:$D$13,3,MATCH($B115,'MOA role matrix'!$B$1:$D$1,0))="If finance","CFO / Head of Finance (if finance), ","")IF(INDEX('MOA role matrix'!$B$2:$D$13,3,MATCH($B115,'MOA role matrix'!$B$1:$D$1,0))="Auto","CFO / Head of Finance (auto), ","")IF(INDEX('MOA role matrix'!$B$2:$D$13,4,MATCH($B115,'MOA role matrix'!$B$1:$D$1,0))="Fill","CEO / COO / GM, ","")IF(INDEX('MOA role matrix'!$B$2:$D$13,4,MATCH($B115,'MOA role matrix'!$B$1:$D$1,0))="If finance","CEO / COO / GM (if finance), ","")IF(INDEX('MOA role matrix'!$B$2:$D$13,4,MATCH($B115,'MOA role matrix'!$B$1:$D$1,0))="Auto","CEO / COO / GM (auto), ","")IF(INDEX('MOA role matrix'!$B$2:$D$13,5,MATCH($B115,'MOA role matrix'!$B$1:$D$1,0))="Fill","Board member 1, ","")IF(INDEX('MOA role matrix'!$B$2:$D$13,5,MATCH($B115,'MOA role matrix'!$B$1:$D$1,0))="If finance","Board member 1 (if finance), ","")IF(INDEX('MOA role matrix'!$B$2:$D$13,5,MATCH($B115,'MOA role matrix'!$B$1:$D$1,0))="Auto","Board member 1 (auto), ","")IF(INDEX('MOA role matrix'!$B$2:$D$13,6,MATCH($B115,'MOA role matrix'!$B$1:$D$1,0))="Fill","Board member 2, ","")IF(INDEX('MOA role matrix'!$B$2:$D$13,6,MATCH($B115,'MOA role matrix'!$B$1:$D$1,0))="If finance","Board member 2 (if finance), ","")IF(INDEX('MOA role matrix'!$B$2:$D$13,6,MATCH($B115,'MOA role matrix'!$B$1:$D$1,0))="Auto","Board member 2 (auto), ","")IF(INDEX('MOA role matrix'!$B$2:$D$13,7,MATCH($B115,'MOA role matrix'!$B$1:$D$1,0))="Fill","LOA holder 1, ","")IF(INDEX('MOA role matrix'!$B$2:$D$13,7,MATCH($B115,'MOA role matrix'!$B$1:$D$1,0))="If finance","LOA holder 1 (if finance), ","")IF(INDEX('MOA role matrix'!$B$2:$D$13,7,MATCH($B115,'MOA role matrix'!$B$1:$D$1,0))="Auto","LOA holder 1 (auto), ","")IF(INDEX('MOA role matrix'!$B$2:$D$13,8,MATCH($B115,'MOA role matrix'!$B$1:$D$1,0))="Fill","LOA holder 2, ","")IF(INDEX('MOA role matrix'!$B$2:$D$13,8,MATCH($B115,'MOA role matrix'!$B$1:$D$1,0))="If finance","LOA holder 2 (if finance), ","")IF(INDEX('MOA role matrix'!$B$2:$D$13,8,MATCH($B115,'MOA role matrix'!$B$1:$D$1,0))="Auto","LOA holder 2 (auto), ","")IF(INDEX('MOA role matrix'!$B$2:$D$13,9,MATCH($B115,'MOA role matrix'!$B$1:$D$1,0))="Fill","Senior Manager CoSec, ","")IF(INDEX('MOA role matrix'!$B$2:$D$13,9,MATCH($B115,'MOA role matrix'!$B$1:$D$1,0))="If finance","Senior Manager CoSec (if finance), ","")IF(INDEX('MOA role matrix'!$B$2:$D$13,9,MATCH($B115,'MOA role matrix'!$B$1:$D$1,0))="Auto","Senior Manager CoSec (auto), ","")IF(INDEX('MOA role matrix'!$B$2:$D$13,10,MATCH($B115,'MOA role matrix'!$B$1:$D$1,0))="Fill","Division MOI managers, ","")IF(INDEX('MOA role matrix'!$B$2:$D$13,10,MATCH($B115,'MOA role matrix'!$B$1:$D$1,0))="If finance","Division MOI managers (if finance), ","")IF(INDEX('MOA role matrix'!$B$2:$D$13,10,MATCH($B115,'MOA role matrix'!$B$1:$D$1,0))="Auto","Division MOI managers (auto), ","")IF(INDEX('MOA role matrix'!$B$2:$D$13,11,MATCH($B115,'MOA role matrix'!$B$1:$D$1,0))="Fill","Ms Teh (bank), ","")IF(INDEX('MOA role matrix'!$B$2:$D$13,11,MATCH($B115,'MOA role matrix'!$B$1:$D$1,0))="If finance","Ms Teh (bank) (if finance), ","")IF(INDEX('MOA role matrix'!$B$2:$D$13,11,MATCH($B115,'MOA role matrix'!$B$1:$D$1,0))="Auto","Ms Teh (bank) (auto), ","")IF(INDEX('MOA role matrix'!$B$2:$D$13,12,MATCH($B115,'MOA role matrix'!$B$1:$D$1,0))="Fill","DLCM, ","")IF(INDEX('MOA role matrix'!$B$2:$D$13,12,MATCH($B115,'MOA role matrix'!$B$1:$D$1,0))="If finance","DLCM (if finance), ","")IF(INDEX('MOA role matrix'!$B$2:$D$13,12,MATCH($B115,'MOA role matrix'!$B$1:$D$1,0))="Auto","DLCM (auto), ","")))</f>
        <v/>
      </c>
      <c r="D115" s="5">
        <f>IF($A115="","",IFERROR(INDEX(FILTER('Client contacts'!$B$2:$B$500,('Client contacts'!$A$2:$A$500=$A115)*('Client contacts'!$H$2:$H$500="Y"),""),1),""))</f>
        <v/>
      </c>
      <c r="E115" s="5">
        <f>IF($A115="","",IFERROR(INDEX(FILTER('Client contacts'!$C$2:$C$500,('Client contacts'!$A$2:$A$500=$A115)*('Client contacts'!$H$2:$H$500="Y"),""),1),""))</f>
        <v/>
      </c>
      <c r="F115" s="5">
        <f>IF($A115="","",IFERROR(INDEX(FILTER('Client contacts'!$B$2:$B$500,('Client contacts'!$A$2:$A$500=$A115)*('Client contacts'!$G$2:$G$500="Y"),""),1),""))</f>
        <v/>
      </c>
      <c r="G115" s="5">
        <f>IF($A115="","",IFERROR(INDEX(FILTER('Client contacts'!$C$2:$C$500,('Client contacts'!$A$2:$A$500=$A115)*('Client contacts'!$G$2:$G$500="Y"),""),1),""))</f>
        <v/>
      </c>
      <c r="H115" s="5">
        <f>IF($A115="","",IFERROR(INDEX(FILTER('Client contacts'!$B$2:$B$500,('Client contacts'!$A$2:$A$500=$A115)*('Client contacts'!$G$2:$G$500="Y"),""),2),""))</f>
        <v/>
      </c>
      <c r="I115" s="5">
        <f>IF($A115="","",IFERROR(INDEX(FILTER('Client contacts'!$C$2:$C$500,('Client contacts'!$A$2:$A$500=$A115)*('Client contacts'!$G$2:$G$500="Y"),""),2),""))</f>
        <v/>
      </c>
      <c r="J115" s="8" t="n"/>
      <c r="K115" s="8" t="n"/>
      <c r="L115" s="8" t="n"/>
      <c r="M115" s="8" t="n"/>
      <c r="N115" s="8" t="n"/>
      <c r="O115" s="8" t="n"/>
      <c r="P115" s="8" t="n"/>
      <c r="Q115" s="8" t="n"/>
      <c r="R115" s="5">
        <f>IF($A115="","",IFERROR(INDEX(Companies!$I$2:$I$500,MATCH($A115,Companies!$A$2:$A$500,0)),""))</f>
        <v/>
      </c>
      <c r="S115" s="8" t="n"/>
      <c r="T115" s="8" t="n"/>
      <c r="U115" s="8" t="n"/>
      <c r="V115" s="8" t="n"/>
      <c r="W115" s="8" t="n"/>
    </row>
    <row r="116">
      <c r="C116" s="5">
        <f>IF($B116="","",TRIM(IF(INDEX('MOA role matrix'!$B$2:$D$13,1,MATCH($B116,'MOA role matrix'!$B$1:$D$1,0))="Fill","Project initiator, ","")IF(INDEX('MOA role matrix'!$B$2:$D$13,1,MATCH($B116,'MOA role matrix'!$B$1:$D$1,0))="If finance","Project initiator (if finance), ","")IF(INDEX('MOA role matrix'!$B$2:$D$13,1,MATCH($B116,'MOA role matrix'!$B$1:$D$1,0))="Auto","Project initiator (auto), ","")IF(INDEX('MOA role matrix'!$B$2:$D$13,2,MATCH($B116,'MOA role matrix'!$B$1:$D$1,0))="Fill","MOA signers (client), ","")IF(INDEX('MOA role matrix'!$B$2:$D$13,2,MATCH($B116,'MOA role matrix'!$B$1:$D$1,0))="If finance","MOA signers (client) (if finance), ","")IF(INDEX('MOA role matrix'!$B$2:$D$13,2,MATCH($B116,'MOA role matrix'!$B$1:$D$1,0))="Auto","MOA signers (client) (auto), ","")IF(INDEX('MOA role matrix'!$B$2:$D$13,3,MATCH($B116,'MOA role matrix'!$B$1:$D$1,0))="Fill","CFO / Head of Finance, ","")IF(INDEX('MOA role matrix'!$B$2:$D$13,3,MATCH($B116,'MOA role matrix'!$B$1:$D$1,0))="If finance","CFO / Head of Finance (if finance), ","")IF(INDEX('MOA role matrix'!$B$2:$D$13,3,MATCH($B116,'MOA role matrix'!$B$1:$D$1,0))="Auto","CFO / Head of Finance (auto), ","")IF(INDEX('MOA role matrix'!$B$2:$D$13,4,MATCH($B116,'MOA role matrix'!$B$1:$D$1,0))="Fill","CEO / COO / GM, ","")IF(INDEX('MOA role matrix'!$B$2:$D$13,4,MATCH($B116,'MOA role matrix'!$B$1:$D$1,0))="If finance","CEO / COO / GM (if finance), ","")IF(INDEX('MOA role matrix'!$B$2:$D$13,4,MATCH($B116,'MOA role matrix'!$B$1:$D$1,0))="Auto","CEO / COO / GM (auto), ","")IF(INDEX('MOA role matrix'!$B$2:$D$13,5,MATCH($B116,'MOA role matrix'!$B$1:$D$1,0))="Fill","Board member 1, ","")IF(INDEX('MOA role matrix'!$B$2:$D$13,5,MATCH($B116,'MOA role matrix'!$B$1:$D$1,0))="If finance","Board member 1 (if finance), ","")IF(INDEX('MOA role matrix'!$B$2:$D$13,5,MATCH($B116,'MOA role matrix'!$B$1:$D$1,0))="Auto","Board member 1 (auto), ","")IF(INDEX('MOA role matrix'!$B$2:$D$13,6,MATCH($B116,'MOA role matrix'!$B$1:$D$1,0))="Fill","Board member 2, ","")IF(INDEX('MOA role matrix'!$B$2:$D$13,6,MATCH($B116,'MOA role matrix'!$B$1:$D$1,0))="If finance","Board member 2 (if finance), ","")IF(INDEX('MOA role matrix'!$B$2:$D$13,6,MATCH($B116,'MOA role matrix'!$B$1:$D$1,0))="Auto","Board member 2 (auto), ","")IF(INDEX('MOA role matrix'!$B$2:$D$13,7,MATCH($B116,'MOA role matrix'!$B$1:$D$1,0))="Fill","LOA holder 1, ","")IF(INDEX('MOA role matrix'!$B$2:$D$13,7,MATCH($B116,'MOA role matrix'!$B$1:$D$1,0))="If finance","LOA holder 1 (if finance), ","")IF(INDEX('MOA role matrix'!$B$2:$D$13,7,MATCH($B116,'MOA role matrix'!$B$1:$D$1,0))="Auto","LOA holder 1 (auto), ","")IF(INDEX('MOA role matrix'!$B$2:$D$13,8,MATCH($B116,'MOA role matrix'!$B$1:$D$1,0))="Fill","LOA holder 2, ","")IF(INDEX('MOA role matrix'!$B$2:$D$13,8,MATCH($B116,'MOA role matrix'!$B$1:$D$1,0))="If finance","LOA holder 2 (if finance), ","")IF(INDEX('MOA role matrix'!$B$2:$D$13,8,MATCH($B116,'MOA role matrix'!$B$1:$D$1,0))="Auto","LOA holder 2 (auto), ","")IF(INDEX('MOA role matrix'!$B$2:$D$13,9,MATCH($B116,'MOA role matrix'!$B$1:$D$1,0))="Fill","Senior Manager CoSec, ","")IF(INDEX('MOA role matrix'!$B$2:$D$13,9,MATCH($B116,'MOA role matrix'!$B$1:$D$1,0))="If finance","Senior Manager CoSec (if finance), ","")IF(INDEX('MOA role matrix'!$B$2:$D$13,9,MATCH($B116,'MOA role matrix'!$B$1:$D$1,0))="Auto","Senior Manager CoSec (auto), ","")IF(INDEX('MOA role matrix'!$B$2:$D$13,10,MATCH($B116,'MOA role matrix'!$B$1:$D$1,0))="Fill","Division MOI managers, ","")IF(INDEX('MOA role matrix'!$B$2:$D$13,10,MATCH($B116,'MOA role matrix'!$B$1:$D$1,0))="If finance","Division MOI managers (if finance), ","")IF(INDEX('MOA role matrix'!$B$2:$D$13,10,MATCH($B116,'MOA role matrix'!$B$1:$D$1,0))="Auto","Division MOI managers (auto), ","")IF(INDEX('MOA role matrix'!$B$2:$D$13,11,MATCH($B116,'MOA role matrix'!$B$1:$D$1,0))="Fill","Ms Teh (bank), ","")IF(INDEX('MOA role matrix'!$B$2:$D$13,11,MATCH($B116,'MOA role matrix'!$B$1:$D$1,0))="If finance","Ms Teh (bank) (if finance), ","")IF(INDEX('MOA role matrix'!$B$2:$D$13,11,MATCH($B116,'MOA role matrix'!$B$1:$D$1,0))="Auto","Ms Teh (bank) (auto), ","")IF(INDEX('MOA role matrix'!$B$2:$D$13,12,MATCH($B116,'MOA role matrix'!$B$1:$D$1,0))="Fill","DLCM, ","")IF(INDEX('MOA role matrix'!$B$2:$D$13,12,MATCH($B116,'MOA role matrix'!$B$1:$D$1,0))="If finance","DLCM (if finance), ","")IF(INDEX('MOA role matrix'!$B$2:$D$13,12,MATCH($B116,'MOA role matrix'!$B$1:$D$1,0))="Auto","DLCM (auto), ","")))</f>
        <v/>
      </c>
      <c r="D116" s="5">
        <f>IF($A116="","",IFERROR(INDEX(FILTER('Client contacts'!$B$2:$B$500,('Client contacts'!$A$2:$A$500=$A116)*('Client contacts'!$H$2:$H$500="Y"),""),1),""))</f>
        <v/>
      </c>
      <c r="E116" s="5">
        <f>IF($A116="","",IFERROR(INDEX(FILTER('Client contacts'!$C$2:$C$500,('Client contacts'!$A$2:$A$500=$A116)*('Client contacts'!$H$2:$H$500="Y"),""),1),""))</f>
        <v/>
      </c>
      <c r="F116" s="5">
        <f>IF($A116="","",IFERROR(INDEX(FILTER('Client contacts'!$B$2:$B$500,('Client contacts'!$A$2:$A$500=$A116)*('Client contacts'!$G$2:$G$500="Y"),""),1),""))</f>
        <v/>
      </c>
      <c r="G116" s="5">
        <f>IF($A116="","",IFERROR(INDEX(FILTER('Client contacts'!$C$2:$C$500,('Client contacts'!$A$2:$A$500=$A116)*('Client contacts'!$G$2:$G$500="Y"),""),1),""))</f>
        <v/>
      </c>
      <c r="H116" s="5">
        <f>IF($A116="","",IFERROR(INDEX(FILTER('Client contacts'!$B$2:$B$500,('Client contacts'!$A$2:$A$500=$A116)*('Client contacts'!$G$2:$G$500="Y"),""),2),""))</f>
        <v/>
      </c>
      <c r="I116" s="5">
        <f>IF($A116="","",IFERROR(INDEX(FILTER('Client contacts'!$C$2:$C$500,('Client contacts'!$A$2:$A$500=$A116)*('Client contacts'!$G$2:$G$500="Y"),""),2),""))</f>
        <v/>
      </c>
      <c r="J116" s="8" t="n"/>
      <c r="K116" s="8" t="n"/>
      <c r="L116" s="8" t="n"/>
      <c r="M116" s="8" t="n"/>
      <c r="N116" s="8" t="n"/>
      <c r="O116" s="8" t="n"/>
      <c r="P116" s="8" t="n"/>
      <c r="Q116" s="8" t="n"/>
      <c r="R116" s="5">
        <f>IF($A116="","",IFERROR(INDEX(Companies!$I$2:$I$500,MATCH($A116,Companies!$A$2:$A$500,0)),""))</f>
        <v/>
      </c>
      <c r="S116" s="8" t="n"/>
      <c r="T116" s="8" t="n"/>
      <c r="U116" s="8" t="n"/>
      <c r="V116" s="8" t="n"/>
      <c r="W116" s="8" t="n"/>
    </row>
    <row r="117">
      <c r="C117" s="5">
        <f>IF($B117="","",TRIM(IF(INDEX('MOA role matrix'!$B$2:$D$13,1,MATCH($B117,'MOA role matrix'!$B$1:$D$1,0))="Fill","Project initiator, ","")IF(INDEX('MOA role matrix'!$B$2:$D$13,1,MATCH($B117,'MOA role matrix'!$B$1:$D$1,0))="If finance","Project initiator (if finance), ","")IF(INDEX('MOA role matrix'!$B$2:$D$13,1,MATCH($B117,'MOA role matrix'!$B$1:$D$1,0))="Auto","Project initiator (auto), ","")IF(INDEX('MOA role matrix'!$B$2:$D$13,2,MATCH($B117,'MOA role matrix'!$B$1:$D$1,0))="Fill","MOA signers (client), ","")IF(INDEX('MOA role matrix'!$B$2:$D$13,2,MATCH($B117,'MOA role matrix'!$B$1:$D$1,0))="If finance","MOA signers (client) (if finance), ","")IF(INDEX('MOA role matrix'!$B$2:$D$13,2,MATCH($B117,'MOA role matrix'!$B$1:$D$1,0))="Auto","MOA signers (client) (auto), ","")IF(INDEX('MOA role matrix'!$B$2:$D$13,3,MATCH($B117,'MOA role matrix'!$B$1:$D$1,0))="Fill","CFO / Head of Finance, ","")IF(INDEX('MOA role matrix'!$B$2:$D$13,3,MATCH($B117,'MOA role matrix'!$B$1:$D$1,0))="If finance","CFO / Head of Finance (if finance), ","")IF(INDEX('MOA role matrix'!$B$2:$D$13,3,MATCH($B117,'MOA role matrix'!$B$1:$D$1,0))="Auto","CFO / Head of Finance (auto), ","")IF(INDEX('MOA role matrix'!$B$2:$D$13,4,MATCH($B117,'MOA role matrix'!$B$1:$D$1,0))="Fill","CEO / COO / GM, ","")IF(INDEX('MOA role matrix'!$B$2:$D$13,4,MATCH($B117,'MOA role matrix'!$B$1:$D$1,0))="If finance","CEO / COO / GM (if finance), ","")IF(INDEX('MOA role matrix'!$B$2:$D$13,4,MATCH($B117,'MOA role matrix'!$B$1:$D$1,0))="Auto","CEO / COO / GM (auto), ","")IF(INDEX('MOA role matrix'!$B$2:$D$13,5,MATCH($B117,'MOA role matrix'!$B$1:$D$1,0))="Fill","Board member 1, ","")IF(INDEX('MOA role matrix'!$B$2:$D$13,5,MATCH($B117,'MOA role matrix'!$B$1:$D$1,0))="If finance","Board member 1 (if finance), ","")IF(INDEX('MOA role matrix'!$B$2:$D$13,5,MATCH($B117,'MOA role matrix'!$B$1:$D$1,0))="Auto","Board member 1 (auto), ","")IF(INDEX('MOA role matrix'!$B$2:$D$13,6,MATCH($B117,'MOA role matrix'!$B$1:$D$1,0))="Fill","Board member 2, ","")IF(INDEX('MOA role matrix'!$B$2:$D$13,6,MATCH($B117,'MOA role matrix'!$B$1:$D$1,0))="If finance","Board member 2 (if finance), ","")IF(INDEX('MOA role matrix'!$B$2:$D$13,6,MATCH($B117,'MOA role matrix'!$B$1:$D$1,0))="Auto","Board member 2 (auto), ","")IF(INDEX('MOA role matrix'!$B$2:$D$13,7,MATCH($B117,'MOA role matrix'!$B$1:$D$1,0))="Fill","LOA holder 1, ","")IF(INDEX('MOA role matrix'!$B$2:$D$13,7,MATCH($B117,'MOA role matrix'!$B$1:$D$1,0))="If finance","LOA holder 1 (if finance), ","")IF(INDEX('MOA role matrix'!$B$2:$D$13,7,MATCH($B117,'MOA role matrix'!$B$1:$D$1,0))="Auto","LOA holder 1 (auto), ","")IF(INDEX('MOA role matrix'!$B$2:$D$13,8,MATCH($B117,'MOA role matrix'!$B$1:$D$1,0))="Fill","LOA holder 2, ","")IF(INDEX('MOA role matrix'!$B$2:$D$13,8,MATCH($B117,'MOA role matrix'!$B$1:$D$1,0))="If finance","LOA holder 2 (if finance), ","")IF(INDEX('MOA role matrix'!$B$2:$D$13,8,MATCH($B117,'MOA role matrix'!$B$1:$D$1,0))="Auto","LOA holder 2 (auto), ","")IF(INDEX('MOA role matrix'!$B$2:$D$13,9,MATCH($B117,'MOA role matrix'!$B$1:$D$1,0))="Fill","Senior Manager CoSec, ","")IF(INDEX('MOA role matrix'!$B$2:$D$13,9,MATCH($B117,'MOA role matrix'!$B$1:$D$1,0))="If finance","Senior Manager CoSec (if finance), ","")IF(INDEX('MOA role matrix'!$B$2:$D$13,9,MATCH($B117,'MOA role matrix'!$B$1:$D$1,0))="Auto","Senior Manager CoSec (auto), ","")IF(INDEX('MOA role matrix'!$B$2:$D$13,10,MATCH($B117,'MOA role matrix'!$B$1:$D$1,0))="Fill","Division MOI managers, ","")IF(INDEX('MOA role matrix'!$B$2:$D$13,10,MATCH($B117,'MOA role matrix'!$B$1:$D$1,0))="If finance","Division MOI managers (if finance), ","")IF(INDEX('MOA role matrix'!$B$2:$D$13,10,MATCH($B117,'MOA role matrix'!$B$1:$D$1,0))="Auto","Division MOI managers (auto), ","")IF(INDEX('MOA role matrix'!$B$2:$D$13,11,MATCH($B117,'MOA role matrix'!$B$1:$D$1,0))="Fill","Ms Teh (bank), ","")IF(INDEX('MOA role matrix'!$B$2:$D$13,11,MATCH($B117,'MOA role matrix'!$B$1:$D$1,0))="If finance","Ms Teh (bank) (if finance), ","")IF(INDEX('MOA role matrix'!$B$2:$D$13,11,MATCH($B117,'MOA role matrix'!$B$1:$D$1,0))="Auto","Ms Teh (bank) (auto), ","")IF(INDEX('MOA role matrix'!$B$2:$D$13,12,MATCH($B117,'MOA role matrix'!$B$1:$D$1,0))="Fill","DLCM, ","")IF(INDEX('MOA role matrix'!$B$2:$D$13,12,MATCH($B117,'MOA role matrix'!$B$1:$D$1,0))="If finance","DLCM (if finance), ","")IF(INDEX('MOA role matrix'!$B$2:$D$13,12,MATCH($B117,'MOA role matrix'!$B$1:$D$1,0))="Auto","DLCM (auto), ","")))</f>
        <v/>
      </c>
      <c r="D117" s="5">
        <f>IF($A117="","",IFERROR(INDEX(FILTER('Client contacts'!$B$2:$B$500,('Client contacts'!$A$2:$A$500=$A117)*('Client contacts'!$H$2:$H$500="Y"),""),1),""))</f>
        <v/>
      </c>
      <c r="E117" s="5">
        <f>IF($A117="","",IFERROR(INDEX(FILTER('Client contacts'!$C$2:$C$500,('Client contacts'!$A$2:$A$500=$A117)*('Client contacts'!$H$2:$H$500="Y"),""),1),""))</f>
        <v/>
      </c>
      <c r="F117" s="5">
        <f>IF($A117="","",IFERROR(INDEX(FILTER('Client contacts'!$B$2:$B$500,('Client contacts'!$A$2:$A$500=$A117)*('Client contacts'!$G$2:$G$500="Y"),""),1),""))</f>
        <v/>
      </c>
      <c r="G117" s="5">
        <f>IF($A117="","",IFERROR(INDEX(FILTER('Client contacts'!$C$2:$C$500,('Client contacts'!$A$2:$A$500=$A117)*('Client contacts'!$G$2:$G$500="Y"),""),1),""))</f>
        <v/>
      </c>
      <c r="H117" s="5">
        <f>IF($A117="","",IFERROR(INDEX(FILTER('Client contacts'!$B$2:$B$500,('Client contacts'!$A$2:$A$500=$A117)*('Client contacts'!$G$2:$G$500="Y"),""),2),""))</f>
        <v/>
      </c>
      <c r="I117" s="5">
        <f>IF($A117="","",IFERROR(INDEX(FILTER('Client contacts'!$C$2:$C$500,('Client contacts'!$A$2:$A$500=$A117)*('Client contacts'!$G$2:$G$500="Y"),""),2),""))</f>
        <v/>
      </c>
      <c r="J117" s="8" t="n"/>
      <c r="K117" s="8" t="n"/>
      <c r="L117" s="8" t="n"/>
      <c r="M117" s="8" t="n"/>
      <c r="N117" s="8" t="n"/>
      <c r="O117" s="8" t="n"/>
      <c r="P117" s="8" t="n"/>
      <c r="Q117" s="8" t="n"/>
      <c r="R117" s="5">
        <f>IF($A117="","",IFERROR(INDEX(Companies!$I$2:$I$500,MATCH($A117,Companies!$A$2:$A$500,0)),""))</f>
        <v/>
      </c>
      <c r="S117" s="8" t="n"/>
      <c r="T117" s="8" t="n"/>
      <c r="U117" s="8" t="n"/>
      <c r="V117" s="8" t="n"/>
      <c r="W117" s="8" t="n"/>
    </row>
    <row r="118">
      <c r="C118" s="5">
        <f>IF($B118="","",TRIM(IF(INDEX('MOA role matrix'!$B$2:$D$13,1,MATCH($B118,'MOA role matrix'!$B$1:$D$1,0))="Fill","Project initiator, ","")IF(INDEX('MOA role matrix'!$B$2:$D$13,1,MATCH($B118,'MOA role matrix'!$B$1:$D$1,0))="If finance","Project initiator (if finance), ","")IF(INDEX('MOA role matrix'!$B$2:$D$13,1,MATCH($B118,'MOA role matrix'!$B$1:$D$1,0))="Auto","Project initiator (auto), ","")IF(INDEX('MOA role matrix'!$B$2:$D$13,2,MATCH($B118,'MOA role matrix'!$B$1:$D$1,0))="Fill","MOA signers (client), ","")IF(INDEX('MOA role matrix'!$B$2:$D$13,2,MATCH($B118,'MOA role matrix'!$B$1:$D$1,0))="If finance","MOA signers (client) (if finance), ","")IF(INDEX('MOA role matrix'!$B$2:$D$13,2,MATCH($B118,'MOA role matrix'!$B$1:$D$1,0))="Auto","MOA signers (client) (auto), ","")IF(INDEX('MOA role matrix'!$B$2:$D$13,3,MATCH($B118,'MOA role matrix'!$B$1:$D$1,0))="Fill","CFO / Head of Finance, ","")IF(INDEX('MOA role matrix'!$B$2:$D$13,3,MATCH($B118,'MOA role matrix'!$B$1:$D$1,0))="If finance","CFO / Head of Finance (if finance), ","")IF(INDEX('MOA role matrix'!$B$2:$D$13,3,MATCH($B118,'MOA role matrix'!$B$1:$D$1,0))="Auto","CFO / Head of Finance (auto), ","")IF(INDEX('MOA role matrix'!$B$2:$D$13,4,MATCH($B118,'MOA role matrix'!$B$1:$D$1,0))="Fill","CEO / COO / GM, ","")IF(INDEX('MOA role matrix'!$B$2:$D$13,4,MATCH($B118,'MOA role matrix'!$B$1:$D$1,0))="If finance","CEO / COO / GM (if finance), ","")IF(INDEX('MOA role matrix'!$B$2:$D$13,4,MATCH($B118,'MOA role matrix'!$B$1:$D$1,0))="Auto","CEO / COO / GM (auto), ","")IF(INDEX('MOA role matrix'!$B$2:$D$13,5,MATCH($B118,'MOA role matrix'!$B$1:$D$1,0))="Fill","Board member 1, ","")IF(INDEX('MOA role matrix'!$B$2:$D$13,5,MATCH($B118,'MOA role matrix'!$B$1:$D$1,0))="If finance","Board member 1 (if finance), ","")IF(INDEX('MOA role matrix'!$B$2:$D$13,5,MATCH($B118,'MOA role matrix'!$B$1:$D$1,0))="Auto","Board member 1 (auto), ","")IF(INDEX('MOA role matrix'!$B$2:$D$13,6,MATCH($B118,'MOA role matrix'!$B$1:$D$1,0))="Fill","Board member 2, ","")IF(INDEX('MOA role matrix'!$B$2:$D$13,6,MATCH($B118,'MOA role matrix'!$B$1:$D$1,0))="If finance","Board member 2 (if finance), ","")IF(INDEX('MOA role matrix'!$B$2:$D$13,6,MATCH($B118,'MOA role matrix'!$B$1:$D$1,0))="Auto","Board member 2 (auto), ","")IF(INDEX('MOA role matrix'!$B$2:$D$13,7,MATCH($B118,'MOA role matrix'!$B$1:$D$1,0))="Fill","LOA holder 1, ","")IF(INDEX('MOA role matrix'!$B$2:$D$13,7,MATCH($B118,'MOA role matrix'!$B$1:$D$1,0))="If finance","LOA holder 1 (if finance), ","")IF(INDEX('MOA role matrix'!$B$2:$D$13,7,MATCH($B118,'MOA role matrix'!$B$1:$D$1,0))="Auto","LOA holder 1 (auto), ","")IF(INDEX('MOA role matrix'!$B$2:$D$13,8,MATCH($B118,'MOA role matrix'!$B$1:$D$1,0))="Fill","LOA holder 2, ","")IF(INDEX('MOA role matrix'!$B$2:$D$13,8,MATCH($B118,'MOA role matrix'!$B$1:$D$1,0))="If finance","LOA holder 2 (if finance), ","")IF(INDEX('MOA role matrix'!$B$2:$D$13,8,MATCH($B118,'MOA role matrix'!$B$1:$D$1,0))="Auto","LOA holder 2 (auto), ","")IF(INDEX('MOA role matrix'!$B$2:$D$13,9,MATCH($B118,'MOA role matrix'!$B$1:$D$1,0))="Fill","Senior Manager CoSec, ","")IF(INDEX('MOA role matrix'!$B$2:$D$13,9,MATCH($B118,'MOA role matrix'!$B$1:$D$1,0))="If finance","Senior Manager CoSec (if finance), ","")IF(INDEX('MOA role matrix'!$B$2:$D$13,9,MATCH($B118,'MOA role matrix'!$B$1:$D$1,0))="Auto","Senior Manager CoSec (auto), ","")IF(INDEX('MOA role matrix'!$B$2:$D$13,10,MATCH($B118,'MOA role matrix'!$B$1:$D$1,0))="Fill","Division MOI managers, ","")IF(INDEX('MOA role matrix'!$B$2:$D$13,10,MATCH($B118,'MOA role matrix'!$B$1:$D$1,0))="If finance","Division MOI managers (if finance), ","")IF(INDEX('MOA role matrix'!$B$2:$D$13,10,MATCH($B118,'MOA role matrix'!$B$1:$D$1,0))="Auto","Division MOI managers (auto), ","")IF(INDEX('MOA role matrix'!$B$2:$D$13,11,MATCH($B118,'MOA role matrix'!$B$1:$D$1,0))="Fill","Ms Teh (bank), ","")IF(INDEX('MOA role matrix'!$B$2:$D$13,11,MATCH($B118,'MOA role matrix'!$B$1:$D$1,0))="If finance","Ms Teh (bank) (if finance), ","")IF(INDEX('MOA role matrix'!$B$2:$D$13,11,MATCH($B118,'MOA role matrix'!$B$1:$D$1,0))="Auto","Ms Teh (bank) (auto), ","")IF(INDEX('MOA role matrix'!$B$2:$D$13,12,MATCH($B118,'MOA role matrix'!$B$1:$D$1,0))="Fill","DLCM, ","")IF(INDEX('MOA role matrix'!$B$2:$D$13,12,MATCH($B118,'MOA role matrix'!$B$1:$D$1,0))="If finance","DLCM (if finance), ","")IF(INDEX('MOA role matrix'!$B$2:$D$13,12,MATCH($B118,'MOA role matrix'!$B$1:$D$1,0))="Auto","DLCM (auto), ","")))</f>
        <v/>
      </c>
      <c r="D118" s="5">
        <f>IF($A118="","",IFERROR(INDEX(FILTER('Client contacts'!$B$2:$B$500,('Client contacts'!$A$2:$A$500=$A118)*('Client contacts'!$H$2:$H$500="Y"),""),1),""))</f>
        <v/>
      </c>
      <c r="E118" s="5">
        <f>IF($A118="","",IFERROR(INDEX(FILTER('Client contacts'!$C$2:$C$500,('Client contacts'!$A$2:$A$500=$A118)*('Client contacts'!$H$2:$H$500="Y"),""),1),""))</f>
        <v/>
      </c>
      <c r="F118" s="5">
        <f>IF($A118="","",IFERROR(INDEX(FILTER('Client contacts'!$B$2:$B$500,('Client contacts'!$A$2:$A$500=$A118)*('Client contacts'!$G$2:$G$500="Y"),""),1),""))</f>
        <v/>
      </c>
      <c r="G118" s="5">
        <f>IF($A118="","",IFERROR(INDEX(FILTER('Client contacts'!$C$2:$C$500,('Client contacts'!$A$2:$A$500=$A118)*('Client contacts'!$G$2:$G$500="Y"),""),1),""))</f>
        <v/>
      </c>
      <c r="H118" s="5">
        <f>IF($A118="","",IFERROR(INDEX(FILTER('Client contacts'!$B$2:$B$500,('Client contacts'!$A$2:$A$500=$A118)*('Client contacts'!$G$2:$G$500="Y"),""),2),""))</f>
        <v/>
      </c>
      <c r="I118" s="5">
        <f>IF($A118="","",IFERROR(INDEX(FILTER('Client contacts'!$C$2:$C$500,('Client contacts'!$A$2:$A$500=$A118)*('Client contacts'!$G$2:$G$500="Y"),""),2),""))</f>
        <v/>
      </c>
      <c r="J118" s="8" t="n"/>
      <c r="K118" s="8" t="n"/>
      <c r="L118" s="8" t="n"/>
      <c r="M118" s="8" t="n"/>
      <c r="N118" s="8" t="n"/>
      <c r="O118" s="8" t="n"/>
      <c r="P118" s="8" t="n"/>
      <c r="Q118" s="8" t="n"/>
      <c r="R118" s="5">
        <f>IF($A118="","",IFERROR(INDEX(Companies!$I$2:$I$500,MATCH($A118,Companies!$A$2:$A$500,0)),""))</f>
        <v/>
      </c>
      <c r="S118" s="8" t="n"/>
      <c r="T118" s="8" t="n"/>
      <c r="U118" s="8" t="n"/>
      <c r="V118" s="8" t="n"/>
      <c r="W118" s="8" t="n"/>
    </row>
    <row r="119">
      <c r="C119" s="5">
        <f>IF($B119="","",TRIM(IF(INDEX('MOA role matrix'!$B$2:$D$13,1,MATCH($B119,'MOA role matrix'!$B$1:$D$1,0))="Fill","Project initiator, ","")IF(INDEX('MOA role matrix'!$B$2:$D$13,1,MATCH($B119,'MOA role matrix'!$B$1:$D$1,0))="If finance","Project initiator (if finance), ","")IF(INDEX('MOA role matrix'!$B$2:$D$13,1,MATCH($B119,'MOA role matrix'!$B$1:$D$1,0))="Auto","Project initiator (auto), ","")IF(INDEX('MOA role matrix'!$B$2:$D$13,2,MATCH($B119,'MOA role matrix'!$B$1:$D$1,0))="Fill","MOA signers (client), ","")IF(INDEX('MOA role matrix'!$B$2:$D$13,2,MATCH($B119,'MOA role matrix'!$B$1:$D$1,0))="If finance","MOA signers (client) (if finance), ","")IF(INDEX('MOA role matrix'!$B$2:$D$13,2,MATCH($B119,'MOA role matrix'!$B$1:$D$1,0))="Auto","MOA signers (client) (auto), ","")IF(INDEX('MOA role matrix'!$B$2:$D$13,3,MATCH($B119,'MOA role matrix'!$B$1:$D$1,0))="Fill","CFO / Head of Finance, ","")IF(INDEX('MOA role matrix'!$B$2:$D$13,3,MATCH($B119,'MOA role matrix'!$B$1:$D$1,0))="If finance","CFO / Head of Finance (if finance), ","")IF(INDEX('MOA role matrix'!$B$2:$D$13,3,MATCH($B119,'MOA role matrix'!$B$1:$D$1,0))="Auto","CFO / Head of Finance (auto), ","")IF(INDEX('MOA role matrix'!$B$2:$D$13,4,MATCH($B119,'MOA role matrix'!$B$1:$D$1,0))="Fill","CEO / COO / GM, ","")IF(INDEX('MOA role matrix'!$B$2:$D$13,4,MATCH($B119,'MOA role matrix'!$B$1:$D$1,0))="If finance","CEO / COO / GM (if finance), ","")IF(INDEX('MOA role matrix'!$B$2:$D$13,4,MATCH($B119,'MOA role matrix'!$B$1:$D$1,0))="Auto","CEO / COO / GM (auto), ","")IF(INDEX('MOA role matrix'!$B$2:$D$13,5,MATCH($B119,'MOA role matrix'!$B$1:$D$1,0))="Fill","Board member 1, ","")IF(INDEX('MOA role matrix'!$B$2:$D$13,5,MATCH($B119,'MOA role matrix'!$B$1:$D$1,0))="If finance","Board member 1 (if finance), ","")IF(INDEX('MOA role matrix'!$B$2:$D$13,5,MATCH($B119,'MOA role matrix'!$B$1:$D$1,0))="Auto","Board member 1 (auto), ","")IF(INDEX('MOA role matrix'!$B$2:$D$13,6,MATCH($B119,'MOA role matrix'!$B$1:$D$1,0))="Fill","Board member 2, ","")IF(INDEX('MOA role matrix'!$B$2:$D$13,6,MATCH($B119,'MOA role matrix'!$B$1:$D$1,0))="If finance","Board member 2 (if finance), ","")IF(INDEX('MOA role matrix'!$B$2:$D$13,6,MATCH($B119,'MOA role matrix'!$B$1:$D$1,0))="Auto","Board member 2 (auto), ","")IF(INDEX('MOA role matrix'!$B$2:$D$13,7,MATCH($B119,'MOA role matrix'!$B$1:$D$1,0))="Fill","LOA holder 1, ","")IF(INDEX('MOA role matrix'!$B$2:$D$13,7,MATCH($B119,'MOA role matrix'!$B$1:$D$1,0))="If finance","LOA holder 1 (if finance), ","")IF(INDEX('MOA role matrix'!$B$2:$D$13,7,MATCH($B119,'MOA role matrix'!$B$1:$D$1,0))="Auto","LOA holder 1 (auto), ","")IF(INDEX('MOA role matrix'!$B$2:$D$13,8,MATCH($B119,'MOA role matrix'!$B$1:$D$1,0))="Fill","LOA holder 2, ","")IF(INDEX('MOA role matrix'!$B$2:$D$13,8,MATCH($B119,'MOA role matrix'!$B$1:$D$1,0))="If finance","LOA holder 2 (if finance), ","")IF(INDEX('MOA role matrix'!$B$2:$D$13,8,MATCH($B119,'MOA role matrix'!$B$1:$D$1,0))="Auto","LOA holder 2 (auto), ","")IF(INDEX('MOA role matrix'!$B$2:$D$13,9,MATCH($B119,'MOA role matrix'!$B$1:$D$1,0))="Fill","Senior Manager CoSec, ","")IF(INDEX('MOA role matrix'!$B$2:$D$13,9,MATCH($B119,'MOA role matrix'!$B$1:$D$1,0))="If finance","Senior Manager CoSec (if finance), ","")IF(INDEX('MOA role matrix'!$B$2:$D$13,9,MATCH($B119,'MOA role matrix'!$B$1:$D$1,0))="Auto","Senior Manager CoSec (auto), ","")IF(INDEX('MOA role matrix'!$B$2:$D$13,10,MATCH($B119,'MOA role matrix'!$B$1:$D$1,0))="Fill","Division MOI managers, ","")IF(INDEX('MOA role matrix'!$B$2:$D$13,10,MATCH($B119,'MOA role matrix'!$B$1:$D$1,0))="If finance","Division MOI managers (if finance), ","")IF(INDEX('MOA role matrix'!$B$2:$D$13,10,MATCH($B119,'MOA role matrix'!$B$1:$D$1,0))="Auto","Division MOI managers (auto), ","")IF(INDEX('MOA role matrix'!$B$2:$D$13,11,MATCH($B119,'MOA role matrix'!$B$1:$D$1,0))="Fill","Ms Teh (bank), ","")IF(INDEX('MOA role matrix'!$B$2:$D$13,11,MATCH($B119,'MOA role matrix'!$B$1:$D$1,0))="If finance","Ms Teh (bank) (if finance), ","")IF(INDEX('MOA role matrix'!$B$2:$D$13,11,MATCH($B119,'MOA role matrix'!$B$1:$D$1,0))="Auto","Ms Teh (bank) (auto), ","")IF(INDEX('MOA role matrix'!$B$2:$D$13,12,MATCH($B119,'MOA role matrix'!$B$1:$D$1,0))="Fill","DLCM, ","")IF(INDEX('MOA role matrix'!$B$2:$D$13,12,MATCH($B119,'MOA role matrix'!$B$1:$D$1,0))="If finance","DLCM (if finance), ","")IF(INDEX('MOA role matrix'!$B$2:$D$13,12,MATCH($B119,'MOA role matrix'!$B$1:$D$1,0))="Auto","DLCM (auto), ","")))</f>
        <v/>
      </c>
      <c r="D119" s="5">
        <f>IF($A119="","",IFERROR(INDEX(FILTER('Client contacts'!$B$2:$B$500,('Client contacts'!$A$2:$A$500=$A119)*('Client contacts'!$H$2:$H$500="Y"),""),1),""))</f>
        <v/>
      </c>
      <c r="E119" s="5">
        <f>IF($A119="","",IFERROR(INDEX(FILTER('Client contacts'!$C$2:$C$500,('Client contacts'!$A$2:$A$500=$A119)*('Client contacts'!$H$2:$H$500="Y"),""),1),""))</f>
        <v/>
      </c>
      <c r="F119" s="5">
        <f>IF($A119="","",IFERROR(INDEX(FILTER('Client contacts'!$B$2:$B$500,('Client contacts'!$A$2:$A$500=$A119)*('Client contacts'!$G$2:$G$500="Y"),""),1),""))</f>
        <v/>
      </c>
      <c r="G119" s="5">
        <f>IF($A119="","",IFERROR(INDEX(FILTER('Client contacts'!$C$2:$C$500,('Client contacts'!$A$2:$A$500=$A119)*('Client contacts'!$G$2:$G$500="Y"),""),1),""))</f>
        <v/>
      </c>
      <c r="H119" s="5">
        <f>IF($A119="","",IFERROR(INDEX(FILTER('Client contacts'!$B$2:$B$500,('Client contacts'!$A$2:$A$500=$A119)*('Client contacts'!$G$2:$G$500="Y"),""),2),""))</f>
        <v/>
      </c>
      <c r="I119" s="5">
        <f>IF($A119="","",IFERROR(INDEX(FILTER('Client contacts'!$C$2:$C$500,('Client contacts'!$A$2:$A$500=$A119)*('Client contacts'!$G$2:$G$500="Y"),""),2),""))</f>
        <v/>
      </c>
      <c r="J119" s="8" t="n"/>
      <c r="K119" s="8" t="n"/>
      <c r="L119" s="8" t="n"/>
      <c r="M119" s="8" t="n"/>
      <c r="N119" s="8" t="n"/>
      <c r="O119" s="8" t="n"/>
      <c r="P119" s="8" t="n"/>
      <c r="Q119" s="8" t="n"/>
      <c r="R119" s="5">
        <f>IF($A119="","",IFERROR(INDEX(Companies!$I$2:$I$500,MATCH($A119,Companies!$A$2:$A$500,0)),""))</f>
        <v/>
      </c>
      <c r="S119" s="8" t="n"/>
      <c r="T119" s="8" t="n"/>
      <c r="U119" s="8" t="n"/>
      <c r="V119" s="8" t="n"/>
      <c r="W119" s="8" t="n"/>
    </row>
    <row r="120">
      <c r="C120" s="5">
        <f>IF($B120="","",TRIM(IF(INDEX('MOA role matrix'!$B$2:$D$13,1,MATCH($B120,'MOA role matrix'!$B$1:$D$1,0))="Fill","Project initiator, ","")IF(INDEX('MOA role matrix'!$B$2:$D$13,1,MATCH($B120,'MOA role matrix'!$B$1:$D$1,0))="If finance","Project initiator (if finance), ","")IF(INDEX('MOA role matrix'!$B$2:$D$13,1,MATCH($B120,'MOA role matrix'!$B$1:$D$1,0))="Auto","Project initiator (auto), ","")IF(INDEX('MOA role matrix'!$B$2:$D$13,2,MATCH($B120,'MOA role matrix'!$B$1:$D$1,0))="Fill","MOA signers (client), ","")IF(INDEX('MOA role matrix'!$B$2:$D$13,2,MATCH($B120,'MOA role matrix'!$B$1:$D$1,0))="If finance","MOA signers (client) (if finance), ","")IF(INDEX('MOA role matrix'!$B$2:$D$13,2,MATCH($B120,'MOA role matrix'!$B$1:$D$1,0))="Auto","MOA signers (client) (auto), ","")IF(INDEX('MOA role matrix'!$B$2:$D$13,3,MATCH($B120,'MOA role matrix'!$B$1:$D$1,0))="Fill","CFO / Head of Finance, ","")IF(INDEX('MOA role matrix'!$B$2:$D$13,3,MATCH($B120,'MOA role matrix'!$B$1:$D$1,0))="If finance","CFO / Head of Finance (if finance), ","")IF(INDEX('MOA role matrix'!$B$2:$D$13,3,MATCH($B120,'MOA role matrix'!$B$1:$D$1,0))="Auto","CFO / Head of Finance (auto), ","")IF(INDEX('MOA role matrix'!$B$2:$D$13,4,MATCH($B120,'MOA role matrix'!$B$1:$D$1,0))="Fill","CEO / COO / GM, ","")IF(INDEX('MOA role matrix'!$B$2:$D$13,4,MATCH($B120,'MOA role matrix'!$B$1:$D$1,0))="If finance","CEO / COO / GM (if finance), ","")IF(INDEX('MOA role matrix'!$B$2:$D$13,4,MATCH($B120,'MOA role matrix'!$B$1:$D$1,0))="Auto","CEO / COO / GM (auto), ","")IF(INDEX('MOA role matrix'!$B$2:$D$13,5,MATCH($B120,'MOA role matrix'!$B$1:$D$1,0))="Fill","Board member 1, ","")IF(INDEX('MOA role matrix'!$B$2:$D$13,5,MATCH($B120,'MOA role matrix'!$B$1:$D$1,0))="If finance","Board member 1 (if finance), ","")IF(INDEX('MOA role matrix'!$B$2:$D$13,5,MATCH($B120,'MOA role matrix'!$B$1:$D$1,0))="Auto","Board member 1 (auto), ","")IF(INDEX('MOA role matrix'!$B$2:$D$13,6,MATCH($B120,'MOA role matrix'!$B$1:$D$1,0))="Fill","Board member 2, ","")IF(INDEX('MOA role matrix'!$B$2:$D$13,6,MATCH($B120,'MOA role matrix'!$B$1:$D$1,0))="If finance","Board member 2 (if finance), ","")IF(INDEX('MOA role matrix'!$B$2:$D$13,6,MATCH($B120,'MOA role matrix'!$B$1:$D$1,0))="Auto","Board member 2 (auto), ","")IF(INDEX('MOA role matrix'!$B$2:$D$13,7,MATCH($B120,'MOA role matrix'!$B$1:$D$1,0))="Fill","LOA holder 1, ","")IF(INDEX('MOA role matrix'!$B$2:$D$13,7,MATCH($B120,'MOA role matrix'!$B$1:$D$1,0))="If finance","LOA holder 1 (if finance), ","")IF(INDEX('MOA role matrix'!$B$2:$D$13,7,MATCH($B120,'MOA role matrix'!$B$1:$D$1,0))="Auto","LOA holder 1 (auto), ","")IF(INDEX('MOA role matrix'!$B$2:$D$13,8,MATCH($B120,'MOA role matrix'!$B$1:$D$1,0))="Fill","LOA holder 2, ","")IF(INDEX('MOA role matrix'!$B$2:$D$13,8,MATCH($B120,'MOA role matrix'!$B$1:$D$1,0))="If finance","LOA holder 2 (if finance), ","")IF(INDEX('MOA role matrix'!$B$2:$D$13,8,MATCH($B120,'MOA role matrix'!$B$1:$D$1,0))="Auto","LOA holder 2 (auto), ","")IF(INDEX('MOA role matrix'!$B$2:$D$13,9,MATCH($B120,'MOA role matrix'!$B$1:$D$1,0))="Fill","Senior Manager CoSec, ","")IF(INDEX('MOA role matrix'!$B$2:$D$13,9,MATCH($B120,'MOA role matrix'!$B$1:$D$1,0))="If finance","Senior Manager CoSec (if finance), ","")IF(INDEX('MOA role matrix'!$B$2:$D$13,9,MATCH($B120,'MOA role matrix'!$B$1:$D$1,0))="Auto","Senior Manager CoSec (auto), ","")IF(INDEX('MOA role matrix'!$B$2:$D$13,10,MATCH($B120,'MOA role matrix'!$B$1:$D$1,0))="Fill","Division MOI managers, ","")IF(INDEX('MOA role matrix'!$B$2:$D$13,10,MATCH($B120,'MOA role matrix'!$B$1:$D$1,0))="If finance","Division MOI managers (if finance), ","")IF(INDEX('MOA role matrix'!$B$2:$D$13,10,MATCH($B120,'MOA role matrix'!$B$1:$D$1,0))="Auto","Division MOI managers (auto), ","")IF(INDEX('MOA role matrix'!$B$2:$D$13,11,MATCH($B120,'MOA role matrix'!$B$1:$D$1,0))="Fill","Ms Teh (bank), ","")IF(INDEX('MOA role matrix'!$B$2:$D$13,11,MATCH($B120,'MOA role matrix'!$B$1:$D$1,0))="If finance","Ms Teh (bank) (if finance), ","")IF(INDEX('MOA role matrix'!$B$2:$D$13,11,MATCH($B120,'MOA role matrix'!$B$1:$D$1,0))="Auto","Ms Teh (bank) (auto), ","")IF(INDEX('MOA role matrix'!$B$2:$D$13,12,MATCH($B120,'MOA role matrix'!$B$1:$D$1,0))="Fill","DLCM, ","")IF(INDEX('MOA role matrix'!$B$2:$D$13,12,MATCH($B120,'MOA role matrix'!$B$1:$D$1,0))="If finance","DLCM (if finance), ","")IF(INDEX('MOA role matrix'!$B$2:$D$13,12,MATCH($B120,'MOA role matrix'!$B$1:$D$1,0))="Auto","DLCM (auto), ","")))</f>
        <v/>
      </c>
      <c r="D120" s="5">
        <f>IF($A120="","",IFERROR(INDEX(FILTER('Client contacts'!$B$2:$B$500,('Client contacts'!$A$2:$A$500=$A120)*('Client contacts'!$H$2:$H$500="Y"),""),1),""))</f>
        <v/>
      </c>
      <c r="E120" s="5">
        <f>IF($A120="","",IFERROR(INDEX(FILTER('Client contacts'!$C$2:$C$500,('Client contacts'!$A$2:$A$500=$A120)*('Client contacts'!$H$2:$H$500="Y"),""),1),""))</f>
        <v/>
      </c>
      <c r="F120" s="5">
        <f>IF($A120="","",IFERROR(INDEX(FILTER('Client contacts'!$B$2:$B$500,('Client contacts'!$A$2:$A$500=$A120)*('Client contacts'!$G$2:$G$500="Y"),""),1),""))</f>
        <v/>
      </c>
      <c r="G120" s="5">
        <f>IF($A120="","",IFERROR(INDEX(FILTER('Client contacts'!$C$2:$C$500,('Client contacts'!$A$2:$A$500=$A120)*('Client contacts'!$G$2:$G$500="Y"),""),1),""))</f>
        <v/>
      </c>
      <c r="H120" s="5">
        <f>IF($A120="","",IFERROR(INDEX(FILTER('Client contacts'!$B$2:$B$500,('Client contacts'!$A$2:$A$500=$A120)*('Client contacts'!$G$2:$G$500="Y"),""),2),""))</f>
        <v/>
      </c>
      <c r="I120" s="5">
        <f>IF($A120="","",IFERROR(INDEX(FILTER('Client contacts'!$C$2:$C$500,('Client contacts'!$A$2:$A$500=$A120)*('Client contacts'!$G$2:$G$500="Y"),""),2),""))</f>
        <v/>
      </c>
      <c r="J120" s="8" t="n"/>
      <c r="K120" s="8" t="n"/>
      <c r="L120" s="8" t="n"/>
      <c r="M120" s="8" t="n"/>
      <c r="N120" s="8" t="n"/>
      <c r="O120" s="8" t="n"/>
      <c r="P120" s="8" t="n"/>
      <c r="Q120" s="8" t="n"/>
      <c r="R120" s="5">
        <f>IF($A120="","",IFERROR(INDEX(Companies!$I$2:$I$500,MATCH($A120,Companies!$A$2:$A$500,0)),""))</f>
        <v/>
      </c>
      <c r="S120" s="8" t="n"/>
      <c r="T120" s="8" t="n"/>
      <c r="U120" s="8" t="n"/>
      <c r="V120" s="8" t="n"/>
      <c r="W120" s="8" t="n"/>
    </row>
    <row r="121">
      <c r="C121" s="5">
        <f>IF($B121="","",TRIM(IF(INDEX('MOA role matrix'!$B$2:$D$13,1,MATCH($B121,'MOA role matrix'!$B$1:$D$1,0))="Fill","Project initiator, ","")IF(INDEX('MOA role matrix'!$B$2:$D$13,1,MATCH($B121,'MOA role matrix'!$B$1:$D$1,0))="If finance","Project initiator (if finance), ","")IF(INDEX('MOA role matrix'!$B$2:$D$13,1,MATCH($B121,'MOA role matrix'!$B$1:$D$1,0))="Auto","Project initiator (auto), ","")IF(INDEX('MOA role matrix'!$B$2:$D$13,2,MATCH($B121,'MOA role matrix'!$B$1:$D$1,0))="Fill","MOA signers (client), ","")IF(INDEX('MOA role matrix'!$B$2:$D$13,2,MATCH($B121,'MOA role matrix'!$B$1:$D$1,0))="If finance","MOA signers (client) (if finance), ","")IF(INDEX('MOA role matrix'!$B$2:$D$13,2,MATCH($B121,'MOA role matrix'!$B$1:$D$1,0))="Auto","MOA signers (client) (auto), ","")IF(INDEX('MOA role matrix'!$B$2:$D$13,3,MATCH($B121,'MOA role matrix'!$B$1:$D$1,0))="Fill","CFO / Head of Finance, ","")IF(INDEX('MOA role matrix'!$B$2:$D$13,3,MATCH($B121,'MOA role matrix'!$B$1:$D$1,0))="If finance","CFO / Head of Finance (if finance), ","")IF(INDEX('MOA role matrix'!$B$2:$D$13,3,MATCH($B121,'MOA role matrix'!$B$1:$D$1,0))="Auto","CFO / Head of Finance (auto), ","")IF(INDEX('MOA role matrix'!$B$2:$D$13,4,MATCH($B121,'MOA role matrix'!$B$1:$D$1,0))="Fill","CEO / COO / GM, ","")IF(INDEX('MOA role matrix'!$B$2:$D$13,4,MATCH($B121,'MOA role matrix'!$B$1:$D$1,0))="If finance","CEO / COO / GM (if finance), ","")IF(INDEX('MOA role matrix'!$B$2:$D$13,4,MATCH($B121,'MOA role matrix'!$B$1:$D$1,0))="Auto","CEO / COO / GM (auto), ","")IF(INDEX('MOA role matrix'!$B$2:$D$13,5,MATCH($B121,'MOA role matrix'!$B$1:$D$1,0))="Fill","Board member 1, ","")IF(INDEX('MOA role matrix'!$B$2:$D$13,5,MATCH($B121,'MOA role matrix'!$B$1:$D$1,0))="If finance","Board member 1 (if finance), ","")IF(INDEX('MOA role matrix'!$B$2:$D$13,5,MATCH($B121,'MOA role matrix'!$B$1:$D$1,0))="Auto","Board member 1 (auto), ","")IF(INDEX('MOA role matrix'!$B$2:$D$13,6,MATCH($B121,'MOA role matrix'!$B$1:$D$1,0))="Fill","Board member 2, ","")IF(INDEX('MOA role matrix'!$B$2:$D$13,6,MATCH($B121,'MOA role matrix'!$B$1:$D$1,0))="If finance","Board member 2 (if finance), ","")IF(INDEX('MOA role matrix'!$B$2:$D$13,6,MATCH($B121,'MOA role matrix'!$B$1:$D$1,0))="Auto","Board member 2 (auto), ","")IF(INDEX('MOA role matrix'!$B$2:$D$13,7,MATCH($B121,'MOA role matrix'!$B$1:$D$1,0))="Fill","LOA holder 1, ","")IF(INDEX('MOA role matrix'!$B$2:$D$13,7,MATCH($B121,'MOA role matrix'!$B$1:$D$1,0))="If finance","LOA holder 1 (if finance), ","")IF(INDEX('MOA role matrix'!$B$2:$D$13,7,MATCH($B121,'MOA role matrix'!$B$1:$D$1,0))="Auto","LOA holder 1 (auto), ","")IF(INDEX('MOA role matrix'!$B$2:$D$13,8,MATCH($B121,'MOA role matrix'!$B$1:$D$1,0))="Fill","LOA holder 2, ","")IF(INDEX('MOA role matrix'!$B$2:$D$13,8,MATCH($B121,'MOA role matrix'!$B$1:$D$1,0))="If finance","LOA holder 2 (if finance), ","")IF(INDEX('MOA role matrix'!$B$2:$D$13,8,MATCH($B121,'MOA role matrix'!$B$1:$D$1,0))="Auto","LOA holder 2 (auto), ","")IF(INDEX('MOA role matrix'!$B$2:$D$13,9,MATCH($B121,'MOA role matrix'!$B$1:$D$1,0))="Fill","Senior Manager CoSec, ","")IF(INDEX('MOA role matrix'!$B$2:$D$13,9,MATCH($B121,'MOA role matrix'!$B$1:$D$1,0))="If finance","Senior Manager CoSec (if finance), ","")IF(INDEX('MOA role matrix'!$B$2:$D$13,9,MATCH($B121,'MOA role matrix'!$B$1:$D$1,0))="Auto","Senior Manager CoSec (auto), ","")IF(INDEX('MOA role matrix'!$B$2:$D$13,10,MATCH($B121,'MOA role matrix'!$B$1:$D$1,0))="Fill","Division MOI managers, ","")IF(INDEX('MOA role matrix'!$B$2:$D$13,10,MATCH($B121,'MOA role matrix'!$B$1:$D$1,0))="If finance","Division MOI managers (if finance), ","")IF(INDEX('MOA role matrix'!$B$2:$D$13,10,MATCH($B121,'MOA role matrix'!$B$1:$D$1,0))="Auto","Division MOI managers (auto), ","")IF(INDEX('MOA role matrix'!$B$2:$D$13,11,MATCH($B121,'MOA role matrix'!$B$1:$D$1,0))="Fill","Ms Teh (bank), ","")IF(INDEX('MOA role matrix'!$B$2:$D$13,11,MATCH($B121,'MOA role matrix'!$B$1:$D$1,0))="If finance","Ms Teh (bank) (if finance), ","")IF(INDEX('MOA role matrix'!$B$2:$D$13,11,MATCH($B121,'MOA role matrix'!$B$1:$D$1,0))="Auto","Ms Teh (bank) (auto), ","")IF(INDEX('MOA role matrix'!$B$2:$D$13,12,MATCH($B121,'MOA role matrix'!$B$1:$D$1,0))="Fill","DLCM, ","")IF(INDEX('MOA role matrix'!$B$2:$D$13,12,MATCH($B121,'MOA role matrix'!$B$1:$D$1,0))="If finance","DLCM (if finance), ","")IF(INDEX('MOA role matrix'!$B$2:$D$13,12,MATCH($B121,'MOA role matrix'!$B$1:$D$1,0))="Auto","DLCM (auto), ","")))</f>
        <v/>
      </c>
      <c r="D121" s="5">
        <f>IF($A121="","",IFERROR(INDEX(FILTER('Client contacts'!$B$2:$B$500,('Client contacts'!$A$2:$A$500=$A121)*('Client contacts'!$H$2:$H$500="Y"),""),1),""))</f>
        <v/>
      </c>
      <c r="E121" s="5">
        <f>IF($A121="","",IFERROR(INDEX(FILTER('Client contacts'!$C$2:$C$500,('Client contacts'!$A$2:$A$500=$A121)*('Client contacts'!$H$2:$H$500="Y"),""),1),""))</f>
        <v/>
      </c>
      <c r="F121" s="5">
        <f>IF($A121="","",IFERROR(INDEX(FILTER('Client contacts'!$B$2:$B$500,('Client contacts'!$A$2:$A$500=$A121)*('Client contacts'!$G$2:$G$500="Y"),""),1),""))</f>
        <v/>
      </c>
      <c r="G121" s="5">
        <f>IF($A121="","",IFERROR(INDEX(FILTER('Client contacts'!$C$2:$C$500,('Client contacts'!$A$2:$A$500=$A121)*('Client contacts'!$G$2:$G$500="Y"),""),1),""))</f>
        <v/>
      </c>
      <c r="H121" s="5">
        <f>IF($A121="","",IFERROR(INDEX(FILTER('Client contacts'!$B$2:$B$500,('Client contacts'!$A$2:$A$500=$A121)*('Client contacts'!$G$2:$G$500="Y"),""),2),""))</f>
        <v/>
      </c>
      <c r="I121" s="5">
        <f>IF($A121="","",IFERROR(INDEX(FILTER('Client contacts'!$C$2:$C$500,('Client contacts'!$A$2:$A$500=$A121)*('Client contacts'!$G$2:$G$500="Y"),""),2),""))</f>
        <v/>
      </c>
      <c r="J121" s="8" t="n"/>
      <c r="K121" s="8" t="n"/>
      <c r="L121" s="8" t="n"/>
      <c r="M121" s="8" t="n"/>
      <c r="N121" s="8" t="n"/>
      <c r="O121" s="8" t="n"/>
      <c r="P121" s="8" t="n"/>
      <c r="Q121" s="8" t="n"/>
      <c r="R121" s="5">
        <f>IF($A121="","",IFERROR(INDEX(Companies!$I$2:$I$500,MATCH($A121,Companies!$A$2:$A$500,0)),""))</f>
        <v/>
      </c>
      <c r="S121" s="8" t="n"/>
      <c r="T121" s="8" t="n"/>
      <c r="U121" s="8" t="n"/>
      <c r="V121" s="8" t="n"/>
      <c r="W121" s="8" t="n"/>
    </row>
    <row r="122">
      <c r="C122" s="5">
        <f>IF($B122="","",TRIM(IF(INDEX('MOA role matrix'!$B$2:$D$13,1,MATCH($B122,'MOA role matrix'!$B$1:$D$1,0))="Fill","Project initiator, ","")IF(INDEX('MOA role matrix'!$B$2:$D$13,1,MATCH($B122,'MOA role matrix'!$B$1:$D$1,0))="If finance","Project initiator (if finance), ","")IF(INDEX('MOA role matrix'!$B$2:$D$13,1,MATCH($B122,'MOA role matrix'!$B$1:$D$1,0))="Auto","Project initiator (auto), ","")IF(INDEX('MOA role matrix'!$B$2:$D$13,2,MATCH($B122,'MOA role matrix'!$B$1:$D$1,0))="Fill","MOA signers (client), ","")IF(INDEX('MOA role matrix'!$B$2:$D$13,2,MATCH($B122,'MOA role matrix'!$B$1:$D$1,0))="If finance","MOA signers (client) (if finance), ","")IF(INDEX('MOA role matrix'!$B$2:$D$13,2,MATCH($B122,'MOA role matrix'!$B$1:$D$1,0))="Auto","MOA signers (client) (auto), ","")IF(INDEX('MOA role matrix'!$B$2:$D$13,3,MATCH($B122,'MOA role matrix'!$B$1:$D$1,0))="Fill","CFO / Head of Finance, ","")IF(INDEX('MOA role matrix'!$B$2:$D$13,3,MATCH($B122,'MOA role matrix'!$B$1:$D$1,0))="If finance","CFO / Head of Finance (if finance), ","")IF(INDEX('MOA role matrix'!$B$2:$D$13,3,MATCH($B122,'MOA role matrix'!$B$1:$D$1,0))="Auto","CFO / Head of Finance (auto), ","")IF(INDEX('MOA role matrix'!$B$2:$D$13,4,MATCH($B122,'MOA role matrix'!$B$1:$D$1,0))="Fill","CEO / COO / GM, ","")IF(INDEX('MOA role matrix'!$B$2:$D$13,4,MATCH($B122,'MOA role matrix'!$B$1:$D$1,0))="If finance","CEO / COO / GM (if finance), ","")IF(INDEX('MOA role matrix'!$B$2:$D$13,4,MATCH($B122,'MOA role matrix'!$B$1:$D$1,0))="Auto","CEO / COO / GM (auto), ","")IF(INDEX('MOA role matrix'!$B$2:$D$13,5,MATCH($B122,'MOA role matrix'!$B$1:$D$1,0))="Fill","Board member 1, ","")IF(INDEX('MOA role matrix'!$B$2:$D$13,5,MATCH($B122,'MOA role matrix'!$B$1:$D$1,0))="If finance","Board member 1 (if finance), ","")IF(INDEX('MOA role matrix'!$B$2:$D$13,5,MATCH($B122,'MOA role matrix'!$B$1:$D$1,0))="Auto","Board member 1 (auto), ","")IF(INDEX('MOA role matrix'!$B$2:$D$13,6,MATCH($B122,'MOA role matrix'!$B$1:$D$1,0))="Fill","Board member 2, ","")IF(INDEX('MOA role matrix'!$B$2:$D$13,6,MATCH($B122,'MOA role matrix'!$B$1:$D$1,0))="If finance","Board member 2 (if finance), ","")IF(INDEX('MOA role matrix'!$B$2:$D$13,6,MATCH($B122,'MOA role matrix'!$B$1:$D$1,0))="Auto","Board member 2 (auto), ","")IF(INDEX('MOA role matrix'!$B$2:$D$13,7,MATCH($B122,'MOA role matrix'!$B$1:$D$1,0))="Fill","LOA holder 1, ","")IF(INDEX('MOA role matrix'!$B$2:$D$13,7,MATCH($B122,'MOA role matrix'!$B$1:$D$1,0))="If finance","LOA holder 1 (if finance), ","")IF(INDEX('MOA role matrix'!$B$2:$D$13,7,MATCH($B122,'MOA role matrix'!$B$1:$D$1,0))="Auto","LOA holder 1 (auto), ","")IF(INDEX('MOA role matrix'!$B$2:$D$13,8,MATCH($B122,'MOA role matrix'!$B$1:$D$1,0))="Fill","LOA holder 2, ","")IF(INDEX('MOA role matrix'!$B$2:$D$13,8,MATCH($B122,'MOA role matrix'!$B$1:$D$1,0))="If finance","LOA holder 2 (if finance), ","")IF(INDEX('MOA role matrix'!$B$2:$D$13,8,MATCH($B122,'MOA role matrix'!$B$1:$D$1,0))="Auto","LOA holder 2 (auto), ","")IF(INDEX('MOA role matrix'!$B$2:$D$13,9,MATCH($B122,'MOA role matrix'!$B$1:$D$1,0))="Fill","Senior Manager CoSec, ","")IF(INDEX('MOA role matrix'!$B$2:$D$13,9,MATCH($B122,'MOA role matrix'!$B$1:$D$1,0))="If finance","Senior Manager CoSec (if finance), ","")IF(INDEX('MOA role matrix'!$B$2:$D$13,9,MATCH($B122,'MOA role matrix'!$B$1:$D$1,0))="Auto","Senior Manager CoSec (auto), ","")IF(INDEX('MOA role matrix'!$B$2:$D$13,10,MATCH($B122,'MOA role matrix'!$B$1:$D$1,0))="Fill","Division MOI managers, ","")IF(INDEX('MOA role matrix'!$B$2:$D$13,10,MATCH($B122,'MOA role matrix'!$B$1:$D$1,0))="If finance","Division MOI managers (if finance), ","")IF(INDEX('MOA role matrix'!$B$2:$D$13,10,MATCH($B122,'MOA role matrix'!$B$1:$D$1,0))="Auto","Division MOI managers (auto), ","")IF(INDEX('MOA role matrix'!$B$2:$D$13,11,MATCH($B122,'MOA role matrix'!$B$1:$D$1,0))="Fill","Ms Teh (bank), ","")IF(INDEX('MOA role matrix'!$B$2:$D$13,11,MATCH($B122,'MOA role matrix'!$B$1:$D$1,0))="If finance","Ms Teh (bank) (if finance), ","")IF(INDEX('MOA role matrix'!$B$2:$D$13,11,MATCH($B122,'MOA role matrix'!$B$1:$D$1,0))="Auto","Ms Teh (bank) (auto), ","")IF(INDEX('MOA role matrix'!$B$2:$D$13,12,MATCH($B122,'MOA role matrix'!$B$1:$D$1,0))="Fill","DLCM, ","")IF(INDEX('MOA role matrix'!$B$2:$D$13,12,MATCH($B122,'MOA role matrix'!$B$1:$D$1,0))="If finance","DLCM (if finance), ","")IF(INDEX('MOA role matrix'!$B$2:$D$13,12,MATCH($B122,'MOA role matrix'!$B$1:$D$1,0))="Auto","DLCM (auto), ","")))</f>
        <v/>
      </c>
      <c r="D122" s="5">
        <f>IF($A122="","",IFERROR(INDEX(FILTER('Client contacts'!$B$2:$B$500,('Client contacts'!$A$2:$A$500=$A122)*('Client contacts'!$H$2:$H$500="Y"),""),1),""))</f>
        <v/>
      </c>
      <c r="E122" s="5">
        <f>IF($A122="","",IFERROR(INDEX(FILTER('Client contacts'!$C$2:$C$500,('Client contacts'!$A$2:$A$500=$A122)*('Client contacts'!$H$2:$H$500="Y"),""),1),""))</f>
        <v/>
      </c>
      <c r="F122" s="5">
        <f>IF($A122="","",IFERROR(INDEX(FILTER('Client contacts'!$B$2:$B$500,('Client contacts'!$A$2:$A$500=$A122)*('Client contacts'!$G$2:$G$500="Y"),""),1),""))</f>
        <v/>
      </c>
      <c r="G122" s="5">
        <f>IF($A122="","",IFERROR(INDEX(FILTER('Client contacts'!$C$2:$C$500,('Client contacts'!$A$2:$A$500=$A122)*('Client contacts'!$G$2:$G$500="Y"),""),1),""))</f>
        <v/>
      </c>
      <c r="H122" s="5">
        <f>IF($A122="","",IFERROR(INDEX(FILTER('Client contacts'!$B$2:$B$500,('Client contacts'!$A$2:$A$500=$A122)*('Client contacts'!$G$2:$G$500="Y"),""),2),""))</f>
        <v/>
      </c>
      <c r="I122" s="5">
        <f>IF($A122="","",IFERROR(INDEX(FILTER('Client contacts'!$C$2:$C$500,('Client contacts'!$A$2:$A$500=$A122)*('Client contacts'!$G$2:$G$500="Y"),""),2),""))</f>
        <v/>
      </c>
      <c r="J122" s="8" t="n"/>
      <c r="K122" s="8" t="n"/>
      <c r="L122" s="8" t="n"/>
      <c r="M122" s="8" t="n"/>
      <c r="N122" s="8" t="n"/>
      <c r="O122" s="8" t="n"/>
      <c r="P122" s="8" t="n"/>
      <c r="Q122" s="8" t="n"/>
      <c r="R122" s="5">
        <f>IF($A122="","",IFERROR(INDEX(Companies!$I$2:$I$500,MATCH($A122,Companies!$A$2:$A$500,0)),""))</f>
        <v/>
      </c>
      <c r="S122" s="8" t="n"/>
      <c r="T122" s="8" t="n"/>
      <c r="U122" s="8" t="n"/>
      <c r="V122" s="8" t="n"/>
      <c r="W122" s="8" t="n"/>
    </row>
    <row r="123">
      <c r="C123" s="5">
        <f>IF($B123="","",TRIM(IF(INDEX('MOA role matrix'!$B$2:$D$13,1,MATCH($B123,'MOA role matrix'!$B$1:$D$1,0))="Fill","Project initiator, ","")IF(INDEX('MOA role matrix'!$B$2:$D$13,1,MATCH($B123,'MOA role matrix'!$B$1:$D$1,0))="If finance","Project initiator (if finance), ","")IF(INDEX('MOA role matrix'!$B$2:$D$13,1,MATCH($B123,'MOA role matrix'!$B$1:$D$1,0))="Auto","Project initiator (auto), ","")IF(INDEX('MOA role matrix'!$B$2:$D$13,2,MATCH($B123,'MOA role matrix'!$B$1:$D$1,0))="Fill","MOA signers (client), ","")IF(INDEX('MOA role matrix'!$B$2:$D$13,2,MATCH($B123,'MOA role matrix'!$B$1:$D$1,0))="If finance","MOA signers (client) (if finance), ","")IF(INDEX('MOA role matrix'!$B$2:$D$13,2,MATCH($B123,'MOA role matrix'!$B$1:$D$1,0))="Auto","MOA signers (client) (auto), ","")IF(INDEX('MOA role matrix'!$B$2:$D$13,3,MATCH($B123,'MOA role matrix'!$B$1:$D$1,0))="Fill","CFO / Head of Finance, ","")IF(INDEX('MOA role matrix'!$B$2:$D$13,3,MATCH($B123,'MOA role matrix'!$B$1:$D$1,0))="If finance","CFO / Head of Finance (if finance), ","")IF(INDEX('MOA role matrix'!$B$2:$D$13,3,MATCH($B123,'MOA role matrix'!$B$1:$D$1,0))="Auto","CFO / Head of Finance (auto), ","")IF(INDEX('MOA role matrix'!$B$2:$D$13,4,MATCH($B123,'MOA role matrix'!$B$1:$D$1,0))="Fill","CEO / COO / GM, ","")IF(INDEX('MOA role matrix'!$B$2:$D$13,4,MATCH($B123,'MOA role matrix'!$B$1:$D$1,0))="If finance","CEO / COO / GM (if finance), ","")IF(INDEX('MOA role matrix'!$B$2:$D$13,4,MATCH($B123,'MOA role matrix'!$B$1:$D$1,0))="Auto","CEO / COO / GM (auto), ","")IF(INDEX('MOA role matrix'!$B$2:$D$13,5,MATCH($B123,'MOA role matrix'!$B$1:$D$1,0))="Fill","Board member 1, ","")IF(INDEX('MOA role matrix'!$B$2:$D$13,5,MATCH($B123,'MOA role matrix'!$B$1:$D$1,0))="If finance","Board member 1 (if finance), ","")IF(INDEX('MOA role matrix'!$B$2:$D$13,5,MATCH($B123,'MOA role matrix'!$B$1:$D$1,0))="Auto","Board member 1 (auto), ","")IF(INDEX('MOA role matrix'!$B$2:$D$13,6,MATCH($B123,'MOA role matrix'!$B$1:$D$1,0))="Fill","Board member 2, ","")IF(INDEX('MOA role matrix'!$B$2:$D$13,6,MATCH($B123,'MOA role matrix'!$B$1:$D$1,0))="If finance","Board member 2 (if finance), ","")IF(INDEX('MOA role matrix'!$B$2:$D$13,6,MATCH($B123,'MOA role matrix'!$B$1:$D$1,0))="Auto","Board member 2 (auto), ","")IF(INDEX('MOA role matrix'!$B$2:$D$13,7,MATCH($B123,'MOA role matrix'!$B$1:$D$1,0))="Fill","LOA holder 1, ","")IF(INDEX('MOA role matrix'!$B$2:$D$13,7,MATCH($B123,'MOA role matrix'!$B$1:$D$1,0))="If finance","LOA holder 1 (if finance), ","")IF(INDEX('MOA role matrix'!$B$2:$D$13,7,MATCH($B123,'MOA role matrix'!$B$1:$D$1,0))="Auto","LOA holder 1 (auto), ","")IF(INDEX('MOA role matrix'!$B$2:$D$13,8,MATCH($B123,'MOA role matrix'!$B$1:$D$1,0))="Fill","LOA holder 2, ","")IF(INDEX('MOA role matrix'!$B$2:$D$13,8,MATCH($B123,'MOA role matrix'!$B$1:$D$1,0))="If finance","LOA holder 2 (if finance), ","")IF(INDEX('MOA role matrix'!$B$2:$D$13,8,MATCH($B123,'MOA role matrix'!$B$1:$D$1,0))="Auto","LOA holder 2 (auto), ","")IF(INDEX('MOA role matrix'!$B$2:$D$13,9,MATCH($B123,'MOA role matrix'!$B$1:$D$1,0))="Fill","Senior Manager CoSec, ","")IF(INDEX('MOA role matrix'!$B$2:$D$13,9,MATCH($B123,'MOA role matrix'!$B$1:$D$1,0))="If finance","Senior Manager CoSec (if finance), ","")IF(INDEX('MOA role matrix'!$B$2:$D$13,9,MATCH($B123,'MOA role matrix'!$B$1:$D$1,0))="Auto","Senior Manager CoSec (auto), ","")IF(INDEX('MOA role matrix'!$B$2:$D$13,10,MATCH($B123,'MOA role matrix'!$B$1:$D$1,0))="Fill","Division MOI managers, ","")IF(INDEX('MOA role matrix'!$B$2:$D$13,10,MATCH($B123,'MOA role matrix'!$B$1:$D$1,0))="If finance","Division MOI managers (if finance), ","")IF(INDEX('MOA role matrix'!$B$2:$D$13,10,MATCH($B123,'MOA role matrix'!$B$1:$D$1,0))="Auto","Division MOI managers (auto), ","")IF(INDEX('MOA role matrix'!$B$2:$D$13,11,MATCH($B123,'MOA role matrix'!$B$1:$D$1,0))="Fill","Ms Teh (bank), ","")IF(INDEX('MOA role matrix'!$B$2:$D$13,11,MATCH($B123,'MOA role matrix'!$B$1:$D$1,0))="If finance","Ms Teh (bank) (if finance), ","")IF(INDEX('MOA role matrix'!$B$2:$D$13,11,MATCH($B123,'MOA role matrix'!$B$1:$D$1,0))="Auto","Ms Teh (bank) (auto), ","")IF(INDEX('MOA role matrix'!$B$2:$D$13,12,MATCH($B123,'MOA role matrix'!$B$1:$D$1,0))="Fill","DLCM, ","")IF(INDEX('MOA role matrix'!$B$2:$D$13,12,MATCH($B123,'MOA role matrix'!$B$1:$D$1,0))="If finance","DLCM (if finance), ","")IF(INDEX('MOA role matrix'!$B$2:$D$13,12,MATCH($B123,'MOA role matrix'!$B$1:$D$1,0))="Auto","DLCM (auto), ","")))</f>
        <v/>
      </c>
      <c r="D123" s="5">
        <f>IF($A123="","",IFERROR(INDEX(FILTER('Client contacts'!$B$2:$B$500,('Client contacts'!$A$2:$A$500=$A123)*('Client contacts'!$H$2:$H$500="Y"),""),1),""))</f>
        <v/>
      </c>
      <c r="E123" s="5">
        <f>IF($A123="","",IFERROR(INDEX(FILTER('Client contacts'!$C$2:$C$500,('Client contacts'!$A$2:$A$500=$A123)*('Client contacts'!$H$2:$H$500="Y"),""),1),""))</f>
        <v/>
      </c>
      <c r="F123" s="5">
        <f>IF($A123="","",IFERROR(INDEX(FILTER('Client contacts'!$B$2:$B$500,('Client contacts'!$A$2:$A$500=$A123)*('Client contacts'!$G$2:$G$500="Y"),""),1),""))</f>
        <v/>
      </c>
      <c r="G123" s="5">
        <f>IF($A123="","",IFERROR(INDEX(FILTER('Client contacts'!$C$2:$C$500,('Client contacts'!$A$2:$A$500=$A123)*('Client contacts'!$G$2:$G$500="Y"),""),1),""))</f>
        <v/>
      </c>
      <c r="H123" s="5">
        <f>IF($A123="","",IFERROR(INDEX(FILTER('Client contacts'!$B$2:$B$500,('Client contacts'!$A$2:$A$500=$A123)*('Client contacts'!$G$2:$G$500="Y"),""),2),""))</f>
        <v/>
      </c>
      <c r="I123" s="5">
        <f>IF($A123="","",IFERROR(INDEX(FILTER('Client contacts'!$C$2:$C$500,('Client contacts'!$A$2:$A$500=$A123)*('Client contacts'!$G$2:$G$500="Y"),""),2),""))</f>
        <v/>
      </c>
      <c r="J123" s="8" t="n"/>
      <c r="K123" s="8" t="n"/>
      <c r="L123" s="8" t="n"/>
      <c r="M123" s="8" t="n"/>
      <c r="N123" s="8" t="n"/>
      <c r="O123" s="8" t="n"/>
      <c r="P123" s="8" t="n"/>
      <c r="Q123" s="8" t="n"/>
      <c r="R123" s="5">
        <f>IF($A123="","",IFERROR(INDEX(Companies!$I$2:$I$500,MATCH($A123,Companies!$A$2:$A$500,0)),""))</f>
        <v/>
      </c>
      <c r="S123" s="8" t="n"/>
      <c r="T123" s="8" t="n"/>
      <c r="U123" s="8" t="n"/>
      <c r="V123" s="8" t="n"/>
      <c r="W123" s="8" t="n"/>
    </row>
    <row r="124">
      <c r="C124" s="5">
        <f>IF($B124="","",TRIM(IF(INDEX('MOA role matrix'!$B$2:$D$13,1,MATCH($B124,'MOA role matrix'!$B$1:$D$1,0))="Fill","Project initiator, ","")IF(INDEX('MOA role matrix'!$B$2:$D$13,1,MATCH($B124,'MOA role matrix'!$B$1:$D$1,0))="If finance","Project initiator (if finance), ","")IF(INDEX('MOA role matrix'!$B$2:$D$13,1,MATCH($B124,'MOA role matrix'!$B$1:$D$1,0))="Auto","Project initiator (auto), ","")IF(INDEX('MOA role matrix'!$B$2:$D$13,2,MATCH($B124,'MOA role matrix'!$B$1:$D$1,0))="Fill","MOA signers (client), ","")IF(INDEX('MOA role matrix'!$B$2:$D$13,2,MATCH($B124,'MOA role matrix'!$B$1:$D$1,0))="If finance","MOA signers (client) (if finance), ","")IF(INDEX('MOA role matrix'!$B$2:$D$13,2,MATCH($B124,'MOA role matrix'!$B$1:$D$1,0))="Auto","MOA signers (client) (auto), ","")IF(INDEX('MOA role matrix'!$B$2:$D$13,3,MATCH($B124,'MOA role matrix'!$B$1:$D$1,0))="Fill","CFO / Head of Finance, ","")IF(INDEX('MOA role matrix'!$B$2:$D$13,3,MATCH($B124,'MOA role matrix'!$B$1:$D$1,0))="If finance","CFO / Head of Finance (if finance), ","")IF(INDEX('MOA role matrix'!$B$2:$D$13,3,MATCH($B124,'MOA role matrix'!$B$1:$D$1,0))="Auto","CFO / Head of Finance (auto), ","")IF(INDEX('MOA role matrix'!$B$2:$D$13,4,MATCH($B124,'MOA role matrix'!$B$1:$D$1,0))="Fill","CEO / COO / GM, ","")IF(INDEX('MOA role matrix'!$B$2:$D$13,4,MATCH($B124,'MOA role matrix'!$B$1:$D$1,0))="If finance","CEO / COO / GM (if finance), ","")IF(INDEX('MOA role matrix'!$B$2:$D$13,4,MATCH($B124,'MOA role matrix'!$B$1:$D$1,0))="Auto","CEO / COO / GM (auto), ","")IF(INDEX('MOA role matrix'!$B$2:$D$13,5,MATCH($B124,'MOA role matrix'!$B$1:$D$1,0))="Fill","Board member 1, ","")IF(INDEX('MOA role matrix'!$B$2:$D$13,5,MATCH($B124,'MOA role matrix'!$B$1:$D$1,0))="If finance","Board member 1 (if finance), ","")IF(INDEX('MOA role matrix'!$B$2:$D$13,5,MATCH($B124,'MOA role matrix'!$B$1:$D$1,0))="Auto","Board member 1 (auto), ","")IF(INDEX('MOA role matrix'!$B$2:$D$13,6,MATCH($B124,'MOA role matrix'!$B$1:$D$1,0))="Fill","Board member 2, ","")IF(INDEX('MOA role matrix'!$B$2:$D$13,6,MATCH($B124,'MOA role matrix'!$B$1:$D$1,0))="If finance","Board member 2 (if finance), ","")IF(INDEX('MOA role matrix'!$B$2:$D$13,6,MATCH($B124,'MOA role matrix'!$B$1:$D$1,0))="Auto","Board member 2 (auto), ","")IF(INDEX('MOA role matrix'!$B$2:$D$13,7,MATCH($B124,'MOA role matrix'!$B$1:$D$1,0))="Fill","LOA holder 1, ","")IF(INDEX('MOA role matrix'!$B$2:$D$13,7,MATCH($B124,'MOA role matrix'!$B$1:$D$1,0))="If finance","LOA holder 1 (if finance), ","")IF(INDEX('MOA role matrix'!$B$2:$D$13,7,MATCH($B124,'MOA role matrix'!$B$1:$D$1,0))="Auto","LOA holder 1 (auto), ","")IF(INDEX('MOA role matrix'!$B$2:$D$13,8,MATCH($B124,'MOA role matrix'!$B$1:$D$1,0))="Fill","LOA holder 2, ","")IF(INDEX('MOA role matrix'!$B$2:$D$13,8,MATCH($B124,'MOA role matrix'!$B$1:$D$1,0))="If finance","LOA holder 2 (if finance), ","")IF(INDEX('MOA role matrix'!$B$2:$D$13,8,MATCH($B124,'MOA role matrix'!$B$1:$D$1,0))="Auto","LOA holder 2 (auto), ","")IF(INDEX('MOA role matrix'!$B$2:$D$13,9,MATCH($B124,'MOA role matrix'!$B$1:$D$1,0))="Fill","Senior Manager CoSec, ","")IF(INDEX('MOA role matrix'!$B$2:$D$13,9,MATCH($B124,'MOA role matrix'!$B$1:$D$1,0))="If finance","Senior Manager CoSec (if finance), ","")IF(INDEX('MOA role matrix'!$B$2:$D$13,9,MATCH($B124,'MOA role matrix'!$B$1:$D$1,0))="Auto","Senior Manager CoSec (auto), ","")IF(INDEX('MOA role matrix'!$B$2:$D$13,10,MATCH($B124,'MOA role matrix'!$B$1:$D$1,0))="Fill","Division MOI managers, ","")IF(INDEX('MOA role matrix'!$B$2:$D$13,10,MATCH($B124,'MOA role matrix'!$B$1:$D$1,0))="If finance","Division MOI managers (if finance), ","")IF(INDEX('MOA role matrix'!$B$2:$D$13,10,MATCH($B124,'MOA role matrix'!$B$1:$D$1,0))="Auto","Division MOI managers (auto), ","")IF(INDEX('MOA role matrix'!$B$2:$D$13,11,MATCH($B124,'MOA role matrix'!$B$1:$D$1,0))="Fill","Ms Teh (bank), ","")IF(INDEX('MOA role matrix'!$B$2:$D$13,11,MATCH($B124,'MOA role matrix'!$B$1:$D$1,0))="If finance","Ms Teh (bank) (if finance), ","")IF(INDEX('MOA role matrix'!$B$2:$D$13,11,MATCH($B124,'MOA role matrix'!$B$1:$D$1,0))="Auto","Ms Teh (bank) (auto), ","")IF(INDEX('MOA role matrix'!$B$2:$D$13,12,MATCH($B124,'MOA role matrix'!$B$1:$D$1,0))="Fill","DLCM, ","")IF(INDEX('MOA role matrix'!$B$2:$D$13,12,MATCH($B124,'MOA role matrix'!$B$1:$D$1,0))="If finance","DLCM (if finance), ","")IF(INDEX('MOA role matrix'!$B$2:$D$13,12,MATCH($B124,'MOA role matrix'!$B$1:$D$1,0))="Auto","DLCM (auto), ","")))</f>
        <v/>
      </c>
      <c r="D124" s="5">
        <f>IF($A124="","",IFERROR(INDEX(FILTER('Client contacts'!$B$2:$B$500,('Client contacts'!$A$2:$A$500=$A124)*('Client contacts'!$H$2:$H$500="Y"),""),1),""))</f>
        <v/>
      </c>
      <c r="E124" s="5">
        <f>IF($A124="","",IFERROR(INDEX(FILTER('Client contacts'!$C$2:$C$500,('Client contacts'!$A$2:$A$500=$A124)*('Client contacts'!$H$2:$H$500="Y"),""),1),""))</f>
        <v/>
      </c>
      <c r="F124" s="5">
        <f>IF($A124="","",IFERROR(INDEX(FILTER('Client contacts'!$B$2:$B$500,('Client contacts'!$A$2:$A$500=$A124)*('Client contacts'!$G$2:$G$500="Y"),""),1),""))</f>
        <v/>
      </c>
      <c r="G124" s="5">
        <f>IF($A124="","",IFERROR(INDEX(FILTER('Client contacts'!$C$2:$C$500,('Client contacts'!$A$2:$A$500=$A124)*('Client contacts'!$G$2:$G$500="Y"),""),1),""))</f>
        <v/>
      </c>
      <c r="H124" s="5">
        <f>IF($A124="","",IFERROR(INDEX(FILTER('Client contacts'!$B$2:$B$500,('Client contacts'!$A$2:$A$500=$A124)*('Client contacts'!$G$2:$G$500="Y"),""),2),""))</f>
        <v/>
      </c>
      <c r="I124" s="5">
        <f>IF($A124="","",IFERROR(INDEX(FILTER('Client contacts'!$C$2:$C$500,('Client contacts'!$A$2:$A$500=$A124)*('Client contacts'!$G$2:$G$500="Y"),""),2),""))</f>
        <v/>
      </c>
      <c r="J124" s="8" t="n"/>
      <c r="K124" s="8" t="n"/>
      <c r="L124" s="8" t="n"/>
      <c r="M124" s="8" t="n"/>
      <c r="N124" s="8" t="n"/>
      <c r="O124" s="8" t="n"/>
      <c r="P124" s="8" t="n"/>
      <c r="Q124" s="8" t="n"/>
      <c r="R124" s="5">
        <f>IF($A124="","",IFERROR(INDEX(Companies!$I$2:$I$500,MATCH($A124,Companies!$A$2:$A$500,0)),""))</f>
        <v/>
      </c>
      <c r="S124" s="8" t="n"/>
      <c r="T124" s="8" t="n"/>
      <c r="U124" s="8" t="n"/>
      <c r="V124" s="8" t="n"/>
      <c r="W124" s="8" t="n"/>
    </row>
    <row r="125">
      <c r="C125" s="5">
        <f>IF($B125="","",TRIM(IF(INDEX('MOA role matrix'!$B$2:$D$13,1,MATCH($B125,'MOA role matrix'!$B$1:$D$1,0))="Fill","Project initiator, ","")IF(INDEX('MOA role matrix'!$B$2:$D$13,1,MATCH($B125,'MOA role matrix'!$B$1:$D$1,0))="If finance","Project initiator (if finance), ","")IF(INDEX('MOA role matrix'!$B$2:$D$13,1,MATCH($B125,'MOA role matrix'!$B$1:$D$1,0))="Auto","Project initiator (auto), ","")IF(INDEX('MOA role matrix'!$B$2:$D$13,2,MATCH($B125,'MOA role matrix'!$B$1:$D$1,0))="Fill","MOA signers (client), ","")IF(INDEX('MOA role matrix'!$B$2:$D$13,2,MATCH($B125,'MOA role matrix'!$B$1:$D$1,0))="If finance","MOA signers (client) (if finance), ","")IF(INDEX('MOA role matrix'!$B$2:$D$13,2,MATCH($B125,'MOA role matrix'!$B$1:$D$1,0))="Auto","MOA signers (client) (auto), ","")IF(INDEX('MOA role matrix'!$B$2:$D$13,3,MATCH($B125,'MOA role matrix'!$B$1:$D$1,0))="Fill","CFO / Head of Finance, ","")IF(INDEX('MOA role matrix'!$B$2:$D$13,3,MATCH($B125,'MOA role matrix'!$B$1:$D$1,0))="If finance","CFO / Head of Finance (if finance), ","")IF(INDEX('MOA role matrix'!$B$2:$D$13,3,MATCH($B125,'MOA role matrix'!$B$1:$D$1,0))="Auto","CFO / Head of Finance (auto), ","")IF(INDEX('MOA role matrix'!$B$2:$D$13,4,MATCH($B125,'MOA role matrix'!$B$1:$D$1,0))="Fill","CEO / COO / GM, ","")IF(INDEX('MOA role matrix'!$B$2:$D$13,4,MATCH($B125,'MOA role matrix'!$B$1:$D$1,0))="If finance","CEO / COO / GM (if finance), ","")IF(INDEX('MOA role matrix'!$B$2:$D$13,4,MATCH($B125,'MOA role matrix'!$B$1:$D$1,0))="Auto","CEO / COO / GM (auto), ","")IF(INDEX('MOA role matrix'!$B$2:$D$13,5,MATCH($B125,'MOA role matrix'!$B$1:$D$1,0))="Fill","Board member 1, ","")IF(INDEX('MOA role matrix'!$B$2:$D$13,5,MATCH($B125,'MOA role matrix'!$B$1:$D$1,0))="If finance","Board member 1 (if finance), ","")IF(INDEX('MOA role matrix'!$B$2:$D$13,5,MATCH($B125,'MOA role matrix'!$B$1:$D$1,0))="Auto","Board member 1 (auto), ","")IF(INDEX('MOA role matrix'!$B$2:$D$13,6,MATCH($B125,'MOA role matrix'!$B$1:$D$1,0))="Fill","Board member 2, ","")IF(INDEX('MOA role matrix'!$B$2:$D$13,6,MATCH($B125,'MOA role matrix'!$B$1:$D$1,0))="If finance","Board member 2 (if finance), ","")IF(INDEX('MOA role matrix'!$B$2:$D$13,6,MATCH($B125,'MOA role matrix'!$B$1:$D$1,0))="Auto","Board member 2 (auto), ","")IF(INDEX('MOA role matrix'!$B$2:$D$13,7,MATCH($B125,'MOA role matrix'!$B$1:$D$1,0))="Fill","LOA holder 1, ","")IF(INDEX('MOA role matrix'!$B$2:$D$13,7,MATCH($B125,'MOA role matrix'!$B$1:$D$1,0))="If finance","LOA holder 1 (if finance), ","")IF(INDEX('MOA role matrix'!$B$2:$D$13,7,MATCH($B125,'MOA role matrix'!$B$1:$D$1,0))="Auto","LOA holder 1 (auto), ","")IF(INDEX('MOA role matrix'!$B$2:$D$13,8,MATCH($B125,'MOA role matrix'!$B$1:$D$1,0))="Fill","LOA holder 2, ","")IF(INDEX('MOA role matrix'!$B$2:$D$13,8,MATCH($B125,'MOA role matrix'!$B$1:$D$1,0))="If finance","LOA holder 2 (if finance), ","")IF(INDEX('MOA role matrix'!$B$2:$D$13,8,MATCH($B125,'MOA role matrix'!$B$1:$D$1,0))="Auto","LOA holder 2 (auto), ","")IF(INDEX('MOA role matrix'!$B$2:$D$13,9,MATCH($B125,'MOA role matrix'!$B$1:$D$1,0))="Fill","Senior Manager CoSec, ","")IF(INDEX('MOA role matrix'!$B$2:$D$13,9,MATCH($B125,'MOA role matrix'!$B$1:$D$1,0))="If finance","Senior Manager CoSec (if finance), ","")IF(INDEX('MOA role matrix'!$B$2:$D$13,9,MATCH($B125,'MOA role matrix'!$B$1:$D$1,0))="Auto","Senior Manager CoSec (auto), ","")IF(INDEX('MOA role matrix'!$B$2:$D$13,10,MATCH($B125,'MOA role matrix'!$B$1:$D$1,0))="Fill","Division MOI managers, ","")IF(INDEX('MOA role matrix'!$B$2:$D$13,10,MATCH($B125,'MOA role matrix'!$B$1:$D$1,0))="If finance","Division MOI managers (if finance), ","")IF(INDEX('MOA role matrix'!$B$2:$D$13,10,MATCH($B125,'MOA role matrix'!$B$1:$D$1,0))="Auto","Division MOI managers (auto), ","")IF(INDEX('MOA role matrix'!$B$2:$D$13,11,MATCH($B125,'MOA role matrix'!$B$1:$D$1,0))="Fill","Ms Teh (bank), ","")IF(INDEX('MOA role matrix'!$B$2:$D$13,11,MATCH($B125,'MOA role matrix'!$B$1:$D$1,0))="If finance","Ms Teh (bank) (if finance), ","")IF(INDEX('MOA role matrix'!$B$2:$D$13,11,MATCH($B125,'MOA role matrix'!$B$1:$D$1,0))="Auto","Ms Teh (bank) (auto), ","")IF(INDEX('MOA role matrix'!$B$2:$D$13,12,MATCH($B125,'MOA role matrix'!$B$1:$D$1,0))="Fill","DLCM, ","")IF(INDEX('MOA role matrix'!$B$2:$D$13,12,MATCH($B125,'MOA role matrix'!$B$1:$D$1,0))="If finance","DLCM (if finance), ","")IF(INDEX('MOA role matrix'!$B$2:$D$13,12,MATCH($B125,'MOA role matrix'!$B$1:$D$1,0))="Auto","DLCM (auto), ","")))</f>
        <v/>
      </c>
      <c r="D125" s="5">
        <f>IF($A125="","",IFERROR(INDEX(FILTER('Client contacts'!$B$2:$B$500,('Client contacts'!$A$2:$A$500=$A125)*('Client contacts'!$H$2:$H$500="Y"),""),1),""))</f>
        <v/>
      </c>
      <c r="E125" s="5">
        <f>IF($A125="","",IFERROR(INDEX(FILTER('Client contacts'!$C$2:$C$500,('Client contacts'!$A$2:$A$500=$A125)*('Client contacts'!$H$2:$H$500="Y"),""),1),""))</f>
        <v/>
      </c>
      <c r="F125" s="5">
        <f>IF($A125="","",IFERROR(INDEX(FILTER('Client contacts'!$B$2:$B$500,('Client contacts'!$A$2:$A$500=$A125)*('Client contacts'!$G$2:$G$500="Y"),""),1),""))</f>
        <v/>
      </c>
      <c r="G125" s="5">
        <f>IF($A125="","",IFERROR(INDEX(FILTER('Client contacts'!$C$2:$C$500,('Client contacts'!$A$2:$A$500=$A125)*('Client contacts'!$G$2:$G$500="Y"),""),1),""))</f>
        <v/>
      </c>
      <c r="H125" s="5">
        <f>IF($A125="","",IFERROR(INDEX(FILTER('Client contacts'!$B$2:$B$500,('Client contacts'!$A$2:$A$500=$A125)*('Client contacts'!$G$2:$G$500="Y"),""),2),""))</f>
        <v/>
      </c>
      <c r="I125" s="5">
        <f>IF($A125="","",IFERROR(INDEX(FILTER('Client contacts'!$C$2:$C$500,('Client contacts'!$A$2:$A$500=$A125)*('Client contacts'!$G$2:$G$500="Y"),""),2),""))</f>
        <v/>
      </c>
      <c r="J125" s="8" t="n"/>
      <c r="K125" s="8" t="n"/>
      <c r="L125" s="8" t="n"/>
      <c r="M125" s="8" t="n"/>
      <c r="N125" s="8" t="n"/>
      <c r="O125" s="8" t="n"/>
      <c r="P125" s="8" t="n"/>
      <c r="Q125" s="8" t="n"/>
      <c r="R125" s="5">
        <f>IF($A125="","",IFERROR(INDEX(Companies!$I$2:$I$500,MATCH($A125,Companies!$A$2:$A$500,0)),""))</f>
        <v/>
      </c>
      <c r="S125" s="8" t="n"/>
      <c r="T125" s="8" t="n"/>
      <c r="U125" s="8" t="n"/>
      <c r="V125" s="8" t="n"/>
      <c r="W125" s="8" t="n"/>
    </row>
    <row r="126">
      <c r="C126" s="5">
        <f>IF($B126="","",TRIM(IF(INDEX('MOA role matrix'!$B$2:$D$13,1,MATCH($B126,'MOA role matrix'!$B$1:$D$1,0))="Fill","Project initiator, ","")IF(INDEX('MOA role matrix'!$B$2:$D$13,1,MATCH($B126,'MOA role matrix'!$B$1:$D$1,0))="If finance","Project initiator (if finance), ","")IF(INDEX('MOA role matrix'!$B$2:$D$13,1,MATCH($B126,'MOA role matrix'!$B$1:$D$1,0))="Auto","Project initiator (auto), ","")IF(INDEX('MOA role matrix'!$B$2:$D$13,2,MATCH($B126,'MOA role matrix'!$B$1:$D$1,0))="Fill","MOA signers (client), ","")IF(INDEX('MOA role matrix'!$B$2:$D$13,2,MATCH($B126,'MOA role matrix'!$B$1:$D$1,0))="If finance","MOA signers (client) (if finance), ","")IF(INDEX('MOA role matrix'!$B$2:$D$13,2,MATCH($B126,'MOA role matrix'!$B$1:$D$1,0))="Auto","MOA signers (client) (auto), ","")IF(INDEX('MOA role matrix'!$B$2:$D$13,3,MATCH($B126,'MOA role matrix'!$B$1:$D$1,0))="Fill","CFO / Head of Finance, ","")IF(INDEX('MOA role matrix'!$B$2:$D$13,3,MATCH($B126,'MOA role matrix'!$B$1:$D$1,0))="If finance","CFO / Head of Finance (if finance), ","")IF(INDEX('MOA role matrix'!$B$2:$D$13,3,MATCH($B126,'MOA role matrix'!$B$1:$D$1,0))="Auto","CFO / Head of Finance (auto), ","")IF(INDEX('MOA role matrix'!$B$2:$D$13,4,MATCH($B126,'MOA role matrix'!$B$1:$D$1,0))="Fill","CEO / COO / GM, ","")IF(INDEX('MOA role matrix'!$B$2:$D$13,4,MATCH($B126,'MOA role matrix'!$B$1:$D$1,0))="If finance","CEO / COO / GM (if finance), ","")IF(INDEX('MOA role matrix'!$B$2:$D$13,4,MATCH($B126,'MOA role matrix'!$B$1:$D$1,0))="Auto","CEO / COO / GM (auto), ","")IF(INDEX('MOA role matrix'!$B$2:$D$13,5,MATCH($B126,'MOA role matrix'!$B$1:$D$1,0))="Fill","Board member 1, ","")IF(INDEX('MOA role matrix'!$B$2:$D$13,5,MATCH($B126,'MOA role matrix'!$B$1:$D$1,0))="If finance","Board member 1 (if finance), ","")IF(INDEX('MOA role matrix'!$B$2:$D$13,5,MATCH($B126,'MOA role matrix'!$B$1:$D$1,0))="Auto","Board member 1 (auto), ","")IF(INDEX('MOA role matrix'!$B$2:$D$13,6,MATCH($B126,'MOA role matrix'!$B$1:$D$1,0))="Fill","Board member 2, ","")IF(INDEX('MOA role matrix'!$B$2:$D$13,6,MATCH($B126,'MOA role matrix'!$B$1:$D$1,0))="If finance","Board member 2 (if finance), ","")IF(INDEX('MOA role matrix'!$B$2:$D$13,6,MATCH($B126,'MOA role matrix'!$B$1:$D$1,0))="Auto","Board member 2 (auto), ","")IF(INDEX('MOA role matrix'!$B$2:$D$13,7,MATCH($B126,'MOA role matrix'!$B$1:$D$1,0))="Fill","LOA holder 1, ","")IF(INDEX('MOA role matrix'!$B$2:$D$13,7,MATCH($B126,'MOA role matrix'!$B$1:$D$1,0))="If finance","LOA holder 1 (if finance), ","")IF(INDEX('MOA role matrix'!$B$2:$D$13,7,MATCH($B126,'MOA role matrix'!$B$1:$D$1,0))="Auto","LOA holder 1 (auto), ","")IF(INDEX('MOA role matrix'!$B$2:$D$13,8,MATCH($B126,'MOA role matrix'!$B$1:$D$1,0))="Fill","LOA holder 2, ","")IF(INDEX('MOA role matrix'!$B$2:$D$13,8,MATCH($B126,'MOA role matrix'!$B$1:$D$1,0))="If finance","LOA holder 2 (if finance), ","")IF(INDEX('MOA role matrix'!$B$2:$D$13,8,MATCH($B126,'MOA role matrix'!$B$1:$D$1,0))="Auto","LOA holder 2 (auto), ","")IF(INDEX('MOA role matrix'!$B$2:$D$13,9,MATCH($B126,'MOA role matrix'!$B$1:$D$1,0))="Fill","Senior Manager CoSec, ","")IF(INDEX('MOA role matrix'!$B$2:$D$13,9,MATCH($B126,'MOA role matrix'!$B$1:$D$1,0))="If finance","Senior Manager CoSec (if finance), ","")IF(INDEX('MOA role matrix'!$B$2:$D$13,9,MATCH($B126,'MOA role matrix'!$B$1:$D$1,0))="Auto","Senior Manager CoSec (auto), ","")IF(INDEX('MOA role matrix'!$B$2:$D$13,10,MATCH($B126,'MOA role matrix'!$B$1:$D$1,0))="Fill","Division MOI managers, ","")IF(INDEX('MOA role matrix'!$B$2:$D$13,10,MATCH($B126,'MOA role matrix'!$B$1:$D$1,0))="If finance","Division MOI managers (if finance), ","")IF(INDEX('MOA role matrix'!$B$2:$D$13,10,MATCH($B126,'MOA role matrix'!$B$1:$D$1,0))="Auto","Division MOI managers (auto), ","")IF(INDEX('MOA role matrix'!$B$2:$D$13,11,MATCH($B126,'MOA role matrix'!$B$1:$D$1,0))="Fill","Ms Teh (bank), ","")IF(INDEX('MOA role matrix'!$B$2:$D$13,11,MATCH($B126,'MOA role matrix'!$B$1:$D$1,0))="If finance","Ms Teh (bank) (if finance), ","")IF(INDEX('MOA role matrix'!$B$2:$D$13,11,MATCH($B126,'MOA role matrix'!$B$1:$D$1,0))="Auto","Ms Teh (bank) (auto), ","")IF(INDEX('MOA role matrix'!$B$2:$D$13,12,MATCH($B126,'MOA role matrix'!$B$1:$D$1,0))="Fill","DLCM, ","")IF(INDEX('MOA role matrix'!$B$2:$D$13,12,MATCH($B126,'MOA role matrix'!$B$1:$D$1,0))="If finance","DLCM (if finance), ","")IF(INDEX('MOA role matrix'!$B$2:$D$13,12,MATCH($B126,'MOA role matrix'!$B$1:$D$1,0))="Auto","DLCM (auto), ","")))</f>
        <v/>
      </c>
      <c r="D126" s="5">
        <f>IF($A126="","",IFERROR(INDEX(FILTER('Client contacts'!$B$2:$B$500,('Client contacts'!$A$2:$A$500=$A126)*('Client contacts'!$H$2:$H$500="Y"),""),1),""))</f>
        <v/>
      </c>
      <c r="E126" s="5">
        <f>IF($A126="","",IFERROR(INDEX(FILTER('Client contacts'!$C$2:$C$500,('Client contacts'!$A$2:$A$500=$A126)*('Client contacts'!$H$2:$H$500="Y"),""),1),""))</f>
        <v/>
      </c>
      <c r="F126" s="5">
        <f>IF($A126="","",IFERROR(INDEX(FILTER('Client contacts'!$B$2:$B$500,('Client contacts'!$A$2:$A$500=$A126)*('Client contacts'!$G$2:$G$500="Y"),""),1),""))</f>
        <v/>
      </c>
      <c r="G126" s="5">
        <f>IF($A126="","",IFERROR(INDEX(FILTER('Client contacts'!$C$2:$C$500,('Client contacts'!$A$2:$A$500=$A126)*('Client contacts'!$G$2:$G$500="Y"),""),1),""))</f>
        <v/>
      </c>
      <c r="H126" s="5">
        <f>IF($A126="","",IFERROR(INDEX(FILTER('Client contacts'!$B$2:$B$500,('Client contacts'!$A$2:$A$500=$A126)*('Client contacts'!$G$2:$G$500="Y"),""),2),""))</f>
        <v/>
      </c>
      <c r="I126" s="5">
        <f>IF($A126="","",IFERROR(INDEX(FILTER('Client contacts'!$C$2:$C$500,('Client contacts'!$A$2:$A$500=$A126)*('Client contacts'!$G$2:$G$500="Y"),""),2),""))</f>
        <v/>
      </c>
      <c r="J126" s="8" t="n"/>
      <c r="K126" s="8" t="n"/>
      <c r="L126" s="8" t="n"/>
      <c r="M126" s="8" t="n"/>
      <c r="N126" s="8" t="n"/>
      <c r="O126" s="8" t="n"/>
      <c r="P126" s="8" t="n"/>
      <c r="Q126" s="8" t="n"/>
      <c r="R126" s="5">
        <f>IF($A126="","",IFERROR(INDEX(Companies!$I$2:$I$500,MATCH($A126,Companies!$A$2:$A$500,0)),""))</f>
        <v/>
      </c>
      <c r="S126" s="8" t="n"/>
      <c r="T126" s="8" t="n"/>
      <c r="U126" s="8" t="n"/>
      <c r="V126" s="8" t="n"/>
      <c r="W126" s="8" t="n"/>
    </row>
    <row r="127">
      <c r="C127" s="5">
        <f>IF($B127="","",TRIM(IF(INDEX('MOA role matrix'!$B$2:$D$13,1,MATCH($B127,'MOA role matrix'!$B$1:$D$1,0))="Fill","Project initiator, ","")IF(INDEX('MOA role matrix'!$B$2:$D$13,1,MATCH($B127,'MOA role matrix'!$B$1:$D$1,0))="If finance","Project initiator (if finance), ","")IF(INDEX('MOA role matrix'!$B$2:$D$13,1,MATCH($B127,'MOA role matrix'!$B$1:$D$1,0))="Auto","Project initiator (auto), ","")IF(INDEX('MOA role matrix'!$B$2:$D$13,2,MATCH($B127,'MOA role matrix'!$B$1:$D$1,0))="Fill","MOA signers (client), ","")IF(INDEX('MOA role matrix'!$B$2:$D$13,2,MATCH($B127,'MOA role matrix'!$B$1:$D$1,0))="If finance","MOA signers (client) (if finance), ","")IF(INDEX('MOA role matrix'!$B$2:$D$13,2,MATCH($B127,'MOA role matrix'!$B$1:$D$1,0))="Auto","MOA signers (client) (auto), ","")IF(INDEX('MOA role matrix'!$B$2:$D$13,3,MATCH($B127,'MOA role matrix'!$B$1:$D$1,0))="Fill","CFO / Head of Finance, ","")IF(INDEX('MOA role matrix'!$B$2:$D$13,3,MATCH($B127,'MOA role matrix'!$B$1:$D$1,0))="If finance","CFO / Head of Finance (if finance), ","")IF(INDEX('MOA role matrix'!$B$2:$D$13,3,MATCH($B127,'MOA role matrix'!$B$1:$D$1,0))="Auto","CFO / Head of Finance (auto), ","")IF(INDEX('MOA role matrix'!$B$2:$D$13,4,MATCH($B127,'MOA role matrix'!$B$1:$D$1,0))="Fill","CEO / COO / GM, ","")IF(INDEX('MOA role matrix'!$B$2:$D$13,4,MATCH($B127,'MOA role matrix'!$B$1:$D$1,0))="If finance","CEO / COO / GM (if finance), ","")IF(INDEX('MOA role matrix'!$B$2:$D$13,4,MATCH($B127,'MOA role matrix'!$B$1:$D$1,0))="Auto","CEO / COO / GM (auto), ","")IF(INDEX('MOA role matrix'!$B$2:$D$13,5,MATCH($B127,'MOA role matrix'!$B$1:$D$1,0))="Fill","Board member 1, ","")IF(INDEX('MOA role matrix'!$B$2:$D$13,5,MATCH($B127,'MOA role matrix'!$B$1:$D$1,0))="If finance","Board member 1 (if finance), ","")IF(INDEX('MOA role matrix'!$B$2:$D$13,5,MATCH($B127,'MOA role matrix'!$B$1:$D$1,0))="Auto","Board member 1 (auto), ","")IF(INDEX('MOA role matrix'!$B$2:$D$13,6,MATCH($B127,'MOA role matrix'!$B$1:$D$1,0))="Fill","Board member 2, ","")IF(INDEX('MOA role matrix'!$B$2:$D$13,6,MATCH($B127,'MOA role matrix'!$B$1:$D$1,0))="If finance","Board member 2 (if finance), ","")IF(INDEX('MOA role matrix'!$B$2:$D$13,6,MATCH($B127,'MOA role matrix'!$B$1:$D$1,0))="Auto","Board member 2 (auto), ","")IF(INDEX('MOA role matrix'!$B$2:$D$13,7,MATCH($B127,'MOA role matrix'!$B$1:$D$1,0))="Fill","LOA holder 1, ","")IF(INDEX('MOA role matrix'!$B$2:$D$13,7,MATCH($B127,'MOA role matrix'!$B$1:$D$1,0))="If finance","LOA holder 1 (if finance), ","")IF(INDEX('MOA role matrix'!$B$2:$D$13,7,MATCH($B127,'MOA role matrix'!$B$1:$D$1,0))="Auto","LOA holder 1 (auto), ","")IF(INDEX('MOA role matrix'!$B$2:$D$13,8,MATCH($B127,'MOA role matrix'!$B$1:$D$1,0))="Fill","LOA holder 2, ","")IF(INDEX('MOA role matrix'!$B$2:$D$13,8,MATCH($B127,'MOA role matrix'!$B$1:$D$1,0))="If finance","LOA holder 2 (if finance), ","")IF(INDEX('MOA role matrix'!$B$2:$D$13,8,MATCH($B127,'MOA role matrix'!$B$1:$D$1,0))="Auto","LOA holder 2 (auto), ","")IF(INDEX('MOA role matrix'!$B$2:$D$13,9,MATCH($B127,'MOA role matrix'!$B$1:$D$1,0))="Fill","Senior Manager CoSec, ","")IF(INDEX('MOA role matrix'!$B$2:$D$13,9,MATCH($B127,'MOA role matrix'!$B$1:$D$1,0))="If finance","Senior Manager CoSec (if finance), ","")IF(INDEX('MOA role matrix'!$B$2:$D$13,9,MATCH($B127,'MOA role matrix'!$B$1:$D$1,0))="Auto","Senior Manager CoSec (auto), ","")IF(INDEX('MOA role matrix'!$B$2:$D$13,10,MATCH($B127,'MOA role matrix'!$B$1:$D$1,0))="Fill","Division MOI managers, ","")IF(INDEX('MOA role matrix'!$B$2:$D$13,10,MATCH($B127,'MOA role matrix'!$B$1:$D$1,0))="If finance","Division MOI managers (if finance), ","")IF(INDEX('MOA role matrix'!$B$2:$D$13,10,MATCH($B127,'MOA role matrix'!$B$1:$D$1,0))="Auto","Division MOI managers (auto), ","")IF(INDEX('MOA role matrix'!$B$2:$D$13,11,MATCH($B127,'MOA role matrix'!$B$1:$D$1,0))="Fill","Ms Teh (bank), ","")IF(INDEX('MOA role matrix'!$B$2:$D$13,11,MATCH($B127,'MOA role matrix'!$B$1:$D$1,0))="If finance","Ms Teh (bank) (if finance), ","")IF(INDEX('MOA role matrix'!$B$2:$D$13,11,MATCH($B127,'MOA role matrix'!$B$1:$D$1,0))="Auto","Ms Teh (bank) (auto), ","")IF(INDEX('MOA role matrix'!$B$2:$D$13,12,MATCH($B127,'MOA role matrix'!$B$1:$D$1,0))="Fill","DLCM, ","")IF(INDEX('MOA role matrix'!$B$2:$D$13,12,MATCH($B127,'MOA role matrix'!$B$1:$D$1,0))="If finance","DLCM (if finance), ","")IF(INDEX('MOA role matrix'!$B$2:$D$13,12,MATCH($B127,'MOA role matrix'!$B$1:$D$1,0))="Auto","DLCM (auto), ","")))</f>
        <v/>
      </c>
      <c r="D127" s="5">
        <f>IF($A127="","",IFERROR(INDEX(FILTER('Client contacts'!$B$2:$B$500,('Client contacts'!$A$2:$A$500=$A127)*('Client contacts'!$H$2:$H$500="Y"),""),1),""))</f>
        <v/>
      </c>
      <c r="E127" s="5">
        <f>IF($A127="","",IFERROR(INDEX(FILTER('Client contacts'!$C$2:$C$500,('Client contacts'!$A$2:$A$500=$A127)*('Client contacts'!$H$2:$H$500="Y"),""),1),""))</f>
        <v/>
      </c>
      <c r="F127" s="5">
        <f>IF($A127="","",IFERROR(INDEX(FILTER('Client contacts'!$B$2:$B$500,('Client contacts'!$A$2:$A$500=$A127)*('Client contacts'!$G$2:$G$500="Y"),""),1),""))</f>
        <v/>
      </c>
      <c r="G127" s="5">
        <f>IF($A127="","",IFERROR(INDEX(FILTER('Client contacts'!$C$2:$C$500,('Client contacts'!$A$2:$A$500=$A127)*('Client contacts'!$G$2:$G$500="Y"),""),1),""))</f>
        <v/>
      </c>
      <c r="H127" s="5">
        <f>IF($A127="","",IFERROR(INDEX(FILTER('Client contacts'!$B$2:$B$500,('Client contacts'!$A$2:$A$500=$A127)*('Client contacts'!$G$2:$G$500="Y"),""),2),""))</f>
        <v/>
      </c>
      <c r="I127" s="5">
        <f>IF($A127="","",IFERROR(INDEX(FILTER('Client contacts'!$C$2:$C$500,('Client contacts'!$A$2:$A$500=$A127)*('Client contacts'!$G$2:$G$500="Y"),""),2),""))</f>
        <v/>
      </c>
      <c r="J127" s="8" t="n"/>
      <c r="K127" s="8" t="n"/>
      <c r="L127" s="8" t="n"/>
      <c r="M127" s="8" t="n"/>
      <c r="N127" s="8" t="n"/>
      <c r="O127" s="8" t="n"/>
      <c r="P127" s="8" t="n"/>
      <c r="Q127" s="8" t="n"/>
      <c r="R127" s="5">
        <f>IF($A127="","",IFERROR(INDEX(Companies!$I$2:$I$500,MATCH($A127,Companies!$A$2:$A$500,0)),""))</f>
        <v/>
      </c>
      <c r="S127" s="8" t="n"/>
      <c r="T127" s="8" t="n"/>
      <c r="U127" s="8" t="n"/>
      <c r="V127" s="8" t="n"/>
      <c r="W127" s="8" t="n"/>
    </row>
    <row r="128">
      <c r="C128" s="5">
        <f>IF($B128="","",TRIM(IF(INDEX('MOA role matrix'!$B$2:$D$13,1,MATCH($B128,'MOA role matrix'!$B$1:$D$1,0))="Fill","Project initiator, ","")IF(INDEX('MOA role matrix'!$B$2:$D$13,1,MATCH($B128,'MOA role matrix'!$B$1:$D$1,0))="If finance","Project initiator (if finance), ","")IF(INDEX('MOA role matrix'!$B$2:$D$13,1,MATCH($B128,'MOA role matrix'!$B$1:$D$1,0))="Auto","Project initiator (auto), ","")IF(INDEX('MOA role matrix'!$B$2:$D$13,2,MATCH($B128,'MOA role matrix'!$B$1:$D$1,0))="Fill","MOA signers (client), ","")IF(INDEX('MOA role matrix'!$B$2:$D$13,2,MATCH($B128,'MOA role matrix'!$B$1:$D$1,0))="If finance","MOA signers (client) (if finance), ","")IF(INDEX('MOA role matrix'!$B$2:$D$13,2,MATCH($B128,'MOA role matrix'!$B$1:$D$1,0))="Auto","MOA signers (client) (auto), ","")IF(INDEX('MOA role matrix'!$B$2:$D$13,3,MATCH($B128,'MOA role matrix'!$B$1:$D$1,0))="Fill","CFO / Head of Finance, ","")IF(INDEX('MOA role matrix'!$B$2:$D$13,3,MATCH($B128,'MOA role matrix'!$B$1:$D$1,0))="If finance","CFO / Head of Finance (if finance), ","")IF(INDEX('MOA role matrix'!$B$2:$D$13,3,MATCH($B128,'MOA role matrix'!$B$1:$D$1,0))="Auto","CFO / Head of Finance (auto), ","")IF(INDEX('MOA role matrix'!$B$2:$D$13,4,MATCH($B128,'MOA role matrix'!$B$1:$D$1,0))="Fill","CEO / COO / GM, ","")IF(INDEX('MOA role matrix'!$B$2:$D$13,4,MATCH($B128,'MOA role matrix'!$B$1:$D$1,0))="If finance","CEO / COO / GM (if finance), ","")IF(INDEX('MOA role matrix'!$B$2:$D$13,4,MATCH($B128,'MOA role matrix'!$B$1:$D$1,0))="Auto","CEO / COO / GM (auto), ","")IF(INDEX('MOA role matrix'!$B$2:$D$13,5,MATCH($B128,'MOA role matrix'!$B$1:$D$1,0))="Fill","Board member 1, ","")IF(INDEX('MOA role matrix'!$B$2:$D$13,5,MATCH($B128,'MOA role matrix'!$B$1:$D$1,0))="If finance","Board member 1 (if finance), ","")IF(INDEX('MOA role matrix'!$B$2:$D$13,5,MATCH($B128,'MOA role matrix'!$B$1:$D$1,0))="Auto","Board member 1 (auto), ","")IF(INDEX('MOA role matrix'!$B$2:$D$13,6,MATCH($B128,'MOA role matrix'!$B$1:$D$1,0))="Fill","Board member 2, ","")IF(INDEX('MOA role matrix'!$B$2:$D$13,6,MATCH($B128,'MOA role matrix'!$B$1:$D$1,0))="If finance","Board member 2 (if finance), ","")IF(INDEX('MOA role matrix'!$B$2:$D$13,6,MATCH($B128,'MOA role matrix'!$B$1:$D$1,0))="Auto","Board member 2 (auto), ","")IF(INDEX('MOA role matrix'!$B$2:$D$13,7,MATCH($B128,'MOA role matrix'!$B$1:$D$1,0))="Fill","LOA holder 1, ","")IF(INDEX('MOA role matrix'!$B$2:$D$13,7,MATCH($B128,'MOA role matrix'!$B$1:$D$1,0))="If finance","LOA holder 1 (if finance), ","")IF(INDEX('MOA role matrix'!$B$2:$D$13,7,MATCH($B128,'MOA role matrix'!$B$1:$D$1,0))="Auto","LOA holder 1 (auto), ","")IF(INDEX('MOA role matrix'!$B$2:$D$13,8,MATCH($B128,'MOA role matrix'!$B$1:$D$1,0))="Fill","LOA holder 2, ","")IF(INDEX('MOA role matrix'!$B$2:$D$13,8,MATCH($B128,'MOA role matrix'!$B$1:$D$1,0))="If finance","LOA holder 2 (if finance), ","")IF(INDEX('MOA role matrix'!$B$2:$D$13,8,MATCH($B128,'MOA role matrix'!$B$1:$D$1,0))="Auto","LOA holder 2 (auto), ","")IF(INDEX('MOA role matrix'!$B$2:$D$13,9,MATCH($B128,'MOA role matrix'!$B$1:$D$1,0))="Fill","Senior Manager CoSec, ","")IF(INDEX('MOA role matrix'!$B$2:$D$13,9,MATCH($B128,'MOA role matrix'!$B$1:$D$1,0))="If finance","Senior Manager CoSec (if finance), ","")IF(INDEX('MOA role matrix'!$B$2:$D$13,9,MATCH($B128,'MOA role matrix'!$B$1:$D$1,0))="Auto","Senior Manager CoSec (auto), ","")IF(INDEX('MOA role matrix'!$B$2:$D$13,10,MATCH($B128,'MOA role matrix'!$B$1:$D$1,0))="Fill","Division MOI managers, ","")IF(INDEX('MOA role matrix'!$B$2:$D$13,10,MATCH($B128,'MOA role matrix'!$B$1:$D$1,0))="If finance","Division MOI managers (if finance), ","")IF(INDEX('MOA role matrix'!$B$2:$D$13,10,MATCH($B128,'MOA role matrix'!$B$1:$D$1,0))="Auto","Division MOI managers (auto), ","")IF(INDEX('MOA role matrix'!$B$2:$D$13,11,MATCH($B128,'MOA role matrix'!$B$1:$D$1,0))="Fill","Ms Teh (bank), ","")IF(INDEX('MOA role matrix'!$B$2:$D$13,11,MATCH($B128,'MOA role matrix'!$B$1:$D$1,0))="If finance","Ms Teh (bank) (if finance), ","")IF(INDEX('MOA role matrix'!$B$2:$D$13,11,MATCH($B128,'MOA role matrix'!$B$1:$D$1,0))="Auto","Ms Teh (bank) (auto), ","")IF(INDEX('MOA role matrix'!$B$2:$D$13,12,MATCH($B128,'MOA role matrix'!$B$1:$D$1,0))="Fill","DLCM, ","")IF(INDEX('MOA role matrix'!$B$2:$D$13,12,MATCH($B128,'MOA role matrix'!$B$1:$D$1,0))="If finance","DLCM (if finance), ","")IF(INDEX('MOA role matrix'!$B$2:$D$13,12,MATCH($B128,'MOA role matrix'!$B$1:$D$1,0))="Auto","DLCM (auto), ","")))</f>
        <v/>
      </c>
      <c r="D128" s="5">
        <f>IF($A128="","",IFERROR(INDEX(FILTER('Client contacts'!$B$2:$B$500,('Client contacts'!$A$2:$A$500=$A128)*('Client contacts'!$H$2:$H$500="Y"),""),1),""))</f>
        <v/>
      </c>
      <c r="E128" s="5">
        <f>IF($A128="","",IFERROR(INDEX(FILTER('Client contacts'!$C$2:$C$500,('Client contacts'!$A$2:$A$500=$A128)*('Client contacts'!$H$2:$H$500="Y"),""),1),""))</f>
        <v/>
      </c>
      <c r="F128" s="5">
        <f>IF($A128="","",IFERROR(INDEX(FILTER('Client contacts'!$B$2:$B$500,('Client contacts'!$A$2:$A$500=$A128)*('Client contacts'!$G$2:$G$500="Y"),""),1),""))</f>
        <v/>
      </c>
      <c r="G128" s="5">
        <f>IF($A128="","",IFERROR(INDEX(FILTER('Client contacts'!$C$2:$C$500,('Client contacts'!$A$2:$A$500=$A128)*('Client contacts'!$G$2:$G$500="Y"),""),1),""))</f>
        <v/>
      </c>
      <c r="H128" s="5">
        <f>IF($A128="","",IFERROR(INDEX(FILTER('Client contacts'!$B$2:$B$500,('Client contacts'!$A$2:$A$500=$A128)*('Client contacts'!$G$2:$G$500="Y"),""),2),""))</f>
        <v/>
      </c>
      <c r="I128" s="5">
        <f>IF($A128="","",IFERROR(INDEX(FILTER('Client contacts'!$C$2:$C$500,('Client contacts'!$A$2:$A$500=$A128)*('Client contacts'!$G$2:$G$500="Y"),""),2),""))</f>
        <v/>
      </c>
      <c r="J128" s="8" t="n"/>
      <c r="K128" s="8" t="n"/>
      <c r="L128" s="8" t="n"/>
      <c r="M128" s="8" t="n"/>
      <c r="N128" s="8" t="n"/>
      <c r="O128" s="8" t="n"/>
      <c r="P128" s="8" t="n"/>
      <c r="Q128" s="8" t="n"/>
      <c r="R128" s="5">
        <f>IF($A128="","",IFERROR(INDEX(Companies!$I$2:$I$500,MATCH($A128,Companies!$A$2:$A$500,0)),""))</f>
        <v/>
      </c>
      <c r="S128" s="8" t="n"/>
      <c r="T128" s="8" t="n"/>
      <c r="U128" s="8" t="n"/>
      <c r="V128" s="8" t="n"/>
      <c r="W128" s="8" t="n"/>
    </row>
    <row r="129">
      <c r="C129" s="5">
        <f>IF($B129="","",TRIM(IF(INDEX('MOA role matrix'!$B$2:$D$13,1,MATCH($B129,'MOA role matrix'!$B$1:$D$1,0))="Fill","Project initiator, ","")IF(INDEX('MOA role matrix'!$B$2:$D$13,1,MATCH($B129,'MOA role matrix'!$B$1:$D$1,0))="If finance","Project initiator (if finance), ","")IF(INDEX('MOA role matrix'!$B$2:$D$13,1,MATCH($B129,'MOA role matrix'!$B$1:$D$1,0))="Auto","Project initiator (auto), ","")IF(INDEX('MOA role matrix'!$B$2:$D$13,2,MATCH($B129,'MOA role matrix'!$B$1:$D$1,0))="Fill","MOA signers (client), ","")IF(INDEX('MOA role matrix'!$B$2:$D$13,2,MATCH($B129,'MOA role matrix'!$B$1:$D$1,0))="If finance","MOA signers (client) (if finance), ","")IF(INDEX('MOA role matrix'!$B$2:$D$13,2,MATCH($B129,'MOA role matrix'!$B$1:$D$1,0))="Auto","MOA signers (client) (auto), ","")IF(INDEX('MOA role matrix'!$B$2:$D$13,3,MATCH($B129,'MOA role matrix'!$B$1:$D$1,0))="Fill","CFO / Head of Finance, ","")IF(INDEX('MOA role matrix'!$B$2:$D$13,3,MATCH($B129,'MOA role matrix'!$B$1:$D$1,0))="If finance","CFO / Head of Finance (if finance), ","")IF(INDEX('MOA role matrix'!$B$2:$D$13,3,MATCH($B129,'MOA role matrix'!$B$1:$D$1,0))="Auto","CFO / Head of Finance (auto), ","")IF(INDEX('MOA role matrix'!$B$2:$D$13,4,MATCH($B129,'MOA role matrix'!$B$1:$D$1,0))="Fill","CEO / COO / GM, ","")IF(INDEX('MOA role matrix'!$B$2:$D$13,4,MATCH($B129,'MOA role matrix'!$B$1:$D$1,0))="If finance","CEO / COO / GM (if finance), ","")IF(INDEX('MOA role matrix'!$B$2:$D$13,4,MATCH($B129,'MOA role matrix'!$B$1:$D$1,0))="Auto","CEO / COO / GM (auto), ","")IF(INDEX('MOA role matrix'!$B$2:$D$13,5,MATCH($B129,'MOA role matrix'!$B$1:$D$1,0))="Fill","Board member 1, ","")IF(INDEX('MOA role matrix'!$B$2:$D$13,5,MATCH($B129,'MOA role matrix'!$B$1:$D$1,0))="If finance","Board member 1 (if finance), ","")IF(INDEX('MOA role matrix'!$B$2:$D$13,5,MATCH($B129,'MOA role matrix'!$B$1:$D$1,0))="Auto","Board member 1 (auto), ","")IF(INDEX('MOA role matrix'!$B$2:$D$13,6,MATCH($B129,'MOA role matrix'!$B$1:$D$1,0))="Fill","Board member 2, ","")IF(INDEX('MOA role matrix'!$B$2:$D$13,6,MATCH($B129,'MOA role matrix'!$B$1:$D$1,0))="If finance","Board member 2 (if finance), ","")IF(INDEX('MOA role matrix'!$B$2:$D$13,6,MATCH($B129,'MOA role matrix'!$B$1:$D$1,0))="Auto","Board member 2 (auto), ","")IF(INDEX('MOA role matrix'!$B$2:$D$13,7,MATCH($B129,'MOA role matrix'!$B$1:$D$1,0))="Fill","LOA holder 1, ","")IF(INDEX('MOA role matrix'!$B$2:$D$13,7,MATCH($B129,'MOA role matrix'!$B$1:$D$1,0))="If finance","LOA holder 1 (if finance), ","")IF(INDEX('MOA role matrix'!$B$2:$D$13,7,MATCH($B129,'MOA role matrix'!$B$1:$D$1,0))="Auto","LOA holder 1 (auto), ","")IF(INDEX('MOA role matrix'!$B$2:$D$13,8,MATCH($B129,'MOA role matrix'!$B$1:$D$1,0))="Fill","LOA holder 2, ","")IF(INDEX('MOA role matrix'!$B$2:$D$13,8,MATCH($B129,'MOA role matrix'!$B$1:$D$1,0))="If finance","LOA holder 2 (if finance), ","")IF(INDEX('MOA role matrix'!$B$2:$D$13,8,MATCH($B129,'MOA role matrix'!$B$1:$D$1,0))="Auto","LOA holder 2 (auto), ","")IF(INDEX('MOA role matrix'!$B$2:$D$13,9,MATCH($B129,'MOA role matrix'!$B$1:$D$1,0))="Fill","Senior Manager CoSec, ","")IF(INDEX('MOA role matrix'!$B$2:$D$13,9,MATCH($B129,'MOA role matrix'!$B$1:$D$1,0))="If finance","Senior Manager CoSec (if finance), ","")IF(INDEX('MOA role matrix'!$B$2:$D$13,9,MATCH($B129,'MOA role matrix'!$B$1:$D$1,0))="Auto","Senior Manager CoSec (auto), ","")IF(INDEX('MOA role matrix'!$B$2:$D$13,10,MATCH($B129,'MOA role matrix'!$B$1:$D$1,0))="Fill","Division MOI managers, ","")IF(INDEX('MOA role matrix'!$B$2:$D$13,10,MATCH($B129,'MOA role matrix'!$B$1:$D$1,0))="If finance","Division MOI managers (if finance), ","")IF(INDEX('MOA role matrix'!$B$2:$D$13,10,MATCH($B129,'MOA role matrix'!$B$1:$D$1,0))="Auto","Division MOI managers (auto), ","")IF(INDEX('MOA role matrix'!$B$2:$D$13,11,MATCH($B129,'MOA role matrix'!$B$1:$D$1,0))="Fill","Ms Teh (bank), ","")IF(INDEX('MOA role matrix'!$B$2:$D$13,11,MATCH($B129,'MOA role matrix'!$B$1:$D$1,0))="If finance","Ms Teh (bank) (if finance), ","")IF(INDEX('MOA role matrix'!$B$2:$D$13,11,MATCH($B129,'MOA role matrix'!$B$1:$D$1,0))="Auto","Ms Teh (bank) (auto), ","")IF(INDEX('MOA role matrix'!$B$2:$D$13,12,MATCH($B129,'MOA role matrix'!$B$1:$D$1,0))="Fill","DLCM, ","")IF(INDEX('MOA role matrix'!$B$2:$D$13,12,MATCH($B129,'MOA role matrix'!$B$1:$D$1,0))="If finance","DLCM (if finance), ","")IF(INDEX('MOA role matrix'!$B$2:$D$13,12,MATCH($B129,'MOA role matrix'!$B$1:$D$1,0))="Auto","DLCM (auto), ","")))</f>
        <v/>
      </c>
      <c r="D129" s="5">
        <f>IF($A129="","",IFERROR(INDEX(FILTER('Client contacts'!$B$2:$B$500,('Client contacts'!$A$2:$A$500=$A129)*('Client contacts'!$H$2:$H$500="Y"),""),1),""))</f>
        <v/>
      </c>
      <c r="E129" s="5">
        <f>IF($A129="","",IFERROR(INDEX(FILTER('Client contacts'!$C$2:$C$500,('Client contacts'!$A$2:$A$500=$A129)*('Client contacts'!$H$2:$H$500="Y"),""),1),""))</f>
        <v/>
      </c>
      <c r="F129" s="5">
        <f>IF($A129="","",IFERROR(INDEX(FILTER('Client contacts'!$B$2:$B$500,('Client contacts'!$A$2:$A$500=$A129)*('Client contacts'!$G$2:$G$500="Y"),""),1),""))</f>
        <v/>
      </c>
      <c r="G129" s="5">
        <f>IF($A129="","",IFERROR(INDEX(FILTER('Client contacts'!$C$2:$C$500,('Client contacts'!$A$2:$A$500=$A129)*('Client contacts'!$G$2:$G$500="Y"),""),1),""))</f>
        <v/>
      </c>
      <c r="H129" s="5">
        <f>IF($A129="","",IFERROR(INDEX(FILTER('Client contacts'!$B$2:$B$500,('Client contacts'!$A$2:$A$500=$A129)*('Client contacts'!$G$2:$G$500="Y"),""),2),""))</f>
        <v/>
      </c>
      <c r="I129" s="5">
        <f>IF($A129="","",IFERROR(INDEX(FILTER('Client contacts'!$C$2:$C$500,('Client contacts'!$A$2:$A$500=$A129)*('Client contacts'!$G$2:$G$500="Y"),""),2),""))</f>
        <v/>
      </c>
      <c r="J129" s="8" t="n"/>
      <c r="K129" s="8" t="n"/>
      <c r="L129" s="8" t="n"/>
      <c r="M129" s="8" t="n"/>
      <c r="N129" s="8" t="n"/>
      <c r="O129" s="8" t="n"/>
      <c r="P129" s="8" t="n"/>
      <c r="Q129" s="8" t="n"/>
      <c r="R129" s="5">
        <f>IF($A129="","",IFERROR(INDEX(Companies!$I$2:$I$500,MATCH($A129,Companies!$A$2:$A$500,0)),""))</f>
        <v/>
      </c>
      <c r="S129" s="8" t="n"/>
      <c r="T129" s="8" t="n"/>
      <c r="U129" s="8" t="n"/>
      <c r="V129" s="8" t="n"/>
      <c r="W129" s="8" t="n"/>
    </row>
    <row r="130">
      <c r="C130" s="5">
        <f>IF($B130="","",TRIM(IF(INDEX('MOA role matrix'!$B$2:$D$13,1,MATCH($B130,'MOA role matrix'!$B$1:$D$1,0))="Fill","Project initiator, ","")IF(INDEX('MOA role matrix'!$B$2:$D$13,1,MATCH($B130,'MOA role matrix'!$B$1:$D$1,0))="If finance","Project initiator (if finance), ","")IF(INDEX('MOA role matrix'!$B$2:$D$13,1,MATCH($B130,'MOA role matrix'!$B$1:$D$1,0))="Auto","Project initiator (auto), ","")IF(INDEX('MOA role matrix'!$B$2:$D$13,2,MATCH($B130,'MOA role matrix'!$B$1:$D$1,0))="Fill","MOA signers (client), ","")IF(INDEX('MOA role matrix'!$B$2:$D$13,2,MATCH($B130,'MOA role matrix'!$B$1:$D$1,0))="If finance","MOA signers (client) (if finance), ","")IF(INDEX('MOA role matrix'!$B$2:$D$13,2,MATCH($B130,'MOA role matrix'!$B$1:$D$1,0))="Auto","MOA signers (client) (auto), ","")IF(INDEX('MOA role matrix'!$B$2:$D$13,3,MATCH($B130,'MOA role matrix'!$B$1:$D$1,0))="Fill","CFO / Head of Finance, ","")IF(INDEX('MOA role matrix'!$B$2:$D$13,3,MATCH($B130,'MOA role matrix'!$B$1:$D$1,0))="If finance","CFO / Head of Finance (if finance), ","")IF(INDEX('MOA role matrix'!$B$2:$D$13,3,MATCH($B130,'MOA role matrix'!$B$1:$D$1,0))="Auto","CFO / Head of Finance (auto), ","")IF(INDEX('MOA role matrix'!$B$2:$D$13,4,MATCH($B130,'MOA role matrix'!$B$1:$D$1,0))="Fill","CEO / COO / GM, ","")IF(INDEX('MOA role matrix'!$B$2:$D$13,4,MATCH($B130,'MOA role matrix'!$B$1:$D$1,0))="If finance","CEO / COO / GM (if finance), ","")IF(INDEX('MOA role matrix'!$B$2:$D$13,4,MATCH($B130,'MOA role matrix'!$B$1:$D$1,0))="Auto","CEO / COO / GM (auto), ","")IF(INDEX('MOA role matrix'!$B$2:$D$13,5,MATCH($B130,'MOA role matrix'!$B$1:$D$1,0))="Fill","Board member 1, ","")IF(INDEX('MOA role matrix'!$B$2:$D$13,5,MATCH($B130,'MOA role matrix'!$B$1:$D$1,0))="If finance","Board member 1 (if finance), ","")IF(INDEX('MOA role matrix'!$B$2:$D$13,5,MATCH($B130,'MOA role matrix'!$B$1:$D$1,0))="Auto","Board member 1 (auto), ","")IF(INDEX('MOA role matrix'!$B$2:$D$13,6,MATCH($B130,'MOA role matrix'!$B$1:$D$1,0))="Fill","Board member 2, ","")IF(INDEX('MOA role matrix'!$B$2:$D$13,6,MATCH($B130,'MOA role matrix'!$B$1:$D$1,0))="If finance","Board member 2 (if finance), ","")IF(INDEX('MOA role matrix'!$B$2:$D$13,6,MATCH($B130,'MOA role matrix'!$B$1:$D$1,0))="Auto","Board member 2 (auto), ","")IF(INDEX('MOA role matrix'!$B$2:$D$13,7,MATCH($B130,'MOA role matrix'!$B$1:$D$1,0))="Fill","LOA holder 1, ","")IF(INDEX('MOA role matrix'!$B$2:$D$13,7,MATCH($B130,'MOA role matrix'!$B$1:$D$1,0))="If finance","LOA holder 1 (if finance), ","")IF(INDEX('MOA role matrix'!$B$2:$D$13,7,MATCH($B130,'MOA role matrix'!$B$1:$D$1,0))="Auto","LOA holder 1 (auto), ","")IF(INDEX('MOA role matrix'!$B$2:$D$13,8,MATCH($B130,'MOA role matrix'!$B$1:$D$1,0))="Fill","LOA holder 2, ","")IF(INDEX('MOA role matrix'!$B$2:$D$13,8,MATCH($B130,'MOA role matrix'!$B$1:$D$1,0))="If finance","LOA holder 2 (if finance), ","")IF(INDEX('MOA role matrix'!$B$2:$D$13,8,MATCH($B130,'MOA role matrix'!$B$1:$D$1,0))="Auto","LOA holder 2 (auto), ","")IF(INDEX('MOA role matrix'!$B$2:$D$13,9,MATCH($B130,'MOA role matrix'!$B$1:$D$1,0))="Fill","Senior Manager CoSec, ","")IF(INDEX('MOA role matrix'!$B$2:$D$13,9,MATCH($B130,'MOA role matrix'!$B$1:$D$1,0))="If finance","Senior Manager CoSec (if finance), ","")IF(INDEX('MOA role matrix'!$B$2:$D$13,9,MATCH($B130,'MOA role matrix'!$B$1:$D$1,0))="Auto","Senior Manager CoSec (auto), ","")IF(INDEX('MOA role matrix'!$B$2:$D$13,10,MATCH($B130,'MOA role matrix'!$B$1:$D$1,0))="Fill","Division MOI managers, ","")IF(INDEX('MOA role matrix'!$B$2:$D$13,10,MATCH($B130,'MOA role matrix'!$B$1:$D$1,0))="If finance","Division MOI managers (if finance), ","")IF(INDEX('MOA role matrix'!$B$2:$D$13,10,MATCH($B130,'MOA role matrix'!$B$1:$D$1,0))="Auto","Division MOI managers (auto), ","")IF(INDEX('MOA role matrix'!$B$2:$D$13,11,MATCH($B130,'MOA role matrix'!$B$1:$D$1,0))="Fill","Ms Teh (bank), ","")IF(INDEX('MOA role matrix'!$B$2:$D$13,11,MATCH($B130,'MOA role matrix'!$B$1:$D$1,0))="If finance","Ms Teh (bank) (if finance), ","")IF(INDEX('MOA role matrix'!$B$2:$D$13,11,MATCH($B130,'MOA role matrix'!$B$1:$D$1,0))="Auto","Ms Teh (bank) (auto), ","")IF(INDEX('MOA role matrix'!$B$2:$D$13,12,MATCH($B130,'MOA role matrix'!$B$1:$D$1,0))="Fill","DLCM, ","")IF(INDEX('MOA role matrix'!$B$2:$D$13,12,MATCH($B130,'MOA role matrix'!$B$1:$D$1,0))="If finance","DLCM (if finance), ","")IF(INDEX('MOA role matrix'!$B$2:$D$13,12,MATCH($B130,'MOA role matrix'!$B$1:$D$1,0))="Auto","DLCM (auto), ","")))</f>
        <v/>
      </c>
      <c r="D130" s="5">
        <f>IF($A130="","",IFERROR(INDEX(FILTER('Client contacts'!$B$2:$B$500,('Client contacts'!$A$2:$A$500=$A130)*('Client contacts'!$H$2:$H$500="Y"),""),1),""))</f>
        <v/>
      </c>
      <c r="E130" s="5">
        <f>IF($A130="","",IFERROR(INDEX(FILTER('Client contacts'!$C$2:$C$500,('Client contacts'!$A$2:$A$500=$A130)*('Client contacts'!$H$2:$H$500="Y"),""),1),""))</f>
        <v/>
      </c>
      <c r="F130" s="5">
        <f>IF($A130="","",IFERROR(INDEX(FILTER('Client contacts'!$B$2:$B$500,('Client contacts'!$A$2:$A$500=$A130)*('Client contacts'!$G$2:$G$500="Y"),""),1),""))</f>
        <v/>
      </c>
      <c r="G130" s="5">
        <f>IF($A130="","",IFERROR(INDEX(FILTER('Client contacts'!$C$2:$C$500,('Client contacts'!$A$2:$A$500=$A130)*('Client contacts'!$G$2:$G$500="Y"),""),1),""))</f>
        <v/>
      </c>
      <c r="H130" s="5">
        <f>IF($A130="","",IFERROR(INDEX(FILTER('Client contacts'!$B$2:$B$500,('Client contacts'!$A$2:$A$500=$A130)*('Client contacts'!$G$2:$G$500="Y"),""),2),""))</f>
        <v/>
      </c>
      <c r="I130" s="5">
        <f>IF($A130="","",IFERROR(INDEX(FILTER('Client contacts'!$C$2:$C$500,('Client contacts'!$A$2:$A$500=$A130)*('Client contacts'!$G$2:$G$500="Y"),""),2),""))</f>
        <v/>
      </c>
      <c r="J130" s="8" t="n"/>
      <c r="K130" s="8" t="n"/>
      <c r="L130" s="8" t="n"/>
      <c r="M130" s="8" t="n"/>
      <c r="N130" s="8" t="n"/>
      <c r="O130" s="8" t="n"/>
      <c r="P130" s="8" t="n"/>
      <c r="Q130" s="8" t="n"/>
      <c r="R130" s="5">
        <f>IF($A130="","",IFERROR(INDEX(Companies!$I$2:$I$500,MATCH($A130,Companies!$A$2:$A$500,0)),""))</f>
        <v/>
      </c>
      <c r="S130" s="8" t="n"/>
      <c r="T130" s="8" t="n"/>
      <c r="U130" s="8" t="n"/>
      <c r="V130" s="8" t="n"/>
      <c r="W130" s="8" t="n"/>
    </row>
    <row r="131">
      <c r="C131" s="5">
        <f>IF($B131="","",TRIM(IF(INDEX('MOA role matrix'!$B$2:$D$13,1,MATCH($B131,'MOA role matrix'!$B$1:$D$1,0))="Fill","Project initiator, ","")IF(INDEX('MOA role matrix'!$B$2:$D$13,1,MATCH($B131,'MOA role matrix'!$B$1:$D$1,0))="If finance","Project initiator (if finance), ","")IF(INDEX('MOA role matrix'!$B$2:$D$13,1,MATCH($B131,'MOA role matrix'!$B$1:$D$1,0))="Auto","Project initiator (auto), ","")IF(INDEX('MOA role matrix'!$B$2:$D$13,2,MATCH($B131,'MOA role matrix'!$B$1:$D$1,0))="Fill","MOA signers (client), ","")IF(INDEX('MOA role matrix'!$B$2:$D$13,2,MATCH($B131,'MOA role matrix'!$B$1:$D$1,0))="If finance","MOA signers (client) (if finance), ","")IF(INDEX('MOA role matrix'!$B$2:$D$13,2,MATCH($B131,'MOA role matrix'!$B$1:$D$1,0))="Auto","MOA signers (client) (auto), ","")IF(INDEX('MOA role matrix'!$B$2:$D$13,3,MATCH($B131,'MOA role matrix'!$B$1:$D$1,0))="Fill","CFO / Head of Finance, ","")IF(INDEX('MOA role matrix'!$B$2:$D$13,3,MATCH($B131,'MOA role matrix'!$B$1:$D$1,0))="If finance","CFO / Head of Finance (if finance), ","")IF(INDEX('MOA role matrix'!$B$2:$D$13,3,MATCH($B131,'MOA role matrix'!$B$1:$D$1,0))="Auto","CFO / Head of Finance (auto), ","")IF(INDEX('MOA role matrix'!$B$2:$D$13,4,MATCH($B131,'MOA role matrix'!$B$1:$D$1,0))="Fill","CEO / COO / GM, ","")IF(INDEX('MOA role matrix'!$B$2:$D$13,4,MATCH($B131,'MOA role matrix'!$B$1:$D$1,0))="If finance","CEO / COO / GM (if finance), ","")IF(INDEX('MOA role matrix'!$B$2:$D$13,4,MATCH($B131,'MOA role matrix'!$B$1:$D$1,0))="Auto","CEO / COO / GM (auto), ","")IF(INDEX('MOA role matrix'!$B$2:$D$13,5,MATCH($B131,'MOA role matrix'!$B$1:$D$1,0))="Fill","Board member 1, ","")IF(INDEX('MOA role matrix'!$B$2:$D$13,5,MATCH($B131,'MOA role matrix'!$B$1:$D$1,0))="If finance","Board member 1 (if finance), ","")IF(INDEX('MOA role matrix'!$B$2:$D$13,5,MATCH($B131,'MOA role matrix'!$B$1:$D$1,0))="Auto","Board member 1 (auto), ","")IF(INDEX('MOA role matrix'!$B$2:$D$13,6,MATCH($B131,'MOA role matrix'!$B$1:$D$1,0))="Fill","Board member 2, ","")IF(INDEX('MOA role matrix'!$B$2:$D$13,6,MATCH($B131,'MOA role matrix'!$B$1:$D$1,0))="If finance","Board member 2 (if finance), ","")IF(INDEX('MOA role matrix'!$B$2:$D$13,6,MATCH($B131,'MOA role matrix'!$B$1:$D$1,0))="Auto","Board member 2 (auto), ","")IF(INDEX('MOA role matrix'!$B$2:$D$13,7,MATCH($B131,'MOA role matrix'!$B$1:$D$1,0))="Fill","LOA holder 1, ","")IF(INDEX('MOA role matrix'!$B$2:$D$13,7,MATCH($B131,'MOA role matrix'!$B$1:$D$1,0))="If finance","LOA holder 1 (if finance), ","")IF(INDEX('MOA role matrix'!$B$2:$D$13,7,MATCH($B131,'MOA role matrix'!$B$1:$D$1,0))="Auto","LOA holder 1 (auto), ","")IF(INDEX('MOA role matrix'!$B$2:$D$13,8,MATCH($B131,'MOA role matrix'!$B$1:$D$1,0))="Fill","LOA holder 2, ","")IF(INDEX('MOA role matrix'!$B$2:$D$13,8,MATCH($B131,'MOA role matrix'!$B$1:$D$1,0))="If finance","LOA holder 2 (if finance), ","")IF(INDEX('MOA role matrix'!$B$2:$D$13,8,MATCH($B131,'MOA role matrix'!$B$1:$D$1,0))="Auto","LOA holder 2 (auto), ","")IF(INDEX('MOA role matrix'!$B$2:$D$13,9,MATCH($B131,'MOA role matrix'!$B$1:$D$1,0))="Fill","Senior Manager CoSec, ","")IF(INDEX('MOA role matrix'!$B$2:$D$13,9,MATCH($B131,'MOA role matrix'!$B$1:$D$1,0))="If finance","Senior Manager CoSec (if finance), ","")IF(INDEX('MOA role matrix'!$B$2:$D$13,9,MATCH($B131,'MOA role matrix'!$B$1:$D$1,0))="Auto","Senior Manager CoSec (auto), ","")IF(INDEX('MOA role matrix'!$B$2:$D$13,10,MATCH($B131,'MOA role matrix'!$B$1:$D$1,0))="Fill","Division MOI managers, ","")IF(INDEX('MOA role matrix'!$B$2:$D$13,10,MATCH($B131,'MOA role matrix'!$B$1:$D$1,0))="If finance","Division MOI managers (if finance), ","")IF(INDEX('MOA role matrix'!$B$2:$D$13,10,MATCH($B131,'MOA role matrix'!$B$1:$D$1,0))="Auto","Division MOI managers (auto), ","")IF(INDEX('MOA role matrix'!$B$2:$D$13,11,MATCH($B131,'MOA role matrix'!$B$1:$D$1,0))="Fill","Ms Teh (bank), ","")IF(INDEX('MOA role matrix'!$B$2:$D$13,11,MATCH($B131,'MOA role matrix'!$B$1:$D$1,0))="If finance","Ms Teh (bank) (if finance), ","")IF(INDEX('MOA role matrix'!$B$2:$D$13,11,MATCH($B131,'MOA role matrix'!$B$1:$D$1,0))="Auto","Ms Teh (bank) (auto), ","")IF(INDEX('MOA role matrix'!$B$2:$D$13,12,MATCH($B131,'MOA role matrix'!$B$1:$D$1,0))="Fill","DLCM, ","")IF(INDEX('MOA role matrix'!$B$2:$D$13,12,MATCH($B131,'MOA role matrix'!$B$1:$D$1,0))="If finance","DLCM (if finance), ","")IF(INDEX('MOA role matrix'!$B$2:$D$13,12,MATCH($B131,'MOA role matrix'!$B$1:$D$1,0))="Auto","DLCM (auto), ","")))</f>
        <v/>
      </c>
      <c r="D131" s="5">
        <f>IF($A131="","",IFERROR(INDEX(FILTER('Client contacts'!$B$2:$B$500,('Client contacts'!$A$2:$A$500=$A131)*('Client contacts'!$H$2:$H$500="Y"),""),1),""))</f>
        <v/>
      </c>
      <c r="E131" s="5">
        <f>IF($A131="","",IFERROR(INDEX(FILTER('Client contacts'!$C$2:$C$500,('Client contacts'!$A$2:$A$500=$A131)*('Client contacts'!$H$2:$H$500="Y"),""),1),""))</f>
        <v/>
      </c>
      <c r="F131" s="5">
        <f>IF($A131="","",IFERROR(INDEX(FILTER('Client contacts'!$B$2:$B$500,('Client contacts'!$A$2:$A$500=$A131)*('Client contacts'!$G$2:$G$500="Y"),""),1),""))</f>
        <v/>
      </c>
      <c r="G131" s="5">
        <f>IF($A131="","",IFERROR(INDEX(FILTER('Client contacts'!$C$2:$C$500,('Client contacts'!$A$2:$A$500=$A131)*('Client contacts'!$G$2:$G$500="Y"),""),1),""))</f>
        <v/>
      </c>
      <c r="H131" s="5">
        <f>IF($A131="","",IFERROR(INDEX(FILTER('Client contacts'!$B$2:$B$500,('Client contacts'!$A$2:$A$500=$A131)*('Client contacts'!$G$2:$G$500="Y"),""),2),""))</f>
        <v/>
      </c>
      <c r="I131" s="5">
        <f>IF($A131="","",IFERROR(INDEX(FILTER('Client contacts'!$C$2:$C$500,('Client contacts'!$A$2:$A$500=$A131)*('Client contacts'!$G$2:$G$500="Y"),""),2),""))</f>
        <v/>
      </c>
      <c r="J131" s="8" t="n"/>
      <c r="K131" s="8" t="n"/>
      <c r="L131" s="8" t="n"/>
      <c r="M131" s="8" t="n"/>
      <c r="N131" s="8" t="n"/>
      <c r="O131" s="8" t="n"/>
      <c r="P131" s="8" t="n"/>
      <c r="Q131" s="8" t="n"/>
      <c r="R131" s="5">
        <f>IF($A131="","",IFERROR(INDEX(Companies!$I$2:$I$500,MATCH($A131,Companies!$A$2:$A$500,0)),""))</f>
        <v/>
      </c>
      <c r="S131" s="8" t="n"/>
      <c r="T131" s="8" t="n"/>
      <c r="U131" s="8" t="n"/>
      <c r="V131" s="8" t="n"/>
      <c r="W131" s="8" t="n"/>
    </row>
    <row r="132">
      <c r="C132" s="5">
        <f>IF($B132="","",TRIM(IF(INDEX('MOA role matrix'!$B$2:$D$13,1,MATCH($B132,'MOA role matrix'!$B$1:$D$1,0))="Fill","Project initiator, ","")IF(INDEX('MOA role matrix'!$B$2:$D$13,1,MATCH($B132,'MOA role matrix'!$B$1:$D$1,0))="If finance","Project initiator (if finance), ","")IF(INDEX('MOA role matrix'!$B$2:$D$13,1,MATCH($B132,'MOA role matrix'!$B$1:$D$1,0))="Auto","Project initiator (auto), ","")IF(INDEX('MOA role matrix'!$B$2:$D$13,2,MATCH($B132,'MOA role matrix'!$B$1:$D$1,0))="Fill","MOA signers (client), ","")IF(INDEX('MOA role matrix'!$B$2:$D$13,2,MATCH($B132,'MOA role matrix'!$B$1:$D$1,0))="If finance","MOA signers (client) (if finance), ","")IF(INDEX('MOA role matrix'!$B$2:$D$13,2,MATCH($B132,'MOA role matrix'!$B$1:$D$1,0))="Auto","MOA signers (client) (auto), ","")IF(INDEX('MOA role matrix'!$B$2:$D$13,3,MATCH($B132,'MOA role matrix'!$B$1:$D$1,0))="Fill","CFO / Head of Finance, ","")IF(INDEX('MOA role matrix'!$B$2:$D$13,3,MATCH($B132,'MOA role matrix'!$B$1:$D$1,0))="If finance","CFO / Head of Finance (if finance), ","")IF(INDEX('MOA role matrix'!$B$2:$D$13,3,MATCH($B132,'MOA role matrix'!$B$1:$D$1,0))="Auto","CFO / Head of Finance (auto), ","")IF(INDEX('MOA role matrix'!$B$2:$D$13,4,MATCH($B132,'MOA role matrix'!$B$1:$D$1,0))="Fill","CEO / COO / GM, ","")IF(INDEX('MOA role matrix'!$B$2:$D$13,4,MATCH($B132,'MOA role matrix'!$B$1:$D$1,0))="If finance","CEO / COO / GM (if finance), ","")IF(INDEX('MOA role matrix'!$B$2:$D$13,4,MATCH($B132,'MOA role matrix'!$B$1:$D$1,0))="Auto","CEO / COO / GM (auto), ","")IF(INDEX('MOA role matrix'!$B$2:$D$13,5,MATCH($B132,'MOA role matrix'!$B$1:$D$1,0))="Fill","Board member 1, ","")IF(INDEX('MOA role matrix'!$B$2:$D$13,5,MATCH($B132,'MOA role matrix'!$B$1:$D$1,0))="If finance","Board member 1 (if finance), ","")IF(INDEX('MOA role matrix'!$B$2:$D$13,5,MATCH($B132,'MOA role matrix'!$B$1:$D$1,0))="Auto","Board member 1 (auto), ","")IF(INDEX('MOA role matrix'!$B$2:$D$13,6,MATCH($B132,'MOA role matrix'!$B$1:$D$1,0))="Fill","Board member 2, ","")IF(INDEX('MOA role matrix'!$B$2:$D$13,6,MATCH($B132,'MOA role matrix'!$B$1:$D$1,0))="If finance","Board member 2 (if finance), ","")IF(INDEX('MOA role matrix'!$B$2:$D$13,6,MATCH($B132,'MOA role matrix'!$B$1:$D$1,0))="Auto","Board member 2 (auto), ","")IF(INDEX('MOA role matrix'!$B$2:$D$13,7,MATCH($B132,'MOA role matrix'!$B$1:$D$1,0))="Fill","LOA holder 1, ","")IF(INDEX('MOA role matrix'!$B$2:$D$13,7,MATCH($B132,'MOA role matrix'!$B$1:$D$1,0))="If finance","LOA holder 1 (if finance), ","")IF(INDEX('MOA role matrix'!$B$2:$D$13,7,MATCH($B132,'MOA role matrix'!$B$1:$D$1,0))="Auto","LOA holder 1 (auto), ","")IF(INDEX('MOA role matrix'!$B$2:$D$13,8,MATCH($B132,'MOA role matrix'!$B$1:$D$1,0))="Fill","LOA holder 2, ","")IF(INDEX('MOA role matrix'!$B$2:$D$13,8,MATCH($B132,'MOA role matrix'!$B$1:$D$1,0))="If finance","LOA holder 2 (if finance), ","")IF(INDEX('MOA role matrix'!$B$2:$D$13,8,MATCH($B132,'MOA role matrix'!$B$1:$D$1,0))="Auto","LOA holder 2 (auto), ","")IF(INDEX('MOA role matrix'!$B$2:$D$13,9,MATCH($B132,'MOA role matrix'!$B$1:$D$1,0))="Fill","Senior Manager CoSec, ","")IF(INDEX('MOA role matrix'!$B$2:$D$13,9,MATCH($B132,'MOA role matrix'!$B$1:$D$1,0))="If finance","Senior Manager CoSec (if finance), ","")IF(INDEX('MOA role matrix'!$B$2:$D$13,9,MATCH($B132,'MOA role matrix'!$B$1:$D$1,0))="Auto","Senior Manager CoSec (auto), ","")IF(INDEX('MOA role matrix'!$B$2:$D$13,10,MATCH($B132,'MOA role matrix'!$B$1:$D$1,0))="Fill","Division MOI managers, ","")IF(INDEX('MOA role matrix'!$B$2:$D$13,10,MATCH($B132,'MOA role matrix'!$B$1:$D$1,0))="If finance","Division MOI managers (if finance), ","")IF(INDEX('MOA role matrix'!$B$2:$D$13,10,MATCH($B132,'MOA role matrix'!$B$1:$D$1,0))="Auto","Division MOI managers (auto), ","")IF(INDEX('MOA role matrix'!$B$2:$D$13,11,MATCH($B132,'MOA role matrix'!$B$1:$D$1,0))="Fill","Ms Teh (bank), ","")IF(INDEX('MOA role matrix'!$B$2:$D$13,11,MATCH($B132,'MOA role matrix'!$B$1:$D$1,0))="If finance","Ms Teh (bank) (if finance), ","")IF(INDEX('MOA role matrix'!$B$2:$D$13,11,MATCH($B132,'MOA role matrix'!$B$1:$D$1,0))="Auto","Ms Teh (bank) (auto), ","")IF(INDEX('MOA role matrix'!$B$2:$D$13,12,MATCH($B132,'MOA role matrix'!$B$1:$D$1,0))="Fill","DLCM, ","")IF(INDEX('MOA role matrix'!$B$2:$D$13,12,MATCH($B132,'MOA role matrix'!$B$1:$D$1,0))="If finance","DLCM (if finance), ","")IF(INDEX('MOA role matrix'!$B$2:$D$13,12,MATCH($B132,'MOA role matrix'!$B$1:$D$1,0))="Auto","DLCM (auto), ","")))</f>
        <v/>
      </c>
      <c r="D132" s="5">
        <f>IF($A132="","",IFERROR(INDEX(FILTER('Client contacts'!$B$2:$B$500,('Client contacts'!$A$2:$A$500=$A132)*('Client contacts'!$H$2:$H$500="Y"),""),1),""))</f>
        <v/>
      </c>
      <c r="E132" s="5">
        <f>IF($A132="","",IFERROR(INDEX(FILTER('Client contacts'!$C$2:$C$500,('Client contacts'!$A$2:$A$500=$A132)*('Client contacts'!$H$2:$H$500="Y"),""),1),""))</f>
        <v/>
      </c>
      <c r="F132" s="5">
        <f>IF($A132="","",IFERROR(INDEX(FILTER('Client contacts'!$B$2:$B$500,('Client contacts'!$A$2:$A$500=$A132)*('Client contacts'!$G$2:$G$500="Y"),""),1),""))</f>
        <v/>
      </c>
      <c r="G132" s="5">
        <f>IF($A132="","",IFERROR(INDEX(FILTER('Client contacts'!$C$2:$C$500,('Client contacts'!$A$2:$A$500=$A132)*('Client contacts'!$G$2:$G$500="Y"),""),1),""))</f>
        <v/>
      </c>
      <c r="H132" s="5">
        <f>IF($A132="","",IFERROR(INDEX(FILTER('Client contacts'!$B$2:$B$500,('Client contacts'!$A$2:$A$500=$A132)*('Client contacts'!$G$2:$G$500="Y"),""),2),""))</f>
        <v/>
      </c>
      <c r="I132" s="5">
        <f>IF($A132="","",IFERROR(INDEX(FILTER('Client contacts'!$C$2:$C$500,('Client contacts'!$A$2:$A$500=$A132)*('Client contacts'!$G$2:$G$500="Y"),""),2),""))</f>
        <v/>
      </c>
      <c r="J132" s="8" t="n"/>
      <c r="K132" s="8" t="n"/>
      <c r="L132" s="8" t="n"/>
      <c r="M132" s="8" t="n"/>
      <c r="N132" s="8" t="n"/>
      <c r="O132" s="8" t="n"/>
      <c r="P132" s="8" t="n"/>
      <c r="Q132" s="8" t="n"/>
      <c r="R132" s="5">
        <f>IF($A132="","",IFERROR(INDEX(Companies!$I$2:$I$500,MATCH($A132,Companies!$A$2:$A$500,0)),""))</f>
        <v/>
      </c>
      <c r="S132" s="8" t="n"/>
      <c r="T132" s="8" t="n"/>
      <c r="U132" s="8" t="n"/>
      <c r="V132" s="8" t="n"/>
      <c r="W132" s="8" t="n"/>
    </row>
    <row r="133">
      <c r="C133" s="5">
        <f>IF($B133="","",TRIM(IF(INDEX('MOA role matrix'!$B$2:$D$13,1,MATCH($B133,'MOA role matrix'!$B$1:$D$1,0))="Fill","Project initiator, ","")IF(INDEX('MOA role matrix'!$B$2:$D$13,1,MATCH($B133,'MOA role matrix'!$B$1:$D$1,0))="If finance","Project initiator (if finance), ","")IF(INDEX('MOA role matrix'!$B$2:$D$13,1,MATCH($B133,'MOA role matrix'!$B$1:$D$1,0))="Auto","Project initiator (auto), ","")IF(INDEX('MOA role matrix'!$B$2:$D$13,2,MATCH($B133,'MOA role matrix'!$B$1:$D$1,0))="Fill","MOA signers (client), ","")IF(INDEX('MOA role matrix'!$B$2:$D$13,2,MATCH($B133,'MOA role matrix'!$B$1:$D$1,0))="If finance","MOA signers (client) (if finance), ","")IF(INDEX('MOA role matrix'!$B$2:$D$13,2,MATCH($B133,'MOA role matrix'!$B$1:$D$1,0))="Auto","MOA signers (client) (auto), ","")IF(INDEX('MOA role matrix'!$B$2:$D$13,3,MATCH($B133,'MOA role matrix'!$B$1:$D$1,0))="Fill","CFO / Head of Finance, ","")IF(INDEX('MOA role matrix'!$B$2:$D$13,3,MATCH($B133,'MOA role matrix'!$B$1:$D$1,0))="If finance","CFO / Head of Finance (if finance), ","")IF(INDEX('MOA role matrix'!$B$2:$D$13,3,MATCH($B133,'MOA role matrix'!$B$1:$D$1,0))="Auto","CFO / Head of Finance (auto), ","")IF(INDEX('MOA role matrix'!$B$2:$D$13,4,MATCH($B133,'MOA role matrix'!$B$1:$D$1,0))="Fill","CEO / COO / GM, ","")IF(INDEX('MOA role matrix'!$B$2:$D$13,4,MATCH($B133,'MOA role matrix'!$B$1:$D$1,0))="If finance","CEO / COO / GM (if finance), ","")IF(INDEX('MOA role matrix'!$B$2:$D$13,4,MATCH($B133,'MOA role matrix'!$B$1:$D$1,0))="Auto","CEO / COO / GM (auto), ","")IF(INDEX('MOA role matrix'!$B$2:$D$13,5,MATCH($B133,'MOA role matrix'!$B$1:$D$1,0))="Fill","Board member 1, ","")IF(INDEX('MOA role matrix'!$B$2:$D$13,5,MATCH($B133,'MOA role matrix'!$B$1:$D$1,0))="If finance","Board member 1 (if finance), ","")IF(INDEX('MOA role matrix'!$B$2:$D$13,5,MATCH($B133,'MOA role matrix'!$B$1:$D$1,0))="Auto","Board member 1 (auto), ","")IF(INDEX('MOA role matrix'!$B$2:$D$13,6,MATCH($B133,'MOA role matrix'!$B$1:$D$1,0))="Fill","Board member 2, ","")IF(INDEX('MOA role matrix'!$B$2:$D$13,6,MATCH($B133,'MOA role matrix'!$B$1:$D$1,0))="If finance","Board member 2 (if finance), ","")IF(INDEX('MOA role matrix'!$B$2:$D$13,6,MATCH($B133,'MOA role matrix'!$B$1:$D$1,0))="Auto","Board member 2 (auto), ","")IF(INDEX('MOA role matrix'!$B$2:$D$13,7,MATCH($B133,'MOA role matrix'!$B$1:$D$1,0))="Fill","LOA holder 1, ","")IF(INDEX('MOA role matrix'!$B$2:$D$13,7,MATCH($B133,'MOA role matrix'!$B$1:$D$1,0))="If finance","LOA holder 1 (if finance), ","")IF(INDEX('MOA role matrix'!$B$2:$D$13,7,MATCH($B133,'MOA role matrix'!$B$1:$D$1,0))="Auto","LOA holder 1 (auto), ","")IF(INDEX('MOA role matrix'!$B$2:$D$13,8,MATCH($B133,'MOA role matrix'!$B$1:$D$1,0))="Fill","LOA holder 2, ","")IF(INDEX('MOA role matrix'!$B$2:$D$13,8,MATCH($B133,'MOA role matrix'!$B$1:$D$1,0))="If finance","LOA holder 2 (if finance), ","")IF(INDEX('MOA role matrix'!$B$2:$D$13,8,MATCH($B133,'MOA role matrix'!$B$1:$D$1,0))="Auto","LOA holder 2 (auto), ","")IF(INDEX('MOA role matrix'!$B$2:$D$13,9,MATCH($B133,'MOA role matrix'!$B$1:$D$1,0))="Fill","Senior Manager CoSec, ","")IF(INDEX('MOA role matrix'!$B$2:$D$13,9,MATCH($B133,'MOA role matrix'!$B$1:$D$1,0))="If finance","Senior Manager CoSec (if finance), ","")IF(INDEX('MOA role matrix'!$B$2:$D$13,9,MATCH($B133,'MOA role matrix'!$B$1:$D$1,0))="Auto","Senior Manager CoSec (auto), ","")IF(INDEX('MOA role matrix'!$B$2:$D$13,10,MATCH($B133,'MOA role matrix'!$B$1:$D$1,0))="Fill","Division MOI managers, ","")IF(INDEX('MOA role matrix'!$B$2:$D$13,10,MATCH($B133,'MOA role matrix'!$B$1:$D$1,0))="If finance","Division MOI managers (if finance), ","")IF(INDEX('MOA role matrix'!$B$2:$D$13,10,MATCH($B133,'MOA role matrix'!$B$1:$D$1,0))="Auto","Division MOI managers (auto), ","")IF(INDEX('MOA role matrix'!$B$2:$D$13,11,MATCH($B133,'MOA role matrix'!$B$1:$D$1,0))="Fill","Ms Teh (bank), ","")IF(INDEX('MOA role matrix'!$B$2:$D$13,11,MATCH($B133,'MOA role matrix'!$B$1:$D$1,0))="If finance","Ms Teh (bank) (if finance), ","")IF(INDEX('MOA role matrix'!$B$2:$D$13,11,MATCH($B133,'MOA role matrix'!$B$1:$D$1,0))="Auto","Ms Teh (bank) (auto), ","")IF(INDEX('MOA role matrix'!$B$2:$D$13,12,MATCH($B133,'MOA role matrix'!$B$1:$D$1,0))="Fill","DLCM, ","")IF(INDEX('MOA role matrix'!$B$2:$D$13,12,MATCH($B133,'MOA role matrix'!$B$1:$D$1,0))="If finance","DLCM (if finance), ","")IF(INDEX('MOA role matrix'!$B$2:$D$13,12,MATCH($B133,'MOA role matrix'!$B$1:$D$1,0))="Auto","DLCM (auto), ","")))</f>
        <v/>
      </c>
      <c r="D133" s="5">
        <f>IF($A133="","",IFERROR(INDEX(FILTER('Client contacts'!$B$2:$B$500,('Client contacts'!$A$2:$A$500=$A133)*('Client contacts'!$H$2:$H$500="Y"),""),1),""))</f>
        <v/>
      </c>
      <c r="E133" s="5">
        <f>IF($A133="","",IFERROR(INDEX(FILTER('Client contacts'!$C$2:$C$500,('Client contacts'!$A$2:$A$500=$A133)*('Client contacts'!$H$2:$H$500="Y"),""),1),""))</f>
        <v/>
      </c>
      <c r="F133" s="5">
        <f>IF($A133="","",IFERROR(INDEX(FILTER('Client contacts'!$B$2:$B$500,('Client contacts'!$A$2:$A$500=$A133)*('Client contacts'!$G$2:$G$500="Y"),""),1),""))</f>
        <v/>
      </c>
      <c r="G133" s="5">
        <f>IF($A133="","",IFERROR(INDEX(FILTER('Client contacts'!$C$2:$C$500,('Client contacts'!$A$2:$A$500=$A133)*('Client contacts'!$G$2:$G$500="Y"),""),1),""))</f>
        <v/>
      </c>
      <c r="H133" s="5">
        <f>IF($A133="","",IFERROR(INDEX(FILTER('Client contacts'!$B$2:$B$500,('Client contacts'!$A$2:$A$500=$A133)*('Client contacts'!$G$2:$G$500="Y"),""),2),""))</f>
        <v/>
      </c>
      <c r="I133" s="5">
        <f>IF($A133="","",IFERROR(INDEX(FILTER('Client contacts'!$C$2:$C$500,('Client contacts'!$A$2:$A$500=$A133)*('Client contacts'!$G$2:$G$500="Y"),""),2),""))</f>
        <v/>
      </c>
      <c r="J133" s="8" t="n"/>
      <c r="K133" s="8" t="n"/>
      <c r="L133" s="8" t="n"/>
      <c r="M133" s="8" t="n"/>
      <c r="N133" s="8" t="n"/>
      <c r="O133" s="8" t="n"/>
      <c r="P133" s="8" t="n"/>
      <c r="Q133" s="8" t="n"/>
      <c r="R133" s="5">
        <f>IF($A133="","",IFERROR(INDEX(Companies!$I$2:$I$500,MATCH($A133,Companies!$A$2:$A$500,0)),""))</f>
        <v/>
      </c>
      <c r="S133" s="8" t="n"/>
      <c r="T133" s="8" t="n"/>
      <c r="U133" s="8" t="n"/>
      <c r="V133" s="8" t="n"/>
      <c r="W133" s="8" t="n"/>
    </row>
    <row r="134">
      <c r="C134" s="5">
        <f>IF($B134="","",TRIM(IF(INDEX('MOA role matrix'!$B$2:$D$13,1,MATCH($B134,'MOA role matrix'!$B$1:$D$1,0))="Fill","Project initiator, ","")IF(INDEX('MOA role matrix'!$B$2:$D$13,1,MATCH($B134,'MOA role matrix'!$B$1:$D$1,0))="If finance","Project initiator (if finance), ","")IF(INDEX('MOA role matrix'!$B$2:$D$13,1,MATCH($B134,'MOA role matrix'!$B$1:$D$1,0))="Auto","Project initiator (auto), ","")IF(INDEX('MOA role matrix'!$B$2:$D$13,2,MATCH($B134,'MOA role matrix'!$B$1:$D$1,0))="Fill","MOA signers (client), ","")IF(INDEX('MOA role matrix'!$B$2:$D$13,2,MATCH($B134,'MOA role matrix'!$B$1:$D$1,0))="If finance","MOA signers (client) (if finance), ","")IF(INDEX('MOA role matrix'!$B$2:$D$13,2,MATCH($B134,'MOA role matrix'!$B$1:$D$1,0))="Auto","MOA signers (client) (auto), ","")IF(INDEX('MOA role matrix'!$B$2:$D$13,3,MATCH($B134,'MOA role matrix'!$B$1:$D$1,0))="Fill","CFO / Head of Finance, ","")IF(INDEX('MOA role matrix'!$B$2:$D$13,3,MATCH($B134,'MOA role matrix'!$B$1:$D$1,0))="If finance","CFO / Head of Finance (if finance), ","")IF(INDEX('MOA role matrix'!$B$2:$D$13,3,MATCH($B134,'MOA role matrix'!$B$1:$D$1,0))="Auto","CFO / Head of Finance (auto), ","")IF(INDEX('MOA role matrix'!$B$2:$D$13,4,MATCH($B134,'MOA role matrix'!$B$1:$D$1,0))="Fill","CEO / COO / GM, ","")IF(INDEX('MOA role matrix'!$B$2:$D$13,4,MATCH($B134,'MOA role matrix'!$B$1:$D$1,0))="If finance","CEO / COO / GM (if finance), ","")IF(INDEX('MOA role matrix'!$B$2:$D$13,4,MATCH($B134,'MOA role matrix'!$B$1:$D$1,0))="Auto","CEO / COO / GM (auto), ","")IF(INDEX('MOA role matrix'!$B$2:$D$13,5,MATCH($B134,'MOA role matrix'!$B$1:$D$1,0))="Fill","Board member 1, ","")IF(INDEX('MOA role matrix'!$B$2:$D$13,5,MATCH($B134,'MOA role matrix'!$B$1:$D$1,0))="If finance","Board member 1 (if finance), ","")IF(INDEX('MOA role matrix'!$B$2:$D$13,5,MATCH($B134,'MOA role matrix'!$B$1:$D$1,0))="Auto","Board member 1 (auto), ","")IF(INDEX('MOA role matrix'!$B$2:$D$13,6,MATCH($B134,'MOA role matrix'!$B$1:$D$1,0))="Fill","Board member 2, ","")IF(INDEX('MOA role matrix'!$B$2:$D$13,6,MATCH($B134,'MOA role matrix'!$B$1:$D$1,0))="If finance","Board member 2 (if finance), ","")IF(INDEX('MOA role matrix'!$B$2:$D$13,6,MATCH($B134,'MOA role matrix'!$B$1:$D$1,0))="Auto","Board member 2 (auto), ","")IF(INDEX('MOA role matrix'!$B$2:$D$13,7,MATCH($B134,'MOA role matrix'!$B$1:$D$1,0))="Fill","LOA holder 1, ","")IF(INDEX('MOA role matrix'!$B$2:$D$13,7,MATCH($B134,'MOA role matrix'!$B$1:$D$1,0))="If finance","LOA holder 1 (if finance), ","")IF(INDEX('MOA role matrix'!$B$2:$D$13,7,MATCH($B134,'MOA role matrix'!$B$1:$D$1,0))="Auto","LOA holder 1 (auto), ","")IF(INDEX('MOA role matrix'!$B$2:$D$13,8,MATCH($B134,'MOA role matrix'!$B$1:$D$1,0))="Fill","LOA holder 2, ","")IF(INDEX('MOA role matrix'!$B$2:$D$13,8,MATCH($B134,'MOA role matrix'!$B$1:$D$1,0))="If finance","LOA holder 2 (if finance), ","")IF(INDEX('MOA role matrix'!$B$2:$D$13,8,MATCH($B134,'MOA role matrix'!$B$1:$D$1,0))="Auto","LOA holder 2 (auto), ","")IF(INDEX('MOA role matrix'!$B$2:$D$13,9,MATCH($B134,'MOA role matrix'!$B$1:$D$1,0))="Fill","Senior Manager CoSec, ","")IF(INDEX('MOA role matrix'!$B$2:$D$13,9,MATCH($B134,'MOA role matrix'!$B$1:$D$1,0))="If finance","Senior Manager CoSec (if finance), ","")IF(INDEX('MOA role matrix'!$B$2:$D$13,9,MATCH($B134,'MOA role matrix'!$B$1:$D$1,0))="Auto","Senior Manager CoSec (auto), ","")IF(INDEX('MOA role matrix'!$B$2:$D$13,10,MATCH($B134,'MOA role matrix'!$B$1:$D$1,0))="Fill","Division MOI managers, ","")IF(INDEX('MOA role matrix'!$B$2:$D$13,10,MATCH($B134,'MOA role matrix'!$B$1:$D$1,0))="If finance","Division MOI managers (if finance), ","")IF(INDEX('MOA role matrix'!$B$2:$D$13,10,MATCH($B134,'MOA role matrix'!$B$1:$D$1,0))="Auto","Division MOI managers (auto), ","")IF(INDEX('MOA role matrix'!$B$2:$D$13,11,MATCH($B134,'MOA role matrix'!$B$1:$D$1,0))="Fill","Ms Teh (bank), ","")IF(INDEX('MOA role matrix'!$B$2:$D$13,11,MATCH($B134,'MOA role matrix'!$B$1:$D$1,0))="If finance","Ms Teh (bank) (if finance), ","")IF(INDEX('MOA role matrix'!$B$2:$D$13,11,MATCH($B134,'MOA role matrix'!$B$1:$D$1,0))="Auto","Ms Teh (bank) (auto), ","")IF(INDEX('MOA role matrix'!$B$2:$D$13,12,MATCH($B134,'MOA role matrix'!$B$1:$D$1,0))="Fill","DLCM, ","")IF(INDEX('MOA role matrix'!$B$2:$D$13,12,MATCH($B134,'MOA role matrix'!$B$1:$D$1,0))="If finance","DLCM (if finance), ","")IF(INDEX('MOA role matrix'!$B$2:$D$13,12,MATCH($B134,'MOA role matrix'!$B$1:$D$1,0))="Auto","DLCM (auto), ","")))</f>
        <v/>
      </c>
      <c r="D134" s="5">
        <f>IF($A134="","",IFERROR(INDEX(FILTER('Client contacts'!$B$2:$B$500,('Client contacts'!$A$2:$A$500=$A134)*('Client contacts'!$H$2:$H$500="Y"),""),1),""))</f>
        <v/>
      </c>
      <c r="E134" s="5">
        <f>IF($A134="","",IFERROR(INDEX(FILTER('Client contacts'!$C$2:$C$500,('Client contacts'!$A$2:$A$500=$A134)*('Client contacts'!$H$2:$H$500="Y"),""),1),""))</f>
        <v/>
      </c>
      <c r="F134" s="5">
        <f>IF($A134="","",IFERROR(INDEX(FILTER('Client contacts'!$B$2:$B$500,('Client contacts'!$A$2:$A$500=$A134)*('Client contacts'!$G$2:$G$500="Y"),""),1),""))</f>
        <v/>
      </c>
      <c r="G134" s="5">
        <f>IF($A134="","",IFERROR(INDEX(FILTER('Client contacts'!$C$2:$C$500,('Client contacts'!$A$2:$A$500=$A134)*('Client contacts'!$G$2:$G$500="Y"),""),1),""))</f>
        <v/>
      </c>
      <c r="H134" s="5">
        <f>IF($A134="","",IFERROR(INDEX(FILTER('Client contacts'!$B$2:$B$500,('Client contacts'!$A$2:$A$500=$A134)*('Client contacts'!$G$2:$G$500="Y"),""),2),""))</f>
        <v/>
      </c>
      <c r="I134" s="5">
        <f>IF($A134="","",IFERROR(INDEX(FILTER('Client contacts'!$C$2:$C$500,('Client contacts'!$A$2:$A$500=$A134)*('Client contacts'!$G$2:$G$500="Y"),""),2),""))</f>
        <v/>
      </c>
      <c r="J134" s="8" t="n"/>
      <c r="K134" s="8" t="n"/>
      <c r="L134" s="8" t="n"/>
      <c r="M134" s="8" t="n"/>
      <c r="N134" s="8" t="n"/>
      <c r="O134" s="8" t="n"/>
      <c r="P134" s="8" t="n"/>
      <c r="Q134" s="8" t="n"/>
      <c r="R134" s="5">
        <f>IF($A134="","",IFERROR(INDEX(Companies!$I$2:$I$500,MATCH($A134,Companies!$A$2:$A$500,0)),""))</f>
        <v/>
      </c>
      <c r="S134" s="8" t="n"/>
      <c r="T134" s="8" t="n"/>
      <c r="U134" s="8" t="n"/>
      <c r="V134" s="8" t="n"/>
      <c r="W134" s="8" t="n"/>
    </row>
    <row r="135">
      <c r="C135" s="5">
        <f>IF($B135="","",TRIM(IF(INDEX('MOA role matrix'!$B$2:$D$13,1,MATCH($B135,'MOA role matrix'!$B$1:$D$1,0))="Fill","Project initiator, ","")IF(INDEX('MOA role matrix'!$B$2:$D$13,1,MATCH($B135,'MOA role matrix'!$B$1:$D$1,0))="If finance","Project initiator (if finance), ","")IF(INDEX('MOA role matrix'!$B$2:$D$13,1,MATCH($B135,'MOA role matrix'!$B$1:$D$1,0))="Auto","Project initiator (auto), ","")IF(INDEX('MOA role matrix'!$B$2:$D$13,2,MATCH($B135,'MOA role matrix'!$B$1:$D$1,0))="Fill","MOA signers (client), ","")IF(INDEX('MOA role matrix'!$B$2:$D$13,2,MATCH($B135,'MOA role matrix'!$B$1:$D$1,0))="If finance","MOA signers (client) (if finance), ","")IF(INDEX('MOA role matrix'!$B$2:$D$13,2,MATCH($B135,'MOA role matrix'!$B$1:$D$1,0))="Auto","MOA signers (client) (auto), ","")IF(INDEX('MOA role matrix'!$B$2:$D$13,3,MATCH($B135,'MOA role matrix'!$B$1:$D$1,0))="Fill","CFO / Head of Finance, ","")IF(INDEX('MOA role matrix'!$B$2:$D$13,3,MATCH($B135,'MOA role matrix'!$B$1:$D$1,0))="If finance","CFO / Head of Finance (if finance), ","")IF(INDEX('MOA role matrix'!$B$2:$D$13,3,MATCH($B135,'MOA role matrix'!$B$1:$D$1,0))="Auto","CFO / Head of Finance (auto), ","")IF(INDEX('MOA role matrix'!$B$2:$D$13,4,MATCH($B135,'MOA role matrix'!$B$1:$D$1,0))="Fill","CEO / COO / GM, ","")IF(INDEX('MOA role matrix'!$B$2:$D$13,4,MATCH($B135,'MOA role matrix'!$B$1:$D$1,0))="If finance","CEO / COO / GM (if finance), ","")IF(INDEX('MOA role matrix'!$B$2:$D$13,4,MATCH($B135,'MOA role matrix'!$B$1:$D$1,0))="Auto","CEO / COO / GM (auto), ","")IF(INDEX('MOA role matrix'!$B$2:$D$13,5,MATCH($B135,'MOA role matrix'!$B$1:$D$1,0))="Fill","Board member 1, ","")IF(INDEX('MOA role matrix'!$B$2:$D$13,5,MATCH($B135,'MOA role matrix'!$B$1:$D$1,0))="If finance","Board member 1 (if finance), ","")IF(INDEX('MOA role matrix'!$B$2:$D$13,5,MATCH($B135,'MOA role matrix'!$B$1:$D$1,0))="Auto","Board member 1 (auto), ","")IF(INDEX('MOA role matrix'!$B$2:$D$13,6,MATCH($B135,'MOA role matrix'!$B$1:$D$1,0))="Fill","Board member 2, ","")IF(INDEX('MOA role matrix'!$B$2:$D$13,6,MATCH($B135,'MOA role matrix'!$B$1:$D$1,0))="If finance","Board member 2 (if finance), ","")IF(INDEX('MOA role matrix'!$B$2:$D$13,6,MATCH($B135,'MOA role matrix'!$B$1:$D$1,0))="Auto","Board member 2 (auto), ","")IF(INDEX('MOA role matrix'!$B$2:$D$13,7,MATCH($B135,'MOA role matrix'!$B$1:$D$1,0))="Fill","LOA holder 1, ","")IF(INDEX('MOA role matrix'!$B$2:$D$13,7,MATCH($B135,'MOA role matrix'!$B$1:$D$1,0))="If finance","LOA holder 1 (if finance), ","")IF(INDEX('MOA role matrix'!$B$2:$D$13,7,MATCH($B135,'MOA role matrix'!$B$1:$D$1,0))="Auto","LOA holder 1 (auto), ","")IF(INDEX('MOA role matrix'!$B$2:$D$13,8,MATCH($B135,'MOA role matrix'!$B$1:$D$1,0))="Fill","LOA holder 2, ","")IF(INDEX('MOA role matrix'!$B$2:$D$13,8,MATCH($B135,'MOA role matrix'!$B$1:$D$1,0))="If finance","LOA holder 2 (if finance), ","")IF(INDEX('MOA role matrix'!$B$2:$D$13,8,MATCH($B135,'MOA role matrix'!$B$1:$D$1,0))="Auto","LOA holder 2 (auto), ","")IF(INDEX('MOA role matrix'!$B$2:$D$13,9,MATCH($B135,'MOA role matrix'!$B$1:$D$1,0))="Fill","Senior Manager CoSec, ","")IF(INDEX('MOA role matrix'!$B$2:$D$13,9,MATCH($B135,'MOA role matrix'!$B$1:$D$1,0))="If finance","Senior Manager CoSec (if finance), ","")IF(INDEX('MOA role matrix'!$B$2:$D$13,9,MATCH($B135,'MOA role matrix'!$B$1:$D$1,0))="Auto","Senior Manager CoSec (auto), ","")IF(INDEX('MOA role matrix'!$B$2:$D$13,10,MATCH($B135,'MOA role matrix'!$B$1:$D$1,0))="Fill","Division MOI managers, ","")IF(INDEX('MOA role matrix'!$B$2:$D$13,10,MATCH($B135,'MOA role matrix'!$B$1:$D$1,0))="If finance","Division MOI managers (if finance), ","")IF(INDEX('MOA role matrix'!$B$2:$D$13,10,MATCH($B135,'MOA role matrix'!$B$1:$D$1,0))="Auto","Division MOI managers (auto), ","")IF(INDEX('MOA role matrix'!$B$2:$D$13,11,MATCH($B135,'MOA role matrix'!$B$1:$D$1,0))="Fill","Ms Teh (bank), ","")IF(INDEX('MOA role matrix'!$B$2:$D$13,11,MATCH($B135,'MOA role matrix'!$B$1:$D$1,0))="If finance","Ms Teh (bank) (if finance), ","")IF(INDEX('MOA role matrix'!$B$2:$D$13,11,MATCH($B135,'MOA role matrix'!$B$1:$D$1,0))="Auto","Ms Teh (bank) (auto), ","")IF(INDEX('MOA role matrix'!$B$2:$D$13,12,MATCH($B135,'MOA role matrix'!$B$1:$D$1,0))="Fill","DLCM, ","")IF(INDEX('MOA role matrix'!$B$2:$D$13,12,MATCH($B135,'MOA role matrix'!$B$1:$D$1,0))="If finance","DLCM (if finance), ","")IF(INDEX('MOA role matrix'!$B$2:$D$13,12,MATCH($B135,'MOA role matrix'!$B$1:$D$1,0))="Auto","DLCM (auto), ","")))</f>
        <v/>
      </c>
      <c r="D135" s="5">
        <f>IF($A135="","",IFERROR(INDEX(FILTER('Client contacts'!$B$2:$B$500,('Client contacts'!$A$2:$A$500=$A135)*('Client contacts'!$H$2:$H$500="Y"),""),1),""))</f>
        <v/>
      </c>
      <c r="E135" s="5">
        <f>IF($A135="","",IFERROR(INDEX(FILTER('Client contacts'!$C$2:$C$500,('Client contacts'!$A$2:$A$500=$A135)*('Client contacts'!$H$2:$H$500="Y"),""),1),""))</f>
        <v/>
      </c>
      <c r="F135" s="5">
        <f>IF($A135="","",IFERROR(INDEX(FILTER('Client contacts'!$B$2:$B$500,('Client contacts'!$A$2:$A$500=$A135)*('Client contacts'!$G$2:$G$500="Y"),""),1),""))</f>
        <v/>
      </c>
      <c r="G135" s="5">
        <f>IF($A135="","",IFERROR(INDEX(FILTER('Client contacts'!$C$2:$C$500,('Client contacts'!$A$2:$A$500=$A135)*('Client contacts'!$G$2:$G$500="Y"),""),1),""))</f>
        <v/>
      </c>
      <c r="H135" s="5">
        <f>IF($A135="","",IFERROR(INDEX(FILTER('Client contacts'!$B$2:$B$500,('Client contacts'!$A$2:$A$500=$A135)*('Client contacts'!$G$2:$G$500="Y"),""),2),""))</f>
        <v/>
      </c>
      <c r="I135" s="5">
        <f>IF($A135="","",IFERROR(INDEX(FILTER('Client contacts'!$C$2:$C$500,('Client contacts'!$A$2:$A$500=$A135)*('Client contacts'!$G$2:$G$500="Y"),""),2),""))</f>
        <v/>
      </c>
      <c r="J135" s="8" t="n"/>
      <c r="K135" s="8" t="n"/>
      <c r="L135" s="8" t="n"/>
      <c r="M135" s="8" t="n"/>
      <c r="N135" s="8" t="n"/>
      <c r="O135" s="8" t="n"/>
      <c r="P135" s="8" t="n"/>
      <c r="Q135" s="8" t="n"/>
      <c r="R135" s="5">
        <f>IF($A135="","",IFERROR(INDEX(Companies!$I$2:$I$500,MATCH($A135,Companies!$A$2:$A$500,0)),""))</f>
        <v/>
      </c>
      <c r="S135" s="8" t="n"/>
      <c r="T135" s="8" t="n"/>
      <c r="U135" s="8" t="n"/>
      <c r="V135" s="8" t="n"/>
      <c r="W135" s="8" t="n"/>
    </row>
    <row r="136">
      <c r="C136" s="5">
        <f>IF($B136="","",TRIM(IF(INDEX('MOA role matrix'!$B$2:$D$13,1,MATCH($B136,'MOA role matrix'!$B$1:$D$1,0))="Fill","Project initiator, ","")IF(INDEX('MOA role matrix'!$B$2:$D$13,1,MATCH($B136,'MOA role matrix'!$B$1:$D$1,0))="If finance","Project initiator (if finance), ","")IF(INDEX('MOA role matrix'!$B$2:$D$13,1,MATCH($B136,'MOA role matrix'!$B$1:$D$1,0))="Auto","Project initiator (auto), ","")IF(INDEX('MOA role matrix'!$B$2:$D$13,2,MATCH($B136,'MOA role matrix'!$B$1:$D$1,0))="Fill","MOA signers (client), ","")IF(INDEX('MOA role matrix'!$B$2:$D$13,2,MATCH($B136,'MOA role matrix'!$B$1:$D$1,0))="If finance","MOA signers (client) (if finance), ","")IF(INDEX('MOA role matrix'!$B$2:$D$13,2,MATCH($B136,'MOA role matrix'!$B$1:$D$1,0))="Auto","MOA signers (client) (auto), ","")IF(INDEX('MOA role matrix'!$B$2:$D$13,3,MATCH($B136,'MOA role matrix'!$B$1:$D$1,0))="Fill","CFO / Head of Finance, ","")IF(INDEX('MOA role matrix'!$B$2:$D$13,3,MATCH($B136,'MOA role matrix'!$B$1:$D$1,0))="If finance","CFO / Head of Finance (if finance), ","")IF(INDEX('MOA role matrix'!$B$2:$D$13,3,MATCH($B136,'MOA role matrix'!$B$1:$D$1,0))="Auto","CFO / Head of Finance (auto), ","")IF(INDEX('MOA role matrix'!$B$2:$D$13,4,MATCH($B136,'MOA role matrix'!$B$1:$D$1,0))="Fill","CEO / COO / GM, ","")IF(INDEX('MOA role matrix'!$B$2:$D$13,4,MATCH($B136,'MOA role matrix'!$B$1:$D$1,0))="If finance","CEO / COO / GM (if finance), ","")IF(INDEX('MOA role matrix'!$B$2:$D$13,4,MATCH($B136,'MOA role matrix'!$B$1:$D$1,0))="Auto","CEO / COO / GM (auto), ","")IF(INDEX('MOA role matrix'!$B$2:$D$13,5,MATCH($B136,'MOA role matrix'!$B$1:$D$1,0))="Fill","Board member 1, ","")IF(INDEX('MOA role matrix'!$B$2:$D$13,5,MATCH($B136,'MOA role matrix'!$B$1:$D$1,0))="If finance","Board member 1 (if finance), ","")IF(INDEX('MOA role matrix'!$B$2:$D$13,5,MATCH($B136,'MOA role matrix'!$B$1:$D$1,0))="Auto","Board member 1 (auto), ","")IF(INDEX('MOA role matrix'!$B$2:$D$13,6,MATCH($B136,'MOA role matrix'!$B$1:$D$1,0))="Fill","Board member 2, ","")IF(INDEX('MOA role matrix'!$B$2:$D$13,6,MATCH($B136,'MOA role matrix'!$B$1:$D$1,0))="If finance","Board member 2 (if finance), ","")IF(INDEX('MOA role matrix'!$B$2:$D$13,6,MATCH($B136,'MOA role matrix'!$B$1:$D$1,0))="Auto","Board member 2 (auto), ","")IF(INDEX('MOA role matrix'!$B$2:$D$13,7,MATCH($B136,'MOA role matrix'!$B$1:$D$1,0))="Fill","LOA holder 1, ","")IF(INDEX('MOA role matrix'!$B$2:$D$13,7,MATCH($B136,'MOA role matrix'!$B$1:$D$1,0))="If finance","LOA holder 1 (if finance), ","")IF(INDEX('MOA role matrix'!$B$2:$D$13,7,MATCH($B136,'MOA role matrix'!$B$1:$D$1,0))="Auto","LOA holder 1 (auto), ","")IF(INDEX('MOA role matrix'!$B$2:$D$13,8,MATCH($B136,'MOA role matrix'!$B$1:$D$1,0))="Fill","LOA holder 2, ","")IF(INDEX('MOA role matrix'!$B$2:$D$13,8,MATCH($B136,'MOA role matrix'!$B$1:$D$1,0))="If finance","LOA holder 2 (if finance), ","")IF(INDEX('MOA role matrix'!$B$2:$D$13,8,MATCH($B136,'MOA role matrix'!$B$1:$D$1,0))="Auto","LOA holder 2 (auto), ","")IF(INDEX('MOA role matrix'!$B$2:$D$13,9,MATCH($B136,'MOA role matrix'!$B$1:$D$1,0))="Fill","Senior Manager CoSec, ","")IF(INDEX('MOA role matrix'!$B$2:$D$13,9,MATCH($B136,'MOA role matrix'!$B$1:$D$1,0))="If finance","Senior Manager CoSec (if finance), ","")IF(INDEX('MOA role matrix'!$B$2:$D$13,9,MATCH($B136,'MOA role matrix'!$B$1:$D$1,0))="Auto","Senior Manager CoSec (auto), ","")IF(INDEX('MOA role matrix'!$B$2:$D$13,10,MATCH($B136,'MOA role matrix'!$B$1:$D$1,0))="Fill","Division MOI managers, ","")IF(INDEX('MOA role matrix'!$B$2:$D$13,10,MATCH($B136,'MOA role matrix'!$B$1:$D$1,0))="If finance","Division MOI managers (if finance), ","")IF(INDEX('MOA role matrix'!$B$2:$D$13,10,MATCH($B136,'MOA role matrix'!$B$1:$D$1,0))="Auto","Division MOI managers (auto), ","")IF(INDEX('MOA role matrix'!$B$2:$D$13,11,MATCH($B136,'MOA role matrix'!$B$1:$D$1,0))="Fill","Ms Teh (bank), ","")IF(INDEX('MOA role matrix'!$B$2:$D$13,11,MATCH($B136,'MOA role matrix'!$B$1:$D$1,0))="If finance","Ms Teh (bank) (if finance), ","")IF(INDEX('MOA role matrix'!$B$2:$D$13,11,MATCH($B136,'MOA role matrix'!$B$1:$D$1,0))="Auto","Ms Teh (bank) (auto), ","")IF(INDEX('MOA role matrix'!$B$2:$D$13,12,MATCH($B136,'MOA role matrix'!$B$1:$D$1,0))="Fill","DLCM, ","")IF(INDEX('MOA role matrix'!$B$2:$D$13,12,MATCH($B136,'MOA role matrix'!$B$1:$D$1,0))="If finance","DLCM (if finance), ","")IF(INDEX('MOA role matrix'!$B$2:$D$13,12,MATCH($B136,'MOA role matrix'!$B$1:$D$1,0))="Auto","DLCM (auto), ","")))</f>
        <v/>
      </c>
      <c r="D136" s="5">
        <f>IF($A136="","",IFERROR(INDEX(FILTER('Client contacts'!$B$2:$B$500,('Client contacts'!$A$2:$A$500=$A136)*('Client contacts'!$H$2:$H$500="Y"),""),1),""))</f>
        <v/>
      </c>
      <c r="E136" s="5">
        <f>IF($A136="","",IFERROR(INDEX(FILTER('Client contacts'!$C$2:$C$500,('Client contacts'!$A$2:$A$500=$A136)*('Client contacts'!$H$2:$H$500="Y"),""),1),""))</f>
        <v/>
      </c>
      <c r="F136" s="5">
        <f>IF($A136="","",IFERROR(INDEX(FILTER('Client contacts'!$B$2:$B$500,('Client contacts'!$A$2:$A$500=$A136)*('Client contacts'!$G$2:$G$500="Y"),""),1),""))</f>
        <v/>
      </c>
      <c r="G136" s="5">
        <f>IF($A136="","",IFERROR(INDEX(FILTER('Client contacts'!$C$2:$C$500,('Client contacts'!$A$2:$A$500=$A136)*('Client contacts'!$G$2:$G$500="Y"),""),1),""))</f>
        <v/>
      </c>
      <c r="H136" s="5">
        <f>IF($A136="","",IFERROR(INDEX(FILTER('Client contacts'!$B$2:$B$500,('Client contacts'!$A$2:$A$500=$A136)*('Client contacts'!$G$2:$G$500="Y"),""),2),""))</f>
        <v/>
      </c>
      <c r="I136" s="5">
        <f>IF($A136="","",IFERROR(INDEX(FILTER('Client contacts'!$C$2:$C$500,('Client contacts'!$A$2:$A$500=$A136)*('Client contacts'!$G$2:$G$500="Y"),""),2),""))</f>
        <v/>
      </c>
      <c r="J136" s="8" t="n"/>
      <c r="K136" s="8" t="n"/>
      <c r="L136" s="8" t="n"/>
      <c r="M136" s="8" t="n"/>
      <c r="N136" s="8" t="n"/>
      <c r="O136" s="8" t="n"/>
      <c r="P136" s="8" t="n"/>
      <c r="Q136" s="8" t="n"/>
      <c r="R136" s="5">
        <f>IF($A136="","",IFERROR(INDEX(Companies!$I$2:$I$500,MATCH($A136,Companies!$A$2:$A$500,0)),""))</f>
        <v/>
      </c>
      <c r="S136" s="8" t="n"/>
      <c r="T136" s="8" t="n"/>
      <c r="U136" s="8" t="n"/>
      <c r="V136" s="8" t="n"/>
      <c r="W136" s="8" t="n"/>
    </row>
    <row r="137">
      <c r="C137" s="5">
        <f>IF($B137="","",TRIM(IF(INDEX('MOA role matrix'!$B$2:$D$13,1,MATCH($B137,'MOA role matrix'!$B$1:$D$1,0))="Fill","Project initiator, ","")IF(INDEX('MOA role matrix'!$B$2:$D$13,1,MATCH($B137,'MOA role matrix'!$B$1:$D$1,0))="If finance","Project initiator (if finance), ","")IF(INDEX('MOA role matrix'!$B$2:$D$13,1,MATCH($B137,'MOA role matrix'!$B$1:$D$1,0))="Auto","Project initiator (auto), ","")IF(INDEX('MOA role matrix'!$B$2:$D$13,2,MATCH($B137,'MOA role matrix'!$B$1:$D$1,0))="Fill","MOA signers (client), ","")IF(INDEX('MOA role matrix'!$B$2:$D$13,2,MATCH($B137,'MOA role matrix'!$B$1:$D$1,0))="If finance","MOA signers (client) (if finance), ","")IF(INDEX('MOA role matrix'!$B$2:$D$13,2,MATCH($B137,'MOA role matrix'!$B$1:$D$1,0))="Auto","MOA signers (client) (auto), ","")IF(INDEX('MOA role matrix'!$B$2:$D$13,3,MATCH($B137,'MOA role matrix'!$B$1:$D$1,0))="Fill","CFO / Head of Finance, ","")IF(INDEX('MOA role matrix'!$B$2:$D$13,3,MATCH($B137,'MOA role matrix'!$B$1:$D$1,0))="If finance","CFO / Head of Finance (if finance), ","")IF(INDEX('MOA role matrix'!$B$2:$D$13,3,MATCH($B137,'MOA role matrix'!$B$1:$D$1,0))="Auto","CFO / Head of Finance (auto), ","")IF(INDEX('MOA role matrix'!$B$2:$D$13,4,MATCH($B137,'MOA role matrix'!$B$1:$D$1,0))="Fill","CEO / COO / GM, ","")IF(INDEX('MOA role matrix'!$B$2:$D$13,4,MATCH($B137,'MOA role matrix'!$B$1:$D$1,0))="If finance","CEO / COO / GM (if finance), ","")IF(INDEX('MOA role matrix'!$B$2:$D$13,4,MATCH($B137,'MOA role matrix'!$B$1:$D$1,0))="Auto","CEO / COO / GM (auto), ","")IF(INDEX('MOA role matrix'!$B$2:$D$13,5,MATCH($B137,'MOA role matrix'!$B$1:$D$1,0))="Fill","Board member 1, ","")IF(INDEX('MOA role matrix'!$B$2:$D$13,5,MATCH($B137,'MOA role matrix'!$B$1:$D$1,0))="If finance","Board member 1 (if finance), ","")IF(INDEX('MOA role matrix'!$B$2:$D$13,5,MATCH($B137,'MOA role matrix'!$B$1:$D$1,0))="Auto","Board member 1 (auto), ","")IF(INDEX('MOA role matrix'!$B$2:$D$13,6,MATCH($B137,'MOA role matrix'!$B$1:$D$1,0))="Fill","Board member 2, ","")IF(INDEX('MOA role matrix'!$B$2:$D$13,6,MATCH($B137,'MOA role matrix'!$B$1:$D$1,0))="If finance","Board member 2 (if finance), ","")IF(INDEX('MOA role matrix'!$B$2:$D$13,6,MATCH($B137,'MOA role matrix'!$B$1:$D$1,0))="Auto","Board member 2 (auto), ","")IF(INDEX('MOA role matrix'!$B$2:$D$13,7,MATCH($B137,'MOA role matrix'!$B$1:$D$1,0))="Fill","LOA holder 1, ","")IF(INDEX('MOA role matrix'!$B$2:$D$13,7,MATCH($B137,'MOA role matrix'!$B$1:$D$1,0))="If finance","LOA holder 1 (if finance), ","")IF(INDEX('MOA role matrix'!$B$2:$D$13,7,MATCH($B137,'MOA role matrix'!$B$1:$D$1,0))="Auto","LOA holder 1 (auto), ","")IF(INDEX('MOA role matrix'!$B$2:$D$13,8,MATCH($B137,'MOA role matrix'!$B$1:$D$1,0))="Fill","LOA holder 2, ","")IF(INDEX('MOA role matrix'!$B$2:$D$13,8,MATCH($B137,'MOA role matrix'!$B$1:$D$1,0))="If finance","LOA holder 2 (if finance), ","")IF(INDEX('MOA role matrix'!$B$2:$D$13,8,MATCH($B137,'MOA role matrix'!$B$1:$D$1,0))="Auto","LOA holder 2 (auto), ","")IF(INDEX('MOA role matrix'!$B$2:$D$13,9,MATCH($B137,'MOA role matrix'!$B$1:$D$1,0))="Fill","Senior Manager CoSec, ","")IF(INDEX('MOA role matrix'!$B$2:$D$13,9,MATCH($B137,'MOA role matrix'!$B$1:$D$1,0))="If finance","Senior Manager CoSec (if finance), ","")IF(INDEX('MOA role matrix'!$B$2:$D$13,9,MATCH($B137,'MOA role matrix'!$B$1:$D$1,0))="Auto","Senior Manager CoSec (auto), ","")IF(INDEX('MOA role matrix'!$B$2:$D$13,10,MATCH($B137,'MOA role matrix'!$B$1:$D$1,0))="Fill","Division MOI managers, ","")IF(INDEX('MOA role matrix'!$B$2:$D$13,10,MATCH($B137,'MOA role matrix'!$B$1:$D$1,0))="If finance","Division MOI managers (if finance), ","")IF(INDEX('MOA role matrix'!$B$2:$D$13,10,MATCH($B137,'MOA role matrix'!$B$1:$D$1,0))="Auto","Division MOI managers (auto), ","")IF(INDEX('MOA role matrix'!$B$2:$D$13,11,MATCH($B137,'MOA role matrix'!$B$1:$D$1,0))="Fill","Ms Teh (bank), ","")IF(INDEX('MOA role matrix'!$B$2:$D$13,11,MATCH($B137,'MOA role matrix'!$B$1:$D$1,0))="If finance","Ms Teh (bank) (if finance), ","")IF(INDEX('MOA role matrix'!$B$2:$D$13,11,MATCH($B137,'MOA role matrix'!$B$1:$D$1,0))="Auto","Ms Teh (bank) (auto), ","")IF(INDEX('MOA role matrix'!$B$2:$D$13,12,MATCH($B137,'MOA role matrix'!$B$1:$D$1,0))="Fill","DLCM, ","")IF(INDEX('MOA role matrix'!$B$2:$D$13,12,MATCH($B137,'MOA role matrix'!$B$1:$D$1,0))="If finance","DLCM (if finance), ","")IF(INDEX('MOA role matrix'!$B$2:$D$13,12,MATCH($B137,'MOA role matrix'!$B$1:$D$1,0))="Auto","DLCM (auto), ","")))</f>
        <v/>
      </c>
      <c r="D137" s="5">
        <f>IF($A137="","",IFERROR(INDEX(FILTER('Client contacts'!$B$2:$B$500,('Client contacts'!$A$2:$A$500=$A137)*('Client contacts'!$H$2:$H$500="Y"),""),1),""))</f>
        <v/>
      </c>
      <c r="E137" s="5">
        <f>IF($A137="","",IFERROR(INDEX(FILTER('Client contacts'!$C$2:$C$500,('Client contacts'!$A$2:$A$500=$A137)*('Client contacts'!$H$2:$H$500="Y"),""),1),""))</f>
        <v/>
      </c>
      <c r="F137" s="5">
        <f>IF($A137="","",IFERROR(INDEX(FILTER('Client contacts'!$B$2:$B$500,('Client contacts'!$A$2:$A$500=$A137)*('Client contacts'!$G$2:$G$500="Y"),""),1),""))</f>
        <v/>
      </c>
      <c r="G137" s="5">
        <f>IF($A137="","",IFERROR(INDEX(FILTER('Client contacts'!$C$2:$C$500,('Client contacts'!$A$2:$A$500=$A137)*('Client contacts'!$G$2:$G$500="Y"),""),1),""))</f>
        <v/>
      </c>
      <c r="H137" s="5">
        <f>IF($A137="","",IFERROR(INDEX(FILTER('Client contacts'!$B$2:$B$500,('Client contacts'!$A$2:$A$500=$A137)*('Client contacts'!$G$2:$G$500="Y"),""),2),""))</f>
        <v/>
      </c>
      <c r="I137" s="5">
        <f>IF($A137="","",IFERROR(INDEX(FILTER('Client contacts'!$C$2:$C$500,('Client contacts'!$A$2:$A$500=$A137)*('Client contacts'!$G$2:$G$500="Y"),""),2),""))</f>
        <v/>
      </c>
      <c r="J137" s="8" t="n"/>
      <c r="K137" s="8" t="n"/>
      <c r="L137" s="8" t="n"/>
      <c r="M137" s="8" t="n"/>
      <c r="N137" s="8" t="n"/>
      <c r="O137" s="8" t="n"/>
      <c r="P137" s="8" t="n"/>
      <c r="Q137" s="8" t="n"/>
      <c r="R137" s="5">
        <f>IF($A137="","",IFERROR(INDEX(Companies!$I$2:$I$500,MATCH($A137,Companies!$A$2:$A$500,0)),""))</f>
        <v/>
      </c>
      <c r="S137" s="8" t="n"/>
      <c r="T137" s="8" t="n"/>
      <c r="U137" s="8" t="n"/>
      <c r="V137" s="8" t="n"/>
      <c r="W137" s="8" t="n"/>
    </row>
    <row r="138">
      <c r="C138" s="5">
        <f>IF($B138="","",TRIM(IF(INDEX('MOA role matrix'!$B$2:$D$13,1,MATCH($B138,'MOA role matrix'!$B$1:$D$1,0))="Fill","Project initiator, ","")IF(INDEX('MOA role matrix'!$B$2:$D$13,1,MATCH($B138,'MOA role matrix'!$B$1:$D$1,0))="If finance","Project initiator (if finance), ","")IF(INDEX('MOA role matrix'!$B$2:$D$13,1,MATCH($B138,'MOA role matrix'!$B$1:$D$1,0))="Auto","Project initiator (auto), ","")IF(INDEX('MOA role matrix'!$B$2:$D$13,2,MATCH($B138,'MOA role matrix'!$B$1:$D$1,0))="Fill","MOA signers (client), ","")IF(INDEX('MOA role matrix'!$B$2:$D$13,2,MATCH($B138,'MOA role matrix'!$B$1:$D$1,0))="If finance","MOA signers (client) (if finance), ","")IF(INDEX('MOA role matrix'!$B$2:$D$13,2,MATCH($B138,'MOA role matrix'!$B$1:$D$1,0))="Auto","MOA signers (client) (auto), ","")IF(INDEX('MOA role matrix'!$B$2:$D$13,3,MATCH($B138,'MOA role matrix'!$B$1:$D$1,0))="Fill","CFO / Head of Finance, ","")IF(INDEX('MOA role matrix'!$B$2:$D$13,3,MATCH($B138,'MOA role matrix'!$B$1:$D$1,0))="If finance","CFO / Head of Finance (if finance), ","")IF(INDEX('MOA role matrix'!$B$2:$D$13,3,MATCH($B138,'MOA role matrix'!$B$1:$D$1,0))="Auto","CFO / Head of Finance (auto), ","")IF(INDEX('MOA role matrix'!$B$2:$D$13,4,MATCH($B138,'MOA role matrix'!$B$1:$D$1,0))="Fill","CEO / COO / GM, ","")IF(INDEX('MOA role matrix'!$B$2:$D$13,4,MATCH($B138,'MOA role matrix'!$B$1:$D$1,0))="If finance","CEO / COO / GM (if finance), ","")IF(INDEX('MOA role matrix'!$B$2:$D$13,4,MATCH($B138,'MOA role matrix'!$B$1:$D$1,0))="Auto","CEO / COO / GM (auto), ","")IF(INDEX('MOA role matrix'!$B$2:$D$13,5,MATCH($B138,'MOA role matrix'!$B$1:$D$1,0))="Fill","Board member 1, ","")IF(INDEX('MOA role matrix'!$B$2:$D$13,5,MATCH($B138,'MOA role matrix'!$B$1:$D$1,0))="If finance","Board member 1 (if finance), ","")IF(INDEX('MOA role matrix'!$B$2:$D$13,5,MATCH($B138,'MOA role matrix'!$B$1:$D$1,0))="Auto","Board member 1 (auto), ","")IF(INDEX('MOA role matrix'!$B$2:$D$13,6,MATCH($B138,'MOA role matrix'!$B$1:$D$1,0))="Fill","Board member 2, ","")IF(INDEX('MOA role matrix'!$B$2:$D$13,6,MATCH($B138,'MOA role matrix'!$B$1:$D$1,0))="If finance","Board member 2 (if finance), ","")IF(INDEX('MOA role matrix'!$B$2:$D$13,6,MATCH($B138,'MOA role matrix'!$B$1:$D$1,0))="Auto","Board member 2 (auto), ","")IF(INDEX('MOA role matrix'!$B$2:$D$13,7,MATCH($B138,'MOA role matrix'!$B$1:$D$1,0))="Fill","LOA holder 1, ","")IF(INDEX('MOA role matrix'!$B$2:$D$13,7,MATCH($B138,'MOA role matrix'!$B$1:$D$1,0))="If finance","LOA holder 1 (if finance), ","")IF(INDEX('MOA role matrix'!$B$2:$D$13,7,MATCH($B138,'MOA role matrix'!$B$1:$D$1,0))="Auto","LOA holder 1 (auto), ","")IF(INDEX('MOA role matrix'!$B$2:$D$13,8,MATCH($B138,'MOA role matrix'!$B$1:$D$1,0))="Fill","LOA holder 2, ","")IF(INDEX('MOA role matrix'!$B$2:$D$13,8,MATCH($B138,'MOA role matrix'!$B$1:$D$1,0))="If finance","LOA holder 2 (if finance), ","")IF(INDEX('MOA role matrix'!$B$2:$D$13,8,MATCH($B138,'MOA role matrix'!$B$1:$D$1,0))="Auto","LOA holder 2 (auto), ","")IF(INDEX('MOA role matrix'!$B$2:$D$13,9,MATCH($B138,'MOA role matrix'!$B$1:$D$1,0))="Fill","Senior Manager CoSec, ","")IF(INDEX('MOA role matrix'!$B$2:$D$13,9,MATCH($B138,'MOA role matrix'!$B$1:$D$1,0))="If finance","Senior Manager CoSec (if finance), ","")IF(INDEX('MOA role matrix'!$B$2:$D$13,9,MATCH($B138,'MOA role matrix'!$B$1:$D$1,0))="Auto","Senior Manager CoSec (auto), ","")IF(INDEX('MOA role matrix'!$B$2:$D$13,10,MATCH($B138,'MOA role matrix'!$B$1:$D$1,0))="Fill","Division MOI managers, ","")IF(INDEX('MOA role matrix'!$B$2:$D$13,10,MATCH($B138,'MOA role matrix'!$B$1:$D$1,0))="If finance","Division MOI managers (if finance), ","")IF(INDEX('MOA role matrix'!$B$2:$D$13,10,MATCH($B138,'MOA role matrix'!$B$1:$D$1,0))="Auto","Division MOI managers (auto), ","")IF(INDEX('MOA role matrix'!$B$2:$D$13,11,MATCH($B138,'MOA role matrix'!$B$1:$D$1,0))="Fill","Ms Teh (bank), ","")IF(INDEX('MOA role matrix'!$B$2:$D$13,11,MATCH($B138,'MOA role matrix'!$B$1:$D$1,0))="If finance","Ms Teh (bank) (if finance), ","")IF(INDEX('MOA role matrix'!$B$2:$D$13,11,MATCH($B138,'MOA role matrix'!$B$1:$D$1,0))="Auto","Ms Teh (bank) (auto), ","")IF(INDEX('MOA role matrix'!$B$2:$D$13,12,MATCH($B138,'MOA role matrix'!$B$1:$D$1,0))="Fill","DLCM, ","")IF(INDEX('MOA role matrix'!$B$2:$D$13,12,MATCH($B138,'MOA role matrix'!$B$1:$D$1,0))="If finance","DLCM (if finance), ","")IF(INDEX('MOA role matrix'!$B$2:$D$13,12,MATCH($B138,'MOA role matrix'!$B$1:$D$1,0))="Auto","DLCM (auto), ","")))</f>
        <v/>
      </c>
      <c r="D138" s="5">
        <f>IF($A138="","",IFERROR(INDEX(FILTER('Client contacts'!$B$2:$B$500,('Client contacts'!$A$2:$A$500=$A138)*('Client contacts'!$H$2:$H$500="Y"),""),1),""))</f>
        <v/>
      </c>
      <c r="E138" s="5">
        <f>IF($A138="","",IFERROR(INDEX(FILTER('Client contacts'!$C$2:$C$500,('Client contacts'!$A$2:$A$500=$A138)*('Client contacts'!$H$2:$H$500="Y"),""),1),""))</f>
        <v/>
      </c>
      <c r="F138" s="5">
        <f>IF($A138="","",IFERROR(INDEX(FILTER('Client contacts'!$B$2:$B$500,('Client contacts'!$A$2:$A$500=$A138)*('Client contacts'!$G$2:$G$500="Y"),""),1),""))</f>
        <v/>
      </c>
      <c r="G138" s="5">
        <f>IF($A138="","",IFERROR(INDEX(FILTER('Client contacts'!$C$2:$C$500,('Client contacts'!$A$2:$A$500=$A138)*('Client contacts'!$G$2:$G$500="Y"),""),1),""))</f>
        <v/>
      </c>
      <c r="H138" s="5">
        <f>IF($A138="","",IFERROR(INDEX(FILTER('Client contacts'!$B$2:$B$500,('Client contacts'!$A$2:$A$500=$A138)*('Client contacts'!$G$2:$G$500="Y"),""),2),""))</f>
        <v/>
      </c>
      <c r="I138" s="5">
        <f>IF($A138="","",IFERROR(INDEX(FILTER('Client contacts'!$C$2:$C$500,('Client contacts'!$A$2:$A$500=$A138)*('Client contacts'!$G$2:$G$500="Y"),""),2),""))</f>
        <v/>
      </c>
      <c r="J138" s="8" t="n"/>
      <c r="K138" s="8" t="n"/>
      <c r="L138" s="8" t="n"/>
      <c r="M138" s="8" t="n"/>
      <c r="N138" s="8" t="n"/>
      <c r="O138" s="8" t="n"/>
      <c r="P138" s="8" t="n"/>
      <c r="Q138" s="8" t="n"/>
      <c r="R138" s="5">
        <f>IF($A138="","",IFERROR(INDEX(Companies!$I$2:$I$500,MATCH($A138,Companies!$A$2:$A$500,0)),""))</f>
        <v/>
      </c>
      <c r="S138" s="8" t="n"/>
      <c r="T138" s="8" t="n"/>
      <c r="U138" s="8" t="n"/>
      <c r="V138" s="8" t="n"/>
      <c r="W138" s="8" t="n"/>
    </row>
    <row r="139">
      <c r="C139" s="5">
        <f>IF($B139="","",TRIM(IF(INDEX('MOA role matrix'!$B$2:$D$13,1,MATCH($B139,'MOA role matrix'!$B$1:$D$1,0))="Fill","Project initiator, ","")IF(INDEX('MOA role matrix'!$B$2:$D$13,1,MATCH($B139,'MOA role matrix'!$B$1:$D$1,0))="If finance","Project initiator (if finance), ","")IF(INDEX('MOA role matrix'!$B$2:$D$13,1,MATCH($B139,'MOA role matrix'!$B$1:$D$1,0))="Auto","Project initiator (auto), ","")IF(INDEX('MOA role matrix'!$B$2:$D$13,2,MATCH($B139,'MOA role matrix'!$B$1:$D$1,0))="Fill","MOA signers (client), ","")IF(INDEX('MOA role matrix'!$B$2:$D$13,2,MATCH($B139,'MOA role matrix'!$B$1:$D$1,0))="If finance","MOA signers (client) (if finance), ","")IF(INDEX('MOA role matrix'!$B$2:$D$13,2,MATCH($B139,'MOA role matrix'!$B$1:$D$1,0))="Auto","MOA signers (client) (auto), ","")IF(INDEX('MOA role matrix'!$B$2:$D$13,3,MATCH($B139,'MOA role matrix'!$B$1:$D$1,0))="Fill","CFO / Head of Finance, ","")IF(INDEX('MOA role matrix'!$B$2:$D$13,3,MATCH($B139,'MOA role matrix'!$B$1:$D$1,0))="If finance","CFO / Head of Finance (if finance), ","")IF(INDEX('MOA role matrix'!$B$2:$D$13,3,MATCH($B139,'MOA role matrix'!$B$1:$D$1,0))="Auto","CFO / Head of Finance (auto), ","")IF(INDEX('MOA role matrix'!$B$2:$D$13,4,MATCH($B139,'MOA role matrix'!$B$1:$D$1,0))="Fill","CEO / COO / GM, ","")IF(INDEX('MOA role matrix'!$B$2:$D$13,4,MATCH($B139,'MOA role matrix'!$B$1:$D$1,0))="If finance","CEO / COO / GM (if finance), ","")IF(INDEX('MOA role matrix'!$B$2:$D$13,4,MATCH($B139,'MOA role matrix'!$B$1:$D$1,0))="Auto","CEO / COO / GM (auto), ","")IF(INDEX('MOA role matrix'!$B$2:$D$13,5,MATCH($B139,'MOA role matrix'!$B$1:$D$1,0))="Fill","Board member 1, ","")IF(INDEX('MOA role matrix'!$B$2:$D$13,5,MATCH($B139,'MOA role matrix'!$B$1:$D$1,0))="If finance","Board member 1 (if finance), ","")IF(INDEX('MOA role matrix'!$B$2:$D$13,5,MATCH($B139,'MOA role matrix'!$B$1:$D$1,0))="Auto","Board member 1 (auto), ","")IF(INDEX('MOA role matrix'!$B$2:$D$13,6,MATCH($B139,'MOA role matrix'!$B$1:$D$1,0))="Fill","Board member 2, ","")IF(INDEX('MOA role matrix'!$B$2:$D$13,6,MATCH($B139,'MOA role matrix'!$B$1:$D$1,0))="If finance","Board member 2 (if finance), ","")IF(INDEX('MOA role matrix'!$B$2:$D$13,6,MATCH($B139,'MOA role matrix'!$B$1:$D$1,0))="Auto","Board member 2 (auto), ","")IF(INDEX('MOA role matrix'!$B$2:$D$13,7,MATCH($B139,'MOA role matrix'!$B$1:$D$1,0))="Fill","LOA holder 1, ","")IF(INDEX('MOA role matrix'!$B$2:$D$13,7,MATCH($B139,'MOA role matrix'!$B$1:$D$1,0))="If finance","LOA holder 1 (if finance), ","")IF(INDEX('MOA role matrix'!$B$2:$D$13,7,MATCH($B139,'MOA role matrix'!$B$1:$D$1,0))="Auto","LOA holder 1 (auto), ","")IF(INDEX('MOA role matrix'!$B$2:$D$13,8,MATCH($B139,'MOA role matrix'!$B$1:$D$1,0))="Fill","LOA holder 2, ","")IF(INDEX('MOA role matrix'!$B$2:$D$13,8,MATCH($B139,'MOA role matrix'!$B$1:$D$1,0))="If finance","LOA holder 2 (if finance), ","")IF(INDEX('MOA role matrix'!$B$2:$D$13,8,MATCH($B139,'MOA role matrix'!$B$1:$D$1,0))="Auto","LOA holder 2 (auto), ","")IF(INDEX('MOA role matrix'!$B$2:$D$13,9,MATCH($B139,'MOA role matrix'!$B$1:$D$1,0))="Fill","Senior Manager CoSec, ","")IF(INDEX('MOA role matrix'!$B$2:$D$13,9,MATCH($B139,'MOA role matrix'!$B$1:$D$1,0))="If finance","Senior Manager CoSec (if finance), ","")IF(INDEX('MOA role matrix'!$B$2:$D$13,9,MATCH($B139,'MOA role matrix'!$B$1:$D$1,0))="Auto","Senior Manager CoSec (auto), ","")IF(INDEX('MOA role matrix'!$B$2:$D$13,10,MATCH($B139,'MOA role matrix'!$B$1:$D$1,0))="Fill","Division MOI managers, ","")IF(INDEX('MOA role matrix'!$B$2:$D$13,10,MATCH($B139,'MOA role matrix'!$B$1:$D$1,0))="If finance","Division MOI managers (if finance), ","")IF(INDEX('MOA role matrix'!$B$2:$D$13,10,MATCH($B139,'MOA role matrix'!$B$1:$D$1,0))="Auto","Division MOI managers (auto), ","")IF(INDEX('MOA role matrix'!$B$2:$D$13,11,MATCH($B139,'MOA role matrix'!$B$1:$D$1,0))="Fill","Ms Teh (bank), ","")IF(INDEX('MOA role matrix'!$B$2:$D$13,11,MATCH($B139,'MOA role matrix'!$B$1:$D$1,0))="If finance","Ms Teh (bank) (if finance), ","")IF(INDEX('MOA role matrix'!$B$2:$D$13,11,MATCH($B139,'MOA role matrix'!$B$1:$D$1,0))="Auto","Ms Teh (bank) (auto), ","")IF(INDEX('MOA role matrix'!$B$2:$D$13,12,MATCH($B139,'MOA role matrix'!$B$1:$D$1,0))="Fill","DLCM, ","")IF(INDEX('MOA role matrix'!$B$2:$D$13,12,MATCH($B139,'MOA role matrix'!$B$1:$D$1,0))="If finance","DLCM (if finance), ","")IF(INDEX('MOA role matrix'!$B$2:$D$13,12,MATCH($B139,'MOA role matrix'!$B$1:$D$1,0))="Auto","DLCM (auto), ","")))</f>
        <v/>
      </c>
      <c r="D139" s="5">
        <f>IF($A139="","",IFERROR(INDEX(FILTER('Client contacts'!$B$2:$B$500,('Client contacts'!$A$2:$A$500=$A139)*('Client contacts'!$H$2:$H$500="Y"),""),1),""))</f>
        <v/>
      </c>
      <c r="E139" s="5">
        <f>IF($A139="","",IFERROR(INDEX(FILTER('Client contacts'!$C$2:$C$500,('Client contacts'!$A$2:$A$500=$A139)*('Client contacts'!$H$2:$H$500="Y"),""),1),""))</f>
        <v/>
      </c>
      <c r="F139" s="5">
        <f>IF($A139="","",IFERROR(INDEX(FILTER('Client contacts'!$B$2:$B$500,('Client contacts'!$A$2:$A$500=$A139)*('Client contacts'!$G$2:$G$500="Y"),""),1),""))</f>
        <v/>
      </c>
      <c r="G139" s="5">
        <f>IF($A139="","",IFERROR(INDEX(FILTER('Client contacts'!$C$2:$C$500,('Client contacts'!$A$2:$A$500=$A139)*('Client contacts'!$G$2:$G$500="Y"),""),1),""))</f>
        <v/>
      </c>
      <c r="H139" s="5">
        <f>IF($A139="","",IFERROR(INDEX(FILTER('Client contacts'!$B$2:$B$500,('Client contacts'!$A$2:$A$500=$A139)*('Client contacts'!$G$2:$G$500="Y"),""),2),""))</f>
        <v/>
      </c>
      <c r="I139" s="5">
        <f>IF($A139="","",IFERROR(INDEX(FILTER('Client contacts'!$C$2:$C$500,('Client contacts'!$A$2:$A$500=$A139)*('Client contacts'!$G$2:$G$500="Y"),""),2),""))</f>
        <v/>
      </c>
      <c r="J139" s="8" t="n"/>
      <c r="K139" s="8" t="n"/>
      <c r="L139" s="8" t="n"/>
      <c r="M139" s="8" t="n"/>
      <c r="N139" s="8" t="n"/>
      <c r="O139" s="8" t="n"/>
      <c r="P139" s="8" t="n"/>
      <c r="Q139" s="8" t="n"/>
      <c r="R139" s="5">
        <f>IF($A139="","",IFERROR(INDEX(Companies!$I$2:$I$500,MATCH($A139,Companies!$A$2:$A$500,0)),""))</f>
        <v/>
      </c>
      <c r="S139" s="8" t="n"/>
      <c r="T139" s="8" t="n"/>
      <c r="U139" s="8" t="n"/>
      <c r="V139" s="8" t="n"/>
      <c r="W139" s="8" t="n"/>
    </row>
    <row r="140">
      <c r="C140" s="5">
        <f>IF($B140="","",TRIM(IF(INDEX('MOA role matrix'!$B$2:$D$13,1,MATCH($B140,'MOA role matrix'!$B$1:$D$1,0))="Fill","Project initiator, ","")IF(INDEX('MOA role matrix'!$B$2:$D$13,1,MATCH($B140,'MOA role matrix'!$B$1:$D$1,0))="If finance","Project initiator (if finance), ","")IF(INDEX('MOA role matrix'!$B$2:$D$13,1,MATCH($B140,'MOA role matrix'!$B$1:$D$1,0))="Auto","Project initiator (auto), ","")IF(INDEX('MOA role matrix'!$B$2:$D$13,2,MATCH($B140,'MOA role matrix'!$B$1:$D$1,0))="Fill","MOA signers (client), ","")IF(INDEX('MOA role matrix'!$B$2:$D$13,2,MATCH($B140,'MOA role matrix'!$B$1:$D$1,0))="If finance","MOA signers (client) (if finance), ","")IF(INDEX('MOA role matrix'!$B$2:$D$13,2,MATCH($B140,'MOA role matrix'!$B$1:$D$1,0))="Auto","MOA signers (client) (auto), ","")IF(INDEX('MOA role matrix'!$B$2:$D$13,3,MATCH($B140,'MOA role matrix'!$B$1:$D$1,0))="Fill","CFO / Head of Finance, ","")IF(INDEX('MOA role matrix'!$B$2:$D$13,3,MATCH($B140,'MOA role matrix'!$B$1:$D$1,0))="If finance","CFO / Head of Finance (if finance), ","")IF(INDEX('MOA role matrix'!$B$2:$D$13,3,MATCH($B140,'MOA role matrix'!$B$1:$D$1,0))="Auto","CFO / Head of Finance (auto), ","")IF(INDEX('MOA role matrix'!$B$2:$D$13,4,MATCH($B140,'MOA role matrix'!$B$1:$D$1,0))="Fill","CEO / COO / GM, ","")IF(INDEX('MOA role matrix'!$B$2:$D$13,4,MATCH($B140,'MOA role matrix'!$B$1:$D$1,0))="If finance","CEO / COO / GM (if finance), ","")IF(INDEX('MOA role matrix'!$B$2:$D$13,4,MATCH($B140,'MOA role matrix'!$B$1:$D$1,0))="Auto","CEO / COO / GM (auto), ","")IF(INDEX('MOA role matrix'!$B$2:$D$13,5,MATCH($B140,'MOA role matrix'!$B$1:$D$1,0))="Fill","Board member 1, ","")IF(INDEX('MOA role matrix'!$B$2:$D$13,5,MATCH($B140,'MOA role matrix'!$B$1:$D$1,0))="If finance","Board member 1 (if finance), ","")IF(INDEX('MOA role matrix'!$B$2:$D$13,5,MATCH($B140,'MOA role matrix'!$B$1:$D$1,0))="Auto","Board member 1 (auto), ","")IF(INDEX('MOA role matrix'!$B$2:$D$13,6,MATCH($B140,'MOA role matrix'!$B$1:$D$1,0))="Fill","Board member 2, ","")IF(INDEX('MOA role matrix'!$B$2:$D$13,6,MATCH($B140,'MOA role matrix'!$B$1:$D$1,0))="If finance","Board member 2 (if finance), ","")IF(INDEX('MOA role matrix'!$B$2:$D$13,6,MATCH($B140,'MOA role matrix'!$B$1:$D$1,0))="Auto","Board member 2 (auto), ","")IF(INDEX('MOA role matrix'!$B$2:$D$13,7,MATCH($B140,'MOA role matrix'!$B$1:$D$1,0))="Fill","LOA holder 1, ","")IF(INDEX('MOA role matrix'!$B$2:$D$13,7,MATCH($B140,'MOA role matrix'!$B$1:$D$1,0))="If finance","LOA holder 1 (if finance), ","")IF(INDEX('MOA role matrix'!$B$2:$D$13,7,MATCH($B140,'MOA role matrix'!$B$1:$D$1,0))="Auto","LOA holder 1 (auto), ","")IF(INDEX('MOA role matrix'!$B$2:$D$13,8,MATCH($B140,'MOA role matrix'!$B$1:$D$1,0))="Fill","LOA holder 2, ","")IF(INDEX('MOA role matrix'!$B$2:$D$13,8,MATCH($B140,'MOA role matrix'!$B$1:$D$1,0))="If finance","LOA holder 2 (if finance), ","")IF(INDEX('MOA role matrix'!$B$2:$D$13,8,MATCH($B140,'MOA role matrix'!$B$1:$D$1,0))="Auto","LOA holder 2 (auto), ","")IF(INDEX('MOA role matrix'!$B$2:$D$13,9,MATCH($B140,'MOA role matrix'!$B$1:$D$1,0))="Fill","Senior Manager CoSec, ","")IF(INDEX('MOA role matrix'!$B$2:$D$13,9,MATCH($B140,'MOA role matrix'!$B$1:$D$1,0))="If finance","Senior Manager CoSec (if finance), ","")IF(INDEX('MOA role matrix'!$B$2:$D$13,9,MATCH($B140,'MOA role matrix'!$B$1:$D$1,0))="Auto","Senior Manager CoSec (auto), ","")IF(INDEX('MOA role matrix'!$B$2:$D$13,10,MATCH($B140,'MOA role matrix'!$B$1:$D$1,0))="Fill","Division MOI managers, ","")IF(INDEX('MOA role matrix'!$B$2:$D$13,10,MATCH($B140,'MOA role matrix'!$B$1:$D$1,0))="If finance","Division MOI managers (if finance), ","")IF(INDEX('MOA role matrix'!$B$2:$D$13,10,MATCH($B140,'MOA role matrix'!$B$1:$D$1,0))="Auto","Division MOI managers (auto), ","")IF(INDEX('MOA role matrix'!$B$2:$D$13,11,MATCH($B140,'MOA role matrix'!$B$1:$D$1,0))="Fill","Ms Teh (bank), ","")IF(INDEX('MOA role matrix'!$B$2:$D$13,11,MATCH($B140,'MOA role matrix'!$B$1:$D$1,0))="If finance","Ms Teh (bank) (if finance), ","")IF(INDEX('MOA role matrix'!$B$2:$D$13,11,MATCH($B140,'MOA role matrix'!$B$1:$D$1,0))="Auto","Ms Teh (bank) (auto), ","")IF(INDEX('MOA role matrix'!$B$2:$D$13,12,MATCH($B140,'MOA role matrix'!$B$1:$D$1,0))="Fill","DLCM, ","")IF(INDEX('MOA role matrix'!$B$2:$D$13,12,MATCH($B140,'MOA role matrix'!$B$1:$D$1,0))="If finance","DLCM (if finance), ","")IF(INDEX('MOA role matrix'!$B$2:$D$13,12,MATCH($B140,'MOA role matrix'!$B$1:$D$1,0))="Auto","DLCM (auto), ","")))</f>
        <v/>
      </c>
      <c r="D140" s="5">
        <f>IF($A140="","",IFERROR(INDEX(FILTER('Client contacts'!$B$2:$B$500,('Client contacts'!$A$2:$A$500=$A140)*('Client contacts'!$H$2:$H$500="Y"),""),1),""))</f>
        <v/>
      </c>
      <c r="E140" s="5">
        <f>IF($A140="","",IFERROR(INDEX(FILTER('Client contacts'!$C$2:$C$500,('Client contacts'!$A$2:$A$500=$A140)*('Client contacts'!$H$2:$H$500="Y"),""),1),""))</f>
        <v/>
      </c>
      <c r="F140" s="5">
        <f>IF($A140="","",IFERROR(INDEX(FILTER('Client contacts'!$B$2:$B$500,('Client contacts'!$A$2:$A$500=$A140)*('Client contacts'!$G$2:$G$500="Y"),""),1),""))</f>
        <v/>
      </c>
      <c r="G140" s="5">
        <f>IF($A140="","",IFERROR(INDEX(FILTER('Client contacts'!$C$2:$C$500,('Client contacts'!$A$2:$A$500=$A140)*('Client contacts'!$G$2:$G$500="Y"),""),1),""))</f>
        <v/>
      </c>
      <c r="H140" s="5">
        <f>IF($A140="","",IFERROR(INDEX(FILTER('Client contacts'!$B$2:$B$500,('Client contacts'!$A$2:$A$500=$A140)*('Client contacts'!$G$2:$G$500="Y"),""),2),""))</f>
        <v/>
      </c>
      <c r="I140" s="5">
        <f>IF($A140="","",IFERROR(INDEX(FILTER('Client contacts'!$C$2:$C$500,('Client contacts'!$A$2:$A$500=$A140)*('Client contacts'!$G$2:$G$500="Y"),""),2),""))</f>
        <v/>
      </c>
      <c r="J140" s="8" t="n"/>
      <c r="K140" s="8" t="n"/>
      <c r="L140" s="8" t="n"/>
      <c r="M140" s="8" t="n"/>
      <c r="N140" s="8" t="n"/>
      <c r="O140" s="8" t="n"/>
      <c r="P140" s="8" t="n"/>
      <c r="Q140" s="8" t="n"/>
      <c r="R140" s="5">
        <f>IF($A140="","",IFERROR(INDEX(Companies!$I$2:$I$500,MATCH($A140,Companies!$A$2:$A$500,0)),""))</f>
        <v/>
      </c>
      <c r="S140" s="8" t="n"/>
      <c r="T140" s="8" t="n"/>
      <c r="U140" s="8" t="n"/>
      <c r="V140" s="8" t="n"/>
      <c r="W140" s="8" t="n"/>
    </row>
    <row r="141">
      <c r="C141" s="5">
        <f>IF($B141="","",TRIM(IF(INDEX('MOA role matrix'!$B$2:$D$13,1,MATCH($B141,'MOA role matrix'!$B$1:$D$1,0))="Fill","Project initiator, ","")IF(INDEX('MOA role matrix'!$B$2:$D$13,1,MATCH($B141,'MOA role matrix'!$B$1:$D$1,0))="If finance","Project initiator (if finance), ","")IF(INDEX('MOA role matrix'!$B$2:$D$13,1,MATCH($B141,'MOA role matrix'!$B$1:$D$1,0))="Auto","Project initiator (auto), ","")IF(INDEX('MOA role matrix'!$B$2:$D$13,2,MATCH($B141,'MOA role matrix'!$B$1:$D$1,0))="Fill","MOA signers (client), ","")IF(INDEX('MOA role matrix'!$B$2:$D$13,2,MATCH($B141,'MOA role matrix'!$B$1:$D$1,0))="If finance","MOA signers (client) (if finance), ","")IF(INDEX('MOA role matrix'!$B$2:$D$13,2,MATCH($B141,'MOA role matrix'!$B$1:$D$1,0))="Auto","MOA signers (client) (auto), ","")IF(INDEX('MOA role matrix'!$B$2:$D$13,3,MATCH($B141,'MOA role matrix'!$B$1:$D$1,0))="Fill","CFO / Head of Finance, ","")IF(INDEX('MOA role matrix'!$B$2:$D$13,3,MATCH($B141,'MOA role matrix'!$B$1:$D$1,0))="If finance","CFO / Head of Finance (if finance), ","")IF(INDEX('MOA role matrix'!$B$2:$D$13,3,MATCH($B141,'MOA role matrix'!$B$1:$D$1,0))="Auto","CFO / Head of Finance (auto), ","")IF(INDEX('MOA role matrix'!$B$2:$D$13,4,MATCH($B141,'MOA role matrix'!$B$1:$D$1,0))="Fill","CEO / COO / GM, ","")IF(INDEX('MOA role matrix'!$B$2:$D$13,4,MATCH($B141,'MOA role matrix'!$B$1:$D$1,0))="If finance","CEO / COO / GM (if finance), ","")IF(INDEX('MOA role matrix'!$B$2:$D$13,4,MATCH($B141,'MOA role matrix'!$B$1:$D$1,0))="Auto","CEO / COO / GM (auto), ","")IF(INDEX('MOA role matrix'!$B$2:$D$13,5,MATCH($B141,'MOA role matrix'!$B$1:$D$1,0))="Fill","Board member 1, ","")IF(INDEX('MOA role matrix'!$B$2:$D$13,5,MATCH($B141,'MOA role matrix'!$B$1:$D$1,0))="If finance","Board member 1 (if finance), ","")IF(INDEX('MOA role matrix'!$B$2:$D$13,5,MATCH($B141,'MOA role matrix'!$B$1:$D$1,0))="Auto","Board member 1 (auto), ","")IF(INDEX('MOA role matrix'!$B$2:$D$13,6,MATCH($B141,'MOA role matrix'!$B$1:$D$1,0))="Fill","Board member 2, ","")IF(INDEX('MOA role matrix'!$B$2:$D$13,6,MATCH($B141,'MOA role matrix'!$B$1:$D$1,0))="If finance","Board member 2 (if finance), ","")IF(INDEX('MOA role matrix'!$B$2:$D$13,6,MATCH($B141,'MOA role matrix'!$B$1:$D$1,0))="Auto","Board member 2 (auto), ","")IF(INDEX('MOA role matrix'!$B$2:$D$13,7,MATCH($B141,'MOA role matrix'!$B$1:$D$1,0))="Fill","LOA holder 1, ","")IF(INDEX('MOA role matrix'!$B$2:$D$13,7,MATCH($B141,'MOA role matrix'!$B$1:$D$1,0))="If finance","LOA holder 1 (if finance), ","")IF(INDEX('MOA role matrix'!$B$2:$D$13,7,MATCH($B141,'MOA role matrix'!$B$1:$D$1,0))="Auto","LOA holder 1 (auto), ","")IF(INDEX('MOA role matrix'!$B$2:$D$13,8,MATCH($B141,'MOA role matrix'!$B$1:$D$1,0))="Fill","LOA holder 2, ","")IF(INDEX('MOA role matrix'!$B$2:$D$13,8,MATCH($B141,'MOA role matrix'!$B$1:$D$1,0))="If finance","LOA holder 2 (if finance), ","")IF(INDEX('MOA role matrix'!$B$2:$D$13,8,MATCH($B141,'MOA role matrix'!$B$1:$D$1,0))="Auto","LOA holder 2 (auto), ","")IF(INDEX('MOA role matrix'!$B$2:$D$13,9,MATCH($B141,'MOA role matrix'!$B$1:$D$1,0))="Fill","Senior Manager CoSec, ","")IF(INDEX('MOA role matrix'!$B$2:$D$13,9,MATCH($B141,'MOA role matrix'!$B$1:$D$1,0))="If finance","Senior Manager CoSec (if finance), ","")IF(INDEX('MOA role matrix'!$B$2:$D$13,9,MATCH($B141,'MOA role matrix'!$B$1:$D$1,0))="Auto","Senior Manager CoSec (auto), ","")IF(INDEX('MOA role matrix'!$B$2:$D$13,10,MATCH($B141,'MOA role matrix'!$B$1:$D$1,0))="Fill","Division MOI managers, ","")IF(INDEX('MOA role matrix'!$B$2:$D$13,10,MATCH($B141,'MOA role matrix'!$B$1:$D$1,0))="If finance","Division MOI managers (if finance), ","")IF(INDEX('MOA role matrix'!$B$2:$D$13,10,MATCH($B141,'MOA role matrix'!$B$1:$D$1,0))="Auto","Division MOI managers (auto), ","")IF(INDEX('MOA role matrix'!$B$2:$D$13,11,MATCH($B141,'MOA role matrix'!$B$1:$D$1,0))="Fill","Ms Teh (bank), ","")IF(INDEX('MOA role matrix'!$B$2:$D$13,11,MATCH($B141,'MOA role matrix'!$B$1:$D$1,0))="If finance","Ms Teh (bank) (if finance), ","")IF(INDEX('MOA role matrix'!$B$2:$D$13,11,MATCH($B141,'MOA role matrix'!$B$1:$D$1,0))="Auto","Ms Teh (bank) (auto), ","")IF(INDEX('MOA role matrix'!$B$2:$D$13,12,MATCH($B141,'MOA role matrix'!$B$1:$D$1,0))="Fill","DLCM, ","")IF(INDEX('MOA role matrix'!$B$2:$D$13,12,MATCH($B141,'MOA role matrix'!$B$1:$D$1,0))="If finance","DLCM (if finance), ","")IF(INDEX('MOA role matrix'!$B$2:$D$13,12,MATCH($B141,'MOA role matrix'!$B$1:$D$1,0))="Auto","DLCM (auto), ","")))</f>
        <v/>
      </c>
      <c r="D141" s="5">
        <f>IF($A141="","",IFERROR(INDEX(FILTER('Client contacts'!$B$2:$B$500,('Client contacts'!$A$2:$A$500=$A141)*('Client contacts'!$H$2:$H$500="Y"),""),1),""))</f>
        <v/>
      </c>
      <c r="E141" s="5">
        <f>IF($A141="","",IFERROR(INDEX(FILTER('Client contacts'!$C$2:$C$500,('Client contacts'!$A$2:$A$500=$A141)*('Client contacts'!$H$2:$H$500="Y"),""),1),""))</f>
        <v/>
      </c>
      <c r="F141" s="5">
        <f>IF($A141="","",IFERROR(INDEX(FILTER('Client contacts'!$B$2:$B$500,('Client contacts'!$A$2:$A$500=$A141)*('Client contacts'!$G$2:$G$500="Y"),""),1),""))</f>
        <v/>
      </c>
      <c r="G141" s="5">
        <f>IF($A141="","",IFERROR(INDEX(FILTER('Client contacts'!$C$2:$C$500,('Client contacts'!$A$2:$A$500=$A141)*('Client contacts'!$G$2:$G$500="Y"),""),1),""))</f>
        <v/>
      </c>
      <c r="H141" s="5">
        <f>IF($A141="","",IFERROR(INDEX(FILTER('Client contacts'!$B$2:$B$500,('Client contacts'!$A$2:$A$500=$A141)*('Client contacts'!$G$2:$G$500="Y"),""),2),""))</f>
        <v/>
      </c>
      <c r="I141" s="5">
        <f>IF($A141="","",IFERROR(INDEX(FILTER('Client contacts'!$C$2:$C$500,('Client contacts'!$A$2:$A$500=$A141)*('Client contacts'!$G$2:$G$500="Y"),""),2),""))</f>
        <v/>
      </c>
      <c r="J141" s="8" t="n"/>
      <c r="K141" s="8" t="n"/>
      <c r="L141" s="8" t="n"/>
      <c r="M141" s="8" t="n"/>
      <c r="N141" s="8" t="n"/>
      <c r="O141" s="8" t="n"/>
      <c r="P141" s="8" t="n"/>
      <c r="Q141" s="8" t="n"/>
      <c r="R141" s="5">
        <f>IF($A141="","",IFERROR(INDEX(Companies!$I$2:$I$500,MATCH($A141,Companies!$A$2:$A$500,0)),""))</f>
        <v/>
      </c>
      <c r="S141" s="8" t="n"/>
      <c r="T141" s="8" t="n"/>
      <c r="U141" s="8" t="n"/>
      <c r="V141" s="8" t="n"/>
      <c r="W141" s="8" t="n"/>
    </row>
    <row r="142">
      <c r="C142" s="5">
        <f>IF($B142="","",TRIM(IF(INDEX('MOA role matrix'!$B$2:$D$13,1,MATCH($B142,'MOA role matrix'!$B$1:$D$1,0))="Fill","Project initiator, ","")IF(INDEX('MOA role matrix'!$B$2:$D$13,1,MATCH($B142,'MOA role matrix'!$B$1:$D$1,0))="If finance","Project initiator (if finance), ","")IF(INDEX('MOA role matrix'!$B$2:$D$13,1,MATCH($B142,'MOA role matrix'!$B$1:$D$1,0))="Auto","Project initiator (auto), ","")IF(INDEX('MOA role matrix'!$B$2:$D$13,2,MATCH($B142,'MOA role matrix'!$B$1:$D$1,0))="Fill","MOA signers (client), ","")IF(INDEX('MOA role matrix'!$B$2:$D$13,2,MATCH($B142,'MOA role matrix'!$B$1:$D$1,0))="If finance","MOA signers (client) (if finance), ","")IF(INDEX('MOA role matrix'!$B$2:$D$13,2,MATCH($B142,'MOA role matrix'!$B$1:$D$1,0))="Auto","MOA signers (client) (auto), ","")IF(INDEX('MOA role matrix'!$B$2:$D$13,3,MATCH($B142,'MOA role matrix'!$B$1:$D$1,0))="Fill","CFO / Head of Finance, ","")IF(INDEX('MOA role matrix'!$B$2:$D$13,3,MATCH($B142,'MOA role matrix'!$B$1:$D$1,0))="If finance","CFO / Head of Finance (if finance), ","")IF(INDEX('MOA role matrix'!$B$2:$D$13,3,MATCH($B142,'MOA role matrix'!$B$1:$D$1,0))="Auto","CFO / Head of Finance (auto), ","")IF(INDEX('MOA role matrix'!$B$2:$D$13,4,MATCH($B142,'MOA role matrix'!$B$1:$D$1,0))="Fill","CEO / COO / GM, ","")IF(INDEX('MOA role matrix'!$B$2:$D$13,4,MATCH($B142,'MOA role matrix'!$B$1:$D$1,0))="If finance","CEO / COO / GM (if finance), ","")IF(INDEX('MOA role matrix'!$B$2:$D$13,4,MATCH($B142,'MOA role matrix'!$B$1:$D$1,0))="Auto","CEO / COO / GM (auto), ","")IF(INDEX('MOA role matrix'!$B$2:$D$13,5,MATCH($B142,'MOA role matrix'!$B$1:$D$1,0))="Fill","Board member 1, ","")IF(INDEX('MOA role matrix'!$B$2:$D$13,5,MATCH($B142,'MOA role matrix'!$B$1:$D$1,0))="If finance","Board member 1 (if finance), ","")IF(INDEX('MOA role matrix'!$B$2:$D$13,5,MATCH($B142,'MOA role matrix'!$B$1:$D$1,0))="Auto","Board member 1 (auto), ","")IF(INDEX('MOA role matrix'!$B$2:$D$13,6,MATCH($B142,'MOA role matrix'!$B$1:$D$1,0))="Fill","Board member 2, ","")IF(INDEX('MOA role matrix'!$B$2:$D$13,6,MATCH($B142,'MOA role matrix'!$B$1:$D$1,0))="If finance","Board member 2 (if finance), ","")IF(INDEX('MOA role matrix'!$B$2:$D$13,6,MATCH($B142,'MOA role matrix'!$B$1:$D$1,0))="Auto","Board member 2 (auto), ","")IF(INDEX('MOA role matrix'!$B$2:$D$13,7,MATCH($B142,'MOA role matrix'!$B$1:$D$1,0))="Fill","LOA holder 1, ","")IF(INDEX('MOA role matrix'!$B$2:$D$13,7,MATCH($B142,'MOA role matrix'!$B$1:$D$1,0))="If finance","LOA holder 1 (if finance), ","")IF(INDEX('MOA role matrix'!$B$2:$D$13,7,MATCH($B142,'MOA role matrix'!$B$1:$D$1,0))="Auto","LOA holder 1 (auto), ","")IF(INDEX('MOA role matrix'!$B$2:$D$13,8,MATCH($B142,'MOA role matrix'!$B$1:$D$1,0))="Fill","LOA holder 2, ","")IF(INDEX('MOA role matrix'!$B$2:$D$13,8,MATCH($B142,'MOA role matrix'!$B$1:$D$1,0))="If finance","LOA holder 2 (if finance), ","")IF(INDEX('MOA role matrix'!$B$2:$D$13,8,MATCH($B142,'MOA role matrix'!$B$1:$D$1,0))="Auto","LOA holder 2 (auto), ","")IF(INDEX('MOA role matrix'!$B$2:$D$13,9,MATCH($B142,'MOA role matrix'!$B$1:$D$1,0))="Fill","Senior Manager CoSec, ","")IF(INDEX('MOA role matrix'!$B$2:$D$13,9,MATCH($B142,'MOA role matrix'!$B$1:$D$1,0))="If finance","Senior Manager CoSec (if finance), ","")IF(INDEX('MOA role matrix'!$B$2:$D$13,9,MATCH($B142,'MOA role matrix'!$B$1:$D$1,0))="Auto","Senior Manager CoSec (auto), ","")IF(INDEX('MOA role matrix'!$B$2:$D$13,10,MATCH($B142,'MOA role matrix'!$B$1:$D$1,0))="Fill","Division MOI managers, ","")IF(INDEX('MOA role matrix'!$B$2:$D$13,10,MATCH($B142,'MOA role matrix'!$B$1:$D$1,0))="If finance","Division MOI managers (if finance), ","")IF(INDEX('MOA role matrix'!$B$2:$D$13,10,MATCH($B142,'MOA role matrix'!$B$1:$D$1,0))="Auto","Division MOI managers (auto), ","")IF(INDEX('MOA role matrix'!$B$2:$D$13,11,MATCH($B142,'MOA role matrix'!$B$1:$D$1,0))="Fill","Ms Teh (bank), ","")IF(INDEX('MOA role matrix'!$B$2:$D$13,11,MATCH($B142,'MOA role matrix'!$B$1:$D$1,0))="If finance","Ms Teh (bank) (if finance), ","")IF(INDEX('MOA role matrix'!$B$2:$D$13,11,MATCH($B142,'MOA role matrix'!$B$1:$D$1,0))="Auto","Ms Teh (bank) (auto), ","")IF(INDEX('MOA role matrix'!$B$2:$D$13,12,MATCH($B142,'MOA role matrix'!$B$1:$D$1,0))="Fill","DLCM, ","")IF(INDEX('MOA role matrix'!$B$2:$D$13,12,MATCH($B142,'MOA role matrix'!$B$1:$D$1,0))="If finance","DLCM (if finance), ","")IF(INDEX('MOA role matrix'!$B$2:$D$13,12,MATCH($B142,'MOA role matrix'!$B$1:$D$1,0))="Auto","DLCM (auto), ","")))</f>
        <v/>
      </c>
      <c r="D142" s="5">
        <f>IF($A142="","",IFERROR(INDEX(FILTER('Client contacts'!$B$2:$B$500,('Client contacts'!$A$2:$A$500=$A142)*('Client contacts'!$H$2:$H$500="Y"),""),1),""))</f>
        <v/>
      </c>
      <c r="E142" s="5">
        <f>IF($A142="","",IFERROR(INDEX(FILTER('Client contacts'!$C$2:$C$500,('Client contacts'!$A$2:$A$500=$A142)*('Client contacts'!$H$2:$H$500="Y"),""),1),""))</f>
        <v/>
      </c>
      <c r="F142" s="5">
        <f>IF($A142="","",IFERROR(INDEX(FILTER('Client contacts'!$B$2:$B$500,('Client contacts'!$A$2:$A$500=$A142)*('Client contacts'!$G$2:$G$500="Y"),""),1),""))</f>
        <v/>
      </c>
      <c r="G142" s="5">
        <f>IF($A142="","",IFERROR(INDEX(FILTER('Client contacts'!$C$2:$C$500,('Client contacts'!$A$2:$A$500=$A142)*('Client contacts'!$G$2:$G$500="Y"),""),1),""))</f>
        <v/>
      </c>
      <c r="H142" s="5">
        <f>IF($A142="","",IFERROR(INDEX(FILTER('Client contacts'!$B$2:$B$500,('Client contacts'!$A$2:$A$500=$A142)*('Client contacts'!$G$2:$G$500="Y"),""),2),""))</f>
        <v/>
      </c>
      <c r="I142" s="5">
        <f>IF($A142="","",IFERROR(INDEX(FILTER('Client contacts'!$C$2:$C$500,('Client contacts'!$A$2:$A$500=$A142)*('Client contacts'!$G$2:$G$500="Y"),""),2),""))</f>
        <v/>
      </c>
      <c r="J142" s="8" t="n"/>
      <c r="K142" s="8" t="n"/>
      <c r="L142" s="8" t="n"/>
      <c r="M142" s="8" t="n"/>
      <c r="N142" s="8" t="n"/>
      <c r="O142" s="8" t="n"/>
      <c r="P142" s="8" t="n"/>
      <c r="Q142" s="8" t="n"/>
      <c r="R142" s="5">
        <f>IF($A142="","",IFERROR(INDEX(Companies!$I$2:$I$500,MATCH($A142,Companies!$A$2:$A$500,0)),""))</f>
        <v/>
      </c>
      <c r="S142" s="8" t="n"/>
      <c r="T142" s="8" t="n"/>
      <c r="U142" s="8" t="n"/>
      <c r="V142" s="8" t="n"/>
      <c r="W142" s="8" t="n"/>
    </row>
    <row r="143">
      <c r="C143" s="5">
        <f>IF($B143="","",TRIM(IF(INDEX('MOA role matrix'!$B$2:$D$13,1,MATCH($B143,'MOA role matrix'!$B$1:$D$1,0))="Fill","Project initiator, ","")IF(INDEX('MOA role matrix'!$B$2:$D$13,1,MATCH($B143,'MOA role matrix'!$B$1:$D$1,0))="If finance","Project initiator (if finance), ","")IF(INDEX('MOA role matrix'!$B$2:$D$13,1,MATCH($B143,'MOA role matrix'!$B$1:$D$1,0))="Auto","Project initiator (auto), ","")IF(INDEX('MOA role matrix'!$B$2:$D$13,2,MATCH($B143,'MOA role matrix'!$B$1:$D$1,0))="Fill","MOA signers (client), ","")IF(INDEX('MOA role matrix'!$B$2:$D$13,2,MATCH($B143,'MOA role matrix'!$B$1:$D$1,0))="If finance","MOA signers (client) (if finance), ","")IF(INDEX('MOA role matrix'!$B$2:$D$13,2,MATCH($B143,'MOA role matrix'!$B$1:$D$1,0))="Auto","MOA signers (client) (auto), ","")IF(INDEX('MOA role matrix'!$B$2:$D$13,3,MATCH($B143,'MOA role matrix'!$B$1:$D$1,0))="Fill","CFO / Head of Finance, ","")IF(INDEX('MOA role matrix'!$B$2:$D$13,3,MATCH($B143,'MOA role matrix'!$B$1:$D$1,0))="If finance","CFO / Head of Finance (if finance), ","")IF(INDEX('MOA role matrix'!$B$2:$D$13,3,MATCH($B143,'MOA role matrix'!$B$1:$D$1,0))="Auto","CFO / Head of Finance (auto), ","")IF(INDEX('MOA role matrix'!$B$2:$D$13,4,MATCH($B143,'MOA role matrix'!$B$1:$D$1,0))="Fill","CEO / COO / GM, ","")IF(INDEX('MOA role matrix'!$B$2:$D$13,4,MATCH($B143,'MOA role matrix'!$B$1:$D$1,0))="If finance","CEO / COO / GM (if finance), ","")IF(INDEX('MOA role matrix'!$B$2:$D$13,4,MATCH($B143,'MOA role matrix'!$B$1:$D$1,0))="Auto","CEO / COO / GM (auto), ","")IF(INDEX('MOA role matrix'!$B$2:$D$13,5,MATCH($B143,'MOA role matrix'!$B$1:$D$1,0))="Fill","Board member 1, ","")IF(INDEX('MOA role matrix'!$B$2:$D$13,5,MATCH($B143,'MOA role matrix'!$B$1:$D$1,0))="If finance","Board member 1 (if finance), ","")IF(INDEX('MOA role matrix'!$B$2:$D$13,5,MATCH($B143,'MOA role matrix'!$B$1:$D$1,0))="Auto","Board member 1 (auto), ","")IF(INDEX('MOA role matrix'!$B$2:$D$13,6,MATCH($B143,'MOA role matrix'!$B$1:$D$1,0))="Fill","Board member 2, ","")IF(INDEX('MOA role matrix'!$B$2:$D$13,6,MATCH($B143,'MOA role matrix'!$B$1:$D$1,0))="If finance","Board member 2 (if finance), ","")IF(INDEX('MOA role matrix'!$B$2:$D$13,6,MATCH($B143,'MOA role matrix'!$B$1:$D$1,0))="Auto","Board member 2 (auto), ","")IF(INDEX('MOA role matrix'!$B$2:$D$13,7,MATCH($B143,'MOA role matrix'!$B$1:$D$1,0))="Fill","LOA holder 1, ","")IF(INDEX('MOA role matrix'!$B$2:$D$13,7,MATCH($B143,'MOA role matrix'!$B$1:$D$1,0))="If finance","LOA holder 1 (if finance), ","")IF(INDEX('MOA role matrix'!$B$2:$D$13,7,MATCH($B143,'MOA role matrix'!$B$1:$D$1,0))="Auto","LOA holder 1 (auto), ","")IF(INDEX('MOA role matrix'!$B$2:$D$13,8,MATCH($B143,'MOA role matrix'!$B$1:$D$1,0))="Fill","LOA holder 2, ","")IF(INDEX('MOA role matrix'!$B$2:$D$13,8,MATCH($B143,'MOA role matrix'!$B$1:$D$1,0))="If finance","LOA holder 2 (if finance), ","")IF(INDEX('MOA role matrix'!$B$2:$D$13,8,MATCH($B143,'MOA role matrix'!$B$1:$D$1,0))="Auto","LOA holder 2 (auto), ","")IF(INDEX('MOA role matrix'!$B$2:$D$13,9,MATCH($B143,'MOA role matrix'!$B$1:$D$1,0))="Fill","Senior Manager CoSec, ","")IF(INDEX('MOA role matrix'!$B$2:$D$13,9,MATCH($B143,'MOA role matrix'!$B$1:$D$1,0))="If finance","Senior Manager CoSec (if finance), ","")IF(INDEX('MOA role matrix'!$B$2:$D$13,9,MATCH($B143,'MOA role matrix'!$B$1:$D$1,0))="Auto","Senior Manager CoSec (auto), ","")IF(INDEX('MOA role matrix'!$B$2:$D$13,10,MATCH($B143,'MOA role matrix'!$B$1:$D$1,0))="Fill","Division MOI managers, ","")IF(INDEX('MOA role matrix'!$B$2:$D$13,10,MATCH($B143,'MOA role matrix'!$B$1:$D$1,0))="If finance","Division MOI managers (if finance), ","")IF(INDEX('MOA role matrix'!$B$2:$D$13,10,MATCH($B143,'MOA role matrix'!$B$1:$D$1,0))="Auto","Division MOI managers (auto), ","")IF(INDEX('MOA role matrix'!$B$2:$D$13,11,MATCH($B143,'MOA role matrix'!$B$1:$D$1,0))="Fill","Ms Teh (bank), ","")IF(INDEX('MOA role matrix'!$B$2:$D$13,11,MATCH($B143,'MOA role matrix'!$B$1:$D$1,0))="If finance","Ms Teh (bank) (if finance), ","")IF(INDEX('MOA role matrix'!$B$2:$D$13,11,MATCH($B143,'MOA role matrix'!$B$1:$D$1,0))="Auto","Ms Teh (bank) (auto), ","")IF(INDEX('MOA role matrix'!$B$2:$D$13,12,MATCH($B143,'MOA role matrix'!$B$1:$D$1,0))="Fill","DLCM, ","")IF(INDEX('MOA role matrix'!$B$2:$D$13,12,MATCH($B143,'MOA role matrix'!$B$1:$D$1,0))="If finance","DLCM (if finance), ","")IF(INDEX('MOA role matrix'!$B$2:$D$13,12,MATCH($B143,'MOA role matrix'!$B$1:$D$1,0))="Auto","DLCM (auto), ","")))</f>
        <v/>
      </c>
      <c r="D143" s="5">
        <f>IF($A143="","",IFERROR(INDEX(FILTER('Client contacts'!$B$2:$B$500,('Client contacts'!$A$2:$A$500=$A143)*('Client contacts'!$H$2:$H$500="Y"),""),1),""))</f>
        <v/>
      </c>
      <c r="E143" s="5">
        <f>IF($A143="","",IFERROR(INDEX(FILTER('Client contacts'!$C$2:$C$500,('Client contacts'!$A$2:$A$500=$A143)*('Client contacts'!$H$2:$H$500="Y"),""),1),""))</f>
        <v/>
      </c>
      <c r="F143" s="5">
        <f>IF($A143="","",IFERROR(INDEX(FILTER('Client contacts'!$B$2:$B$500,('Client contacts'!$A$2:$A$500=$A143)*('Client contacts'!$G$2:$G$500="Y"),""),1),""))</f>
        <v/>
      </c>
      <c r="G143" s="5">
        <f>IF($A143="","",IFERROR(INDEX(FILTER('Client contacts'!$C$2:$C$500,('Client contacts'!$A$2:$A$500=$A143)*('Client contacts'!$G$2:$G$500="Y"),""),1),""))</f>
        <v/>
      </c>
      <c r="H143" s="5">
        <f>IF($A143="","",IFERROR(INDEX(FILTER('Client contacts'!$B$2:$B$500,('Client contacts'!$A$2:$A$500=$A143)*('Client contacts'!$G$2:$G$500="Y"),""),2),""))</f>
        <v/>
      </c>
      <c r="I143" s="5">
        <f>IF($A143="","",IFERROR(INDEX(FILTER('Client contacts'!$C$2:$C$500,('Client contacts'!$A$2:$A$500=$A143)*('Client contacts'!$G$2:$G$500="Y"),""),2),""))</f>
        <v/>
      </c>
      <c r="J143" s="8" t="n"/>
      <c r="K143" s="8" t="n"/>
      <c r="L143" s="8" t="n"/>
      <c r="M143" s="8" t="n"/>
      <c r="N143" s="8" t="n"/>
      <c r="O143" s="8" t="n"/>
      <c r="P143" s="8" t="n"/>
      <c r="Q143" s="8" t="n"/>
      <c r="R143" s="5">
        <f>IF($A143="","",IFERROR(INDEX(Companies!$I$2:$I$500,MATCH($A143,Companies!$A$2:$A$500,0)),""))</f>
        <v/>
      </c>
      <c r="S143" s="8" t="n"/>
      <c r="T143" s="8" t="n"/>
      <c r="U143" s="8" t="n"/>
      <c r="V143" s="8" t="n"/>
      <c r="W143" s="8" t="n"/>
    </row>
    <row r="144">
      <c r="C144" s="5">
        <f>IF($B144="","",TRIM(IF(INDEX('MOA role matrix'!$B$2:$D$13,1,MATCH($B144,'MOA role matrix'!$B$1:$D$1,0))="Fill","Project initiator, ","")IF(INDEX('MOA role matrix'!$B$2:$D$13,1,MATCH($B144,'MOA role matrix'!$B$1:$D$1,0))="If finance","Project initiator (if finance), ","")IF(INDEX('MOA role matrix'!$B$2:$D$13,1,MATCH($B144,'MOA role matrix'!$B$1:$D$1,0))="Auto","Project initiator (auto), ","")IF(INDEX('MOA role matrix'!$B$2:$D$13,2,MATCH($B144,'MOA role matrix'!$B$1:$D$1,0))="Fill","MOA signers (client), ","")IF(INDEX('MOA role matrix'!$B$2:$D$13,2,MATCH($B144,'MOA role matrix'!$B$1:$D$1,0))="If finance","MOA signers (client) (if finance), ","")IF(INDEX('MOA role matrix'!$B$2:$D$13,2,MATCH($B144,'MOA role matrix'!$B$1:$D$1,0))="Auto","MOA signers (client) (auto), ","")IF(INDEX('MOA role matrix'!$B$2:$D$13,3,MATCH($B144,'MOA role matrix'!$B$1:$D$1,0))="Fill","CFO / Head of Finance, ","")IF(INDEX('MOA role matrix'!$B$2:$D$13,3,MATCH($B144,'MOA role matrix'!$B$1:$D$1,0))="If finance","CFO / Head of Finance (if finance), ","")IF(INDEX('MOA role matrix'!$B$2:$D$13,3,MATCH($B144,'MOA role matrix'!$B$1:$D$1,0))="Auto","CFO / Head of Finance (auto), ","")IF(INDEX('MOA role matrix'!$B$2:$D$13,4,MATCH($B144,'MOA role matrix'!$B$1:$D$1,0))="Fill","CEO / COO / GM, ","")IF(INDEX('MOA role matrix'!$B$2:$D$13,4,MATCH($B144,'MOA role matrix'!$B$1:$D$1,0))="If finance","CEO / COO / GM (if finance), ","")IF(INDEX('MOA role matrix'!$B$2:$D$13,4,MATCH($B144,'MOA role matrix'!$B$1:$D$1,0))="Auto","CEO / COO / GM (auto), ","")IF(INDEX('MOA role matrix'!$B$2:$D$13,5,MATCH($B144,'MOA role matrix'!$B$1:$D$1,0))="Fill","Board member 1, ","")IF(INDEX('MOA role matrix'!$B$2:$D$13,5,MATCH($B144,'MOA role matrix'!$B$1:$D$1,0))="If finance","Board member 1 (if finance), ","")IF(INDEX('MOA role matrix'!$B$2:$D$13,5,MATCH($B144,'MOA role matrix'!$B$1:$D$1,0))="Auto","Board member 1 (auto), ","")IF(INDEX('MOA role matrix'!$B$2:$D$13,6,MATCH($B144,'MOA role matrix'!$B$1:$D$1,0))="Fill","Board member 2, ","")IF(INDEX('MOA role matrix'!$B$2:$D$13,6,MATCH($B144,'MOA role matrix'!$B$1:$D$1,0))="If finance","Board member 2 (if finance), ","")IF(INDEX('MOA role matrix'!$B$2:$D$13,6,MATCH($B144,'MOA role matrix'!$B$1:$D$1,0))="Auto","Board member 2 (auto), ","")IF(INDEX('MOA role matrix'!$B$2:$D$13,7,MATCH($B144,'MOA role matrix'!$B$1:$D$1,0))="Fill","LOA holder 1, ","")IF(INDEX('MOA role matrix'!$B$2:$D$13,7,MATCH($B144,'MOA role matrix'!$B$1:$D$1,0))="If finance","LOA holder 1 (if finance), ","")IF(INDEX('MOA role matrix'!$B$2:$D$13,7,MATCH($B144,'MOA role matrix'!$B$1:$D$1,0))="Auto","LOA holder 1 (auto), ","")IF(INDEX('MOA role matrix'!$B$2:$D$13,8,MATCH($B144,'MOA role matrix'!$B$1:$D$1,0))="Fill","LOA holder 2, ","")IF(INDEX('MOA role matrix'!$B$2:$D$13,8,MATCH($B144,'MOA role matrix'!$B$1:$D$1,0))="If finance","LOA holder 2 (if finance), ","")IF(INDEX('MOA role matrix'!$B$2:$D$13,8,MATCH($B144,'MOA role matrix'!$B$1:$D$1,0))="Auto","LOA holder 2 (auto), ","")IF(INDEX('MOA role matrix'!$B$2:$D$13,9,MATCH($B144,'MOA role matrix'!$B$1:$D$1,0))="Fill","Senior Manager CoSec, ","")IF(INDEX('MOA role matrix'!$B$2:$D$13,9,MATCH($B144,'MOA role matrix'!$B$1:$D$1,0))="If finance","Senior Manager CoSec (if finance), ","")IF(INDEX('MOA role matrix'!$B$2:$D$13,9,MATCH($B144,'MOA role matrix'!$B$1:$D$1,0))="Auto","Senior Manager CoSec (auto), ","")IF(INDEX('MOA role matrix'!$B$2:$D$13,10,MATCH($B144,'MOA role matrix'!$B$1:$D$1,0))="Fill","Division MOI managers, ","")IF(INDEX('MOA role matrix'!$B$2:$D$13,10,MATCH($B144,'MOA role matrix'!$B$1:$D$1,0))="If finance","Division MOI managers (if finance), ","")IF(INDEX('MOA role matrix'!$B$2:$D$13,10,MATCH($B144,'MOA role matrix'!$B$1:$D$1,0))="Auto","Division MOI managers (auto), ","")IF(INDEX('MOA role matrix'!$B$2:$D$13,11,MATCH($B144,'MOA role matrix'!$B$1:$D$1,0))="Fill","Ms Teh (bank), ","")IF(INDEX('MOA role matrix'!$B$2:$D$13,11,MATCH($B144,'MOA role matrix'!$B$1:$D$1,0))="If finance","Ms Teh (bank) (if finance), ","")IF(INDEX('MOA role matrix'!$B$2:$D$13,11,MATCH($B144,'MOA role matrix'!$B$1:$D$1,0))="Auto","Ms Teh (bank) (auto), ","")IF(INDEX('MOA role matrix'!$B$2:$D$13,12,MATCH($B144,'MOA role matrix'!$B$1:$D$1,0))="Fill","DLCM, ","")IF(INDEX('MOA role matrix'!$B$2:$D$13,12,MATCH($B144,'MOA role matrix'!$B$1:$D$1,0))="If finance","DLCM (if finance), ","")IF(INDEX('MOA role matrix'!$B$2:$D$13,12,MATCH($B144,'MOA role matrix'!$B$1:$D$1,0))="Auto","DLCM (auto), ","")))</f>
        <v/>
      </c>
      <c r="D144" s="5">
        <f>IF($A144="","",IFERROR(INDEX(FILTER('Client contacts'!$B$2:$B$500,('Client contacts'!$A$2:$A$500=$A144)*('Client contacts'!$H$2:$H$500="Y"),""),1),""))</f>
        <v/>
      </c>
      <c r="E144" s="5">
        <f>IF($A144="","",IFERROR(INDEX(FILTER('Client contacts'!$C$2:$C$500,('Client contacts'!$A$2:$A$500=$A144)*('Client contacts'!$H$2:$H$500="Y"),""),1),""))</f>
        <v/>
      </c>
      <c r="F144" s="5">
        <f>IF($A144="","",IFERROR(INDEX(FILTER('Client contacts'!$B$2:$B$500,('Client contacts'!$A$2:$A$500=$A144)*('Client contacts'!$G$2:$G$500="Y"),""),1),""))</f>
        <v/>
      </c>
      <c r="G144" s="5">
        <f>IF($A144="","",IFERROR(INDEX(FILTER('Client contacts'!$C$2:$C$500,('Client contacts'!$A$2:$A$500=$A144)*('Client contacts'!$G$2:$G$500="Y"),""),1),""))</f>
        <v/>
      </c>
      <c r="H144" s="5">
        <f>IF($A144="","",IFERROR(INDEX(FILTER('Client contacts'!$B$2:$B$500,('Client contacts'!$A$2:$A$500=$A144)*('Client contacts'!$G$2:$G$500="Y"),""),2),""))</f>
        <v/>
      </c>
      <c r="I144" s="5">
        <f>IF($A144="","",IFERROR(INDEX(FILTER('Client contacts'!$C$2:$C$500,('Client contacts'!$A$2:$A$500=$A144)*('Client contacts'!$G$2:$G$500="Y"),""),2),""))</f>
        <v/>
      </c>
      <c r="J144" s="8" t="n"/>
      <c r="K144" s="8" t="n"/>
      <c r="L144" s="8" t="n"/>
      <c r="M144" s="8" t="n"/>
      <c r="N144" s="8" t="n"/>
      <c r="O144" s="8" t="n"/>
      <c r="P144" s="8" t="n"/>
      <c r="Q144" s="8" t="n"/>
      <c r="R144" s="5">
        <f>IF($A144="","",IFERROR(INDEX(Companies!$I$2:$I$500,MATCH($A144,Companies!$A$2:$A$500,0)),""))</f>
        <v/>
      </c>
      <c r="S144" s="8" t="n"/>
      <c r="T144" s="8" t="n"/>
      <c r="U144" s="8" t="n"/>
      <c r="V144" s="8" t="n"/>
      <c r="W144" s="8" t="n"/>
    </row>
    <row r="145">
      <c r="C145" s="5">
        <f>IF($B145="","",TRIM(IF(INDEX('MOA role matrix'!$B$2:$D$13,1,MATCH($B145,'MOA role matrix'!$B$1:$D$1,0))="Fill","Project initiator, ","")IF(INDEX('MOA role matrix'!$B$2:$D$13,1,MATCH($B145,'MOA role matrix'!$B$1:$D$1,0))="If finance","Project initiator (if finance), ","")IF(INDEX('MOA role matrix'!$B$2:$D$13,1,MATCH($B145,'MOA role matrix'!$B$1:$D$1,0))="Auto","Project initiator (auto), ","")IF(INDEX('MOA role matrix'!$B$2:$D$13,2,MATCH($B145,'MOA role matrix'!$B$1:$D$1,0))="Fill","MOA signers (client), ","")IF(INDEX('MOA role matrix'!$B$2:$D$13,2,MATCH($B145,'MOA role matrix'!$B$1:$D$1,0))="If finance","MOA signers (client) (if finance), ","")IF(INDEX('MOA role matrix'!$B$2:$D$13,2,MATCH($B145,'MOA role matrix'!$B$1:$D$1,0))="Auto","MOA signers (client) (auto), ","")IF(INDEX('MOA role matrix'!$B$2:$D$13,3,MATCH($B145,'MOA role matrix'!$B$1:$D$1,0))="Fill","CFO / Head of Finance, ","")IF(INDEX('MOA role matrix'!$B$2:$D$13,3,MATCH($B145,'MOA role matrix'!$B$1:$D$1,0))="If finance","CFO / Head of Finance (if finance), ","")IF(INDEX('MOA role matrix'!$B$2:$D$13,3,MATCH($B145,'MOA role matrix'!$B$1:$D$1,0))="Auto","CFO / Head of Finance (auto), ","")IF(INDEX('MOA role matrix'!$B$2:$D$13,4,MATCH($B145,'MOA role matrix'!$B$1:$D$1,0))="Fill","CEO / COO / GM, ","")IF(INDEX('MOA role matrix'!$B$2:$D$13,4,MATCH($B145,'MOA role matrix'!$B$1:$D$1,0))="If finance","CEO / COO / GM (if finance), ","")IF(INDEX('MOA role matrix'!$B$2:$D$13,4,MATCH($B145,'MOA role matrix'!$B$1:$D$1,0))="Auto","CEO / COO / GM (auto), ","")IF(INDEX('MOA role matrix'!$B$2:$D$13,5,MATCH($B145,'MOA role matrix'!$B$1:$D$1,0))="Fill","Board member 1, ","")IF(INDEX('MOA role matrix'!$B$2:$D$13,5,MATCH($B145,'MOA role matrix'!$B$1:$D$1,0))="If finance","Board member 1 (if finance), ","")IF(INDEX('MOA role matrix'!$B$2:$D$13,5,MATCH($B145,'MOA role matrix'!$B$1:$D$1,0))="Auto","Board member 1 (auto), ","")IF(INDEX('MOA role matrix'!$B$2:$D$13,6,MATCH($B145,'MOA role matrix'!$B$1:$D$1,0))="Fill","Board member 2, ","")IF(INDEX('MOA role matrix'!$B$2:$D$13,6,MATCH($B145,'MOA role matrix'!$B$1:$D$1,0))="If finance","Board member 2 (if finance), ","")IF(INDEX('MOA role matrix'!$B$2:$D$13,6,MATCH($B145,'MOA role matrix'!$B$1:$D$1,0))="Auto","Board member 2 (auto), ","")IF(INDEX('MOA role matrix'!$B$2:$D$13,7,MATCH($B145,'MOA role matrix'!$B$1:$D$1,0))="Fill","LOA holder 1, ","")IF(INDEX('MOA role matrix'!$B$2:$D$13,7,MATCH($B145,'MOA role matrix'!$B$1:$D$1,0))="If finance","LOA holder 1 (if finance), ","")IF(INDEX('MOA role matrix'!$B$2:$D$13,7,MATCH($B145,'MOA role matrix'!$B$1:$D$1,0))="Auto","LOA holder 1 (auto), ","")IF(INDEX('MOA role matrix'!$B$2:$D$13,8,MATCH($B145,'MOA role matrix'!$B$1:$D$1,0))="Fill","LOA holder 2, ","")IF(INDEX('MOA role matrix'!$B$2:$D$13,8,MATCH($B145,'MOA role matrix'!$B$1:$D$1,0))="If finance","LOA holder 2 (if finance), ","")IF(INDEX('MOA role matrix'!$B$2:$D$13,8,MATCH($B145,'MOA role matrix'!$B$1:$D$1,0))="Auto","LOA holder 2 (auto), ","")IF(INDEX('MOA role matrix'!$B$2:$D$13,9,MATCH($B145,'MOA role matrix'!$B$1:$D$1,0))="Fill","Senior Manager CoSec, ","")IF(INDEX('MOA role matrix'!$B$2:$D$13,9,MATCH($B145,'MOA role matrix'!$B$1:$D$1,0))="If finance","Senior Manager CoSec (if finance), ","")IF(INDEX('MOA role matrix'!$B$2:$D$13,9,MATCH($B145,'MOA role matrix'!$B$1:$D$1,0))="Auto","Senior Manager CoSec (auto), ","")IF(INDEX('MOA role matrix'!$B$2:$D$13,10,MATCH($B145,'MOA role matrix'!$B$1:$D$1,0))="Fill","Division MOI managers, ","")IF(INDEX('MOA role matrix'!$B$2:$D$13,10,MATCH($B145,'MOA role matrix'!$B$1:$D$1,0))="If finance","Division MOI managers (if finance), ","")IF(INDEX('MOA role matrix'!$B$2:$D$13,10,MATCH($B145,'MOA role matrix'!$B$1:$D$1,0))="Auto","Division MOI managers (auto), ","")IF(INDEX('MOA role matrix'!$B$2:$D$13,11,MATCH($B145,'MOA role matrix'!$B$1:$D$1,0))="Fill","Ms Teh (bank), ","")IF(INDEX('MOA role matrix'!$B$2:$D$13,11,MATCH($B145,'MOA role matrix'!$B$1:$D$1,0))="If finance","Ms Teh (bank) (if finance), ","")IF(INDEX('MOA role matrix'!$B$2:$D$13,11,MATCH($B145,'MOA role matrix'!$B$1:$D$1,0))="Auto","Ms Teh (bank) (auto), ","")IF(INDEX('MOA role matrix'!$B$2:$D$13,12,MATCH($B145,'MOA role matrix'!$B$1:$D$1,0))="Fill","DLCM, ","")IF(INDEX('MOA role matrix'!$B$2:$D$13,12,MATCH($B145,'MOA role matrix'!$B$1:$D$1,0))="If finance","DLCM (if finance), ","")IF(INDEX('MOA role matrix'!$B$2:$D$13,12,MATCH($B145,'MOA role matrix'!$B$1:$D$1,0))="Auto","DLCM (auto), ","")))</f>
        <v/>
      </c>
      <c r="D145" s="5">
        <f>IF($A145="","",IFERROR(INDEX(FILTER('Client contacts'!$B$2:$B$500,('Client contacts'!$A$2:$A$500=$A145)*('Client contacts'!$H$2:$H$500="Y"),""),1),""))</f>
        <v/>
      </c>
      <c r="E145" s="5">
        <f>IF($A145="","",IFERROR(INDEX(FILTER('Client contacts'!$C$2:$C$500,('Client contacts'!$A$2:$A$500=$A145)*('Client contacts'!$H$2:$H$500="Y"),""),1),""))</f>
        <v/>
      </c>
      <c r="F145" s="5">
        <f>IF($A145="","",IFERROR(INDEX(FILTER('Client contacts'!$B$2:$B$500,('Client contacts'!$A$2:$A$500=$A145)*('Client contacts'!$G$2:$G$500="Y"),""),1),""))</f>
        <v/>
      </c>
      <c r="G145" s="5">
        <f>IF($A145="","",IFERROR(INDEX(FILTER('Client contacts'!$C$2:$C$500,('Client contacts'!$A$2:$A$500=$A145)*('Client contacts'!$G$2:$G$500="Y"),""),1),""))</f>
        <v/>
      </c>
      <c r="H145" s="5">
        <f>IF($A145="","",IFERROR(INDEX(FILTER('Client contacts'!$B$2:$B$500,('Client contacts'!$A$2:$A$500=$A145)*('Client contacts'!$G$2:$G$500="Y"),""),2),""))</f>
        <v/>
      </c>
      <c r="I145" s="5">
        <f>IF($A145="","",IFERROR(INDEX(FILTER('Client contacts'!$C$2:$C$500,('Client contacts'!$A$2:$A$500=$A145)*('Client contacts'!$G$2:$G$500="Y"),""),2),""))</f>
        <v/>
      </c>
      <c r="J145" s="8" t="n"/>
      <c r="K145" s="8" t="n"/>
      <c r="L145" s="8" t="n"/>
      <c r="M145" s="8" t="n"/>
      <c r="N145" s="8" t="n"/>
      <c r="O145" s="8" t="n"/>
      <c r="P145" s="8" t="n"/>
      <c r="Q145" s="8" t="n"/>
      <c r="R145" s="5">
        <f>IF($A145="","",IFERROR(INDEX(Companies!$I$2:$I$500,MATCH($A145,Companies!$A$2:$A$500,0)),""))</f>
        <v/>
      </c>
      <c r="S145" s="8" t="n"/>
      <c r="T145" s="8" t="n"/>
      <c r="U145" s="8" t="n"/>
      <c r="V145" s="8" t="n"/>
      <c r="W145" s="8" t="n"/>
    </row>
    <row r="146">
      <c r="C146" s="5">
        <f>IF($B146="","",TRIM(IF(INDEX('MOA role matrix'!$B$2:$D$13,1,MATCH($B146,'MOA role matrix'!$B$1:$D$1,0))="Fill","Project initiator, ","")IF(INDEX('MOA role matrix'!$B$2:$D$13,1,MATCH($B146,'MOA role matrix'!$B$1:$D$1,0))="If finance","Project initiator (if finance), ","")IF(INDEX('MOA role matrix'!$B$2:$D$13,1,MATCH($B146,'MOA role matrix'!$B$1:$D$1,0))="Auto","Project initiator (auto), ","")IF(INDEX('MOA role matrix'!$B$2:$D$13,2,MATCH($B146,'MOA role matrix'!$B$1:$D$1,0))="Fill","MOA signers (client), ","")IF(INDEX('MOA role matrix'!$B$2:$D$13,2,MATCH($B146,'MOA role matrix'!$B$1:$D$1,0))="If finance","MOA signers (client) (if finance), ","")IF(INDEX('MOA role matrix'!$B$2:$D$13,2,MATCH($B146,'MOA role matrix'!$B$1:$D$1,0))="Auto","MOA signers (client) (auto), ","")IF(INDEX('MOA role matrix'!$B$2:$D$13,3,MATCH($B146,'MOA role matrix'!$B$1:$D$1,0))="Fill","CFO / Head of Finance, ","")IF(INDEX('MOA role matrix'!$B$2:$D$13,3,MATCH($B146,'MOA role matrix'!$B$1:$D$1,0))="If finance","CFO / Head of Finance (if finance), ","")IF(INDEX('MOA role matrix'!$B$2:$D$13,3,MATCH($B146,'MOA role matrix'!$B$1:$D$1,0))="Auto","CFO / Head of Finance (auto), ","")IF(INDEX('MOA role matrix'!$B$2:$D$13,4,MATCH($B146,'MOA role matrix'!$B$1:$D$1,0))="Fill","CEO / COO / GM, ","")IF(INDEX('MOA role matrix'!$B$2:$D$13,4,MATCH($B146,'MOA role matrix'!$B$1:$D$1,0))="If finance","CEO / COO / GM (if finance), ","")IF(INDEX('MOA role matrix'!$B$2:$D$13,4,MATCH($B146,'MOA role matrix'!$B$1:$D$1,0))="Auto","CEO / COO / GM (auto), ","")IF(INDEX('MOA role matrix'!$B$2:$D$13,5,MATCH($B146,'MOA role matrix'!$B$1:$D$1,0))="Fill","Board member 1, ","")IF(INDEX('MOA role matrix'!$B$2:$D$13,5,MATCH($B146,'MOA role matrix'!$B$1:$D$1,0))="If finance","Board member 1 (if finance), ","")IF(INDEX('MOA role matrix'!$B$2:$D$13,5,MATCH($B146,'MOA role matrix'!$B$1:$D$1,0))="Auto","Board member 1 (auto), ","")IF(INDEX('MOA role matrix'!$B$2:$D$13,6,MATCH($B146,'MOA role matrix'!$B$1:$D$1,0))="Fill","Board member 2, ","")IF(INDEX('MOA role matrix'!$B$2:$D$13,6,MATCH($B146,'MOA role matrix'!$B$1:$D$1,0))="If finance","Board member 2 (if finance), ","")IF(INDEX('MOA role matrix'!$B$2:$D$13,6,MATCH($B146,'MOA role matrix'!$B$1:$D$1,0))="Auto","Board member 2 (auto), ","")IF(INDEX('MOA role matrix'!$B$2:$D$13,7,MATCH($B146,'MOA role matrix'!$B$1:$D$1,0))="Fill","LOA holder 1, ","")IF(INDEX('MOA role matrix'!$B$2:$D$13,7,MATCH($B146,'MOA role matrix'!$B$1:$D$1,0))="If finance","LOA holder 1 (if finance), ","")IF(INDEX('MOA role matrix'!$B$2:$D$13,7,MATCH($B146,'MOA role matrix'!$B$1:$D$1,0))="Auto","LOA holder 1 (auto), ","")IF(INDEX('MOA role matrix'!$B$2:$D$13,8,MATCH($B146,'MOA role matrix'!$B$1:$D$1,0))="Fill","LOA holder 2, ","")IF(INDEX('MOA role matrix'!$B$2:$D$13,8,MATCH($B146,'MOA role matrix'!$B$1:$D$1,0))="If finance","LOA holder 2 (if finance), ","")IF(INDEX('MOA role matrix'!$B$2:$D$13,8,MATCH($B146,'MOA role matrix'!$B$1:$D$1,0))="Auto","LOA holder 2 (auto), ","")IF(INDEX('MOA role matrix'!$B$2:$D$13,9,MATCH($B146,'MOA role matrix'!$B$1:$D$1,0))="Fill","Senior Manager CoSec, ","")IF(INDEX('MOA role matrix'!$B$2:$D$13,9,MATCH($B146,'MOA role matrix'!$B$1:$D$1,0))="If finance","Senior Manager CoSec (if finance), ","")IF(INDEX('MOA role matrix'!$B$2:$D$13,9,MATCH($B146,'MOA role matrix'!$B$1:$D$1,0))="Auto","Senior Manager CoSec (auto), ","")IF(INDEX('MOA role matrix'!$B$2:$D$13,10,MATCH($B146,'MOA role matrix'!$B$1:$D$1,0))="Fill","Division MOI managers, ","")IF(INDEX('MOA role matrix'!$B$2:$D$13,10,MATCH($B146,'MOA role matrix'!$B$1:$D$1,0))="If finance","Division MOI managers (if finance), ","")IF(INDEX('MOA role matrix'!$B$2:$D$13,10,MATCH($B146,'MOA role matrix'!$B$1:$D$1,0))="Auto","Division MOI managers (auto), ","")IF(INDEX('MOA role matrix'!$B$2:$D$13,11,MATCH($B146,'MOA role matrix'!$B$1:$D$1,0))="Fill","Ms Teh (bank), ","")IF(INDEX('MOA role matrix'!$B$2:$D$13,11,MATCH($B146,'MOA role matrix'!$B$1:$D$1,0))="If finance","Ms Teh (bank) (if finance), ","")IF(INDEX('MOA role matrix'!$B$2:$D$13,11,MATCH($B146,'MOA role matrix'!$B$1:$D$1,0))="Auto","Ms Teh (bank) (auto), ","")IF(INDEX('MOA role matrix'!$B$2:$D$13,12,MATCH($B146,'MOA role matrix'!$B$1:$D$1,0))="Fill","DLCM, ","")IF(INDEX('MOA role matrix'!$B$2:$D$13,12,MATCH($B146,'MOA role matrix'!$B$1:$D$1,0))="If finance","DLCM (if finance), ","")IF(INDEX('MOA role matrix'!$B$2:$D$13,12,MATCH($B146,'MOA role matrix'!$B$1:$D$1,0))="Auto","DLCM (auto), ","")))</f>
        <v/>
      </c>
      <c r="D146" s="5">
        <f>IF($A146="","",IFERROR(INDEX(FILTER('Client contacts'!$B$2:$B$500,('Client contacts'!$A$2:$A$500=$A146)*('Client contacts'!$H$2:$H$500="Y"),""),1),""))</f>
        <v/>
      </c>
      <c r="E146" s="5">
        <f>IF($A146="","",IFERROR(INDEX(FILTER('Client contacts'!$C$2:$C$500,('Client contacts'!$A$2:$A$500=$A146)*('Client contacts'!$H$2:$H$500="Y"),""),1),""))</f>
        <v/>
      </c>
      <c r="F146" s="5">
        <f>IF($A146="","",IFERROR(INDEX(FILTER('Client contacts'!$B$2:$B$500,('Client contacts'!$A$2:$A$500=$A146)*('Client contacts'!$G$2:$G$500="Y"),""),1),""))</f>
        <v/>
      </c>
      <c r="G146" s="5">
        <f>IF($A146="","",IFERROR(INDEX(FILTER('Client contacts'!$C$2:$C$500,('Client contacts'!$A$2:$A$500=$A146)*('Client contacts'!$G$2:$G$500="Y"),""),1),""))</f>
        <v/>
      </c>
      <c r="H146" s="5">
        <f>IF($A146="","",IFERROR(INDEX(FILTER('Client contacts'!$B$2:$B$500,('Client contacts'!$A$2:$A$500=$A146)*('Client contacts'!$G$2:$G$500="Y"),""),2),""))</f>
        <v/>
      </c>
      <c r="I146" s="5">
        <f>IF($A146="","",IFERROR(INDEX(FILTER('Client contacts'!$C$2:$C$500,('Client contacts'!$A$2:$A$500=$A146)*('Client contacts'!$G$2:$G$500="Y"),""),2),""))</f>
        <v/>
      </c>
      <c r="J146" s="8" t="n"/>
      <c r="K146" s="8" t="n"/>
      <c r="L146" s="8" t="n"/>
      <c r="M146" s="8" t="n"/>
      <c r="N146" s="8" t="n"/>
      <c r="O146" s="8" t="n"/>
      <c r="P146" s="8" t="n"/>
      <c r="Q146" s="8" t="n"/>
      <c r="R146" s="5">
        <f>IF($A146="","",IFERROR(INDEX(Companies!$I$2:$I$500,MATCH($A146,Companies!$A$2:$A$500,0)),""))</f>
        <v/>
      </c>
      <c r="S146" s="8" t="n"/>
      <c r="T146" s="8" t="n"/>
      <c r="U146" s="8" t="n"/>
      <c r="V146" s="8" t="n"/>
      <c r="W146" s="8" t="n"/>
    </row>
    <row r="147">
      <c r="C147" s="5">
        <f>IF($B147="","",TRIM(IF(INDEX('MOA role matrix'!$B$2:$D$13,1,MATCH($B147,'MOA role matrix'!$B$1:$D$1,0))="Fill","Project initiator, ","")IF(INDEX('MOA role matrix'!$B$2:$D$13,1,MATCH($B147,'MOA role matrix'!$B$1:$D$1,0))="If finance","Project initiator (if finance), ","")IF(INDEX('MOA role matrix'!$B$2:$D$13,1,MATCH($B147,'MOA role matrix'!$B$1:$D$1,0))="Auto","Project initiator (auto), ","")IF(INDEX('MOA role matrix'!$B$2:$D$13,2,MATCH($B147,'MOA role matrix'!$B$1:$D$1,0))="Fill","MOA signers (client), ","")IF(INDEX('MOA role matrix'!$B$2:$D$13,2,MATCH($B147,'MOA role matrix'!$B$1:$D$1,0))="If finance","MOA signers (client) (if finance), ","")IF(INDEX('MOA role matrix'!$B$2:$D$13,2,MATCH($B147,'MOA role matrix'!$B$1:$D$1,0))="Auto","MOA signers (client) (auto), ","")IF(INDEX('MOA role matrix'!$B$2:$D$13,3,MATCH($B147,'MOA role matrix'!$B$1:$D$1,0))="Fill","CFO / Head of Finance, ","")IF(INDEX('MOA role matrix'!$B$2:$D$13,3,MATCH($B147,'MOA role matrix'!$B$1:$D$1,0))="If finance","CFO / Head of Finance (if finance), ","")IF(INDEX('MOA role matrix'!$B$2:$D$13,3,MATCH($B147,'MOA role matrix'!$B$1:$D$1,0))="Auto","CFO / Head of Finance (auto), ","")IF(INDEX('MOA role matrix'!$B$2:$D$13,4,MATCH($B147,'MOA role matrix'!$B$1:$D$1,0))="Fill","CEO / COO / GM, ","")IF(INDEX('MOA role matrix'!$B$2:$D$13,4,MATCH($B147,'MOA role matrix'!$B$1:$D$1,0))="If finance","CEO / COO / GM (if finance), ","")IF(INDEX('MOA role matrix'!$B$2:$D$13,4,MATCH($B147,'MOA role matrix'!$B$1:$D$1,0))="Auto","CEO / COO / GM (auto), ","")IF(INDEX('MOA role matrix'!$B$2:$D$13,5,MATCH($B147,'MOA role matrix'!$B$1:$D$1,0))="Fill","Board member 1, ","")IF(INDEX('MOA role matrix'!$B$2:$D$13,5,MATCH($B147,'MOA role matrix'!$B$1:$D$1,0))="If finance","Board member 1 (if finance), ","")IF(INDEX('MOA role matrix'!$B$2:$D$13,5,MATCH($B147,'MOA role matrix'!$B$1:$D$1,0))="Auto","Board member 1 (auto), ","")IF(INDEX('MOA role matrix'!$B$2:$D$13,6,MATCH($B147,'MOA role matrix'!$B$1:$D$1,0))="Fill","Board member 2, ","")IF(INDEX('MOA role matrix'!$B$2:$D$13,6,MATCH($B147,'MOA role matrix'!$B$1:$D$1,0))="If finance","Board member 2 (if finance), ","")IF(INDEX('MOA role matrix'!$B$2:$D$13,6,MATCH($B147,'MOA role matrix'!$B$1:$D$1,0))="Auto","Board member 2 (auto), ","")IF(INDEX('MOA role matrix'!$B$2:$D$13,7,MATCH($B147,'MOA role matrix'!$B$1:$D$1,0))="Fill","LOA holder 1, ","")IF(INDEX('MOA role matrix'!$B$2:$D$13,7,MATCH($B147,'MOA role matrix'!$B$1:$D$1,0))="If finance","LOA holder 1 (if finance), ","")IF(INDEX('MOA role matrix'!$B$2:$D$13,7,MATCH($B147,'MOA role matrix'!$B$1:$D$1,0))="Auto","LOA holder 1 (auto), ","")IF(INDEX('MOA role matrix'!$B$2:$D$13,8,MATCH($B147,'MOA role matrix'!$B$1:$D$1,0))="Fill","LOA holder 2, ","")IF(INDEX('MOA role matrix'!$B$2:$D$13,8,MATCH($B147,'MOA role matrix'!$B$1:$D$1,0))="If finance","LOA holder 2 (if finance), ","")IF(INDEX('MOA role matrix'!$B$2:$D$13,8,MATCH($B147,'MOA role matrix'!$B$1:$D$1,0))="Auto","LOA holder 2 (auto), ","")IF(INDEX('MOA role matrix'!$B$2:$D$13,9,MATCH($B147,'MOA role matrix'!$B$1:$D$1,0))="Fill","Senior Manager CoSec, ","")IF(INDEX('MOA role matrix'!$B$2:$D$13,9,MATCH($B147,'MOA role matrix'!$B$1:$D$1,0))="If finance","Senior Manager CoSec (if finance), ","")IF(INDEX('MOA role matrix'!$B$2:$D$13,9,MATCH($B147,'MOA role matrix'!$B$1:$D$1,0))="Auto","Senior Manager CoSec (auto), ","")IF(INDEX('MOA role matrix'!$B$2:$D$13,10,MATCH($B147,'MOA role matrix'!$B$1:$D$1,0))="Fill","Division MOI managers, ","")IF(INDEX('MOA role matrix'!$B$2:$D$13,10,MATCH($B147,'MOA role matrix'!$B$1:$D$1,0))="If finance","Division MOI managers (if finance), ","")IF(INDEX('MOA role matrix'!$B$2:$D$13,10,MATCH($B147,'MOA role matrix'!$B$1:$D$1,0))="Auto","Division MOI managers (auto), ","")IF(INDEX('MOA role matrix'!$B$2:$D$13,11,MATCH($B147,'MOA role matrix'!$B$1:$D$1,0))="Fill","Ms Teh (bank), ","")IF(INDEX('MOA role matrix'!$B$2:$D$13,11,MATCH($B147,'MOA role matrix'!$B$1:$D$1,0))="If finance","Ms Teh (bank) (if finance), ","")IF(INDEX('MOA role matrix'!$B$2:$D$13,11,MATCH($B147,'MOA role matrix'!$B$1:$D$1,0))="Auto","Ms Teh (bank) (auto), ","")IF(INDEX('MOA role matrix'!$B$2:$D$13,12,MATCH($B147,'MOA role matrix'!$B$1:$D$1,0))="Fill","DLCM, ","")IF(INDEX('MOA role matrix'!$B$2:$D$13,12,MATCH($B147,'MOA role matrix'!$B$1:$D$1,0))="If finance","DLCM (if finance), ","")IF(INDEX('MOA role matrix'!$B$2:$D$13,12,MATCH($B147,'MOA role matrix'!$B$1:$D$1,0))="Auto","DLCM (auto), ","")))</f>
        <v/>
      </c>
      <c r="D147" s="5">
        <f>IF($A147="","",IFERROR(INDEX(FILTER('Client contacts'!$B$2:$B$500,('Client contacts'!$A$2:$A$500=$A147)*('Client contacts'!$H$2:$H$500="Y"),""),1),""))</f>
        <v/>
      </c>
      <c r="E147" s="5">
        <f>IF($A147="","",IFERROR(INDEX(FILTER('Client contacts'!$C$2:$C$500,('Client contacts'!$A$2:$A$500=$A147)*('Client contacts'!$H$2:$H$500="Y"),""),1),""))</f>
        <v/>
      </c>
      <c r="F147" s="5">
        <f>IF($A147="","",IFERROR(INDEX(FILTER('Client contacts'!$B$2:$B$500,('Client contacts'!$A$2:$A$500=$A147)*('Client contacts'!$G$2:$G$500="Y"),""),1),""))</f>
        <v/>
      </c>
      <c r="G147" s="5">
        <f>IF($A147="","",IFERROR(INDEX(FILTER('Client contacts'!$C$2:$C$500,('Client contacts'!$A$2:$A$500=$A147)*('Client contacts'!$G$2:$G$500="Y"),""),1),""))</f>
        <v/>
      </c>
      <c r="H147" s="5">
        <f>IF($A147="","",IFERROR(INDEX(FILTER('Client contacts'!$B$2:$B$500,('Client contacts'!$A$2:$A$500=$A147)*('Client contacts'!$G$2:$G$500="Y"),""),2),""))</f>
        <v/>
      </c>
      <c r="I147" s="5">
        <f>IF($A147="","",IFERROR(INDEX(FILTER('Client contacts'!$C$2:$C$500,('Client contacts'!$A$2:$A$500=$A147)*('Client contacts'!$G$2:$G$500="Y"),""),2),""))</f>
        <v/>
      </c>
      <c r="J147" s="8" t="n"/>
      <c r="K147" s="8" t="n"/>
      <c r="L147" s="8" t="n"/>
      <c r="M147" s="8" t="n"/>
      <c r="N147" s="8" t="n"/>
      <c r="O147" s="8" t="n"/>
      <c r="P147" s="8" t="n"/>
      <c r="Q147" s="8" t="n"/>
      <c r="R147" s="5">
        <f>IF($A147="","",IFERROR(INDEX(Companies!$I$2:$I$500,MATCH($A147,Companies!$A$2:$A$500,0)),""))</f>
        <v/>
      </c>
      <c r="S147" s="8" t="n"/>
      <c r="T147" s="8" t="n"/>
      <c r="U147" s="8" t="n"/>
      <c r="V147" s="8" t="n"/>
      <c r="W147" s="8" t="n"/>
    </row>
    <row r="148">
      <c r="C148" s="5">
        <f>IF($B148="","",TRIM(IF(INDEX('MOA role matrix'!$B$2:$D$13,1,MATCH($B148,'MOA role matrix'!$B$1:$D$1,0))="Fill","Project initiator, ","")IF(INDEX('MOA role matrix'!$B$2:$D$13,1,MATCH($B148,'MOA role matrix'!$B$1:$D$1,0))="If finance","Project initiator (if finance), ","")IF(INDEX('MOA role matrix'!$B$2:$D$13,1,MATCH($B148,'MOA role matrix'!$B$1:$D$1,0))="Auto","Project initiator (auto), ","")IF(INDEX('MOA role matrix'!$B$2:$D$13,2,MATCH($B148,'MOA role matrix'!$B$1:$D$1,0))="Fill","MOA signers (client), ","")IF(INDEX('MOA role matrix'!$B$2:$D$13,2,MATCH($B148,'MOA role matrix'!$B$1:$D$1,0))="If finance","MOA signers (client) (if finance), ","")IF(INDEX('MOA role matrix'!$B$2:$D$13,2,MATCH($B148,'MOA role matrix'!$B$1:$D$1,0))="Auto","MOA signers (client) (auto), ","")IF(INDEX('MOA role matrix'!$B$2:$D$13,3,MATCH($B148,'MOA role matrix'!$B$1:$D$1,0))="Fill","CFO / Head of Finance, ","")IF(INDEX('MOA role matrix'!$B$2:$D$13,3,MATCH($B148,'MOA role matrix'!$B$1:$D$1,0))="If finance","CFO / Head of Finance (if finance), ","")IF(INDEX('MOA role matrix'!$B$2:$D$13,3,MATCH($B148,'MOA role matrix'!$B$1:$D$1,0))="Auto","CFO / Head of Finance (auto), ","")IF(INDEX('MOA role matrix'!$B$2:$D$13,4,MATCH($B148,'MOA role matrix'!$B$1:$D$1,0))="Fill","CEO / COO / GM, ","")IF(INDEX('MOA role matrix'!$B$2:$D$13,4,MATCH($B148,'MOA role matrix'!$B$1:$D$1,0))="If finance","CEO / COO / GM (if finance), ","")IF(INDEX('MOA role matrix'!$B$2:$D$13,4,MATCH($B148,'MOA role matrix'!$B$1:$D$1,0))="Auto","CEO / COO / GM (auto), ","")IF(INDEX('MOA role matrix'!$B$2:$D$13,5,MATCH($B148,'MOA role matrix'!$B$1:$D$1,0))="Fill","Board member 1, ","")IF(INDEX('MOA role matrix'!$B$2:$D$13,5,MATCH($B148,'MOA role matrix'!$B$1:$D$1,0))="If finance","Board member 1 (if finance), ","")IF(INDEX('MOA role matrix'!$B$2:$D$13,5,MATCH($B148,'MOA role matrix'!$B$1:$D$1,0))="Auto","Board member 1 (auto), ","")IF(INDEX('MOA role matrix'!$B$2:$D$13,6,MATCH($B148,'MOA role matrix'!$B$1:$D$1,0))="Fill","Board member 2, ","")IF(INDEX('MOA role matrix'!$B$2:$D$13,6,MATCH($B148,'MOA role matrix'!$B$1:$D$1,0))="If finance","Board member 2 (if finance), ","")IF(INDEX('MOA role matrix'!$B$2:$D$13,6,MATCH($B148,'MOA role matrix'!$B$1:$D$1,0))="Auto","Board member 2 (auto), ","")IF(INDEX('MOA role matrix'!$B$2:$D$13,7,MATCH($B148,'MOA role matrix'!$B$1:$D$1,0))="Fill","LOA holder 1, ","")IF(INDEX('MOA role matrix'!$B$2:$D$13,7,MATCH($B148,'MOA role matrix'!$B$1:$D$1,0))="If finance","LOA holder 1 (if finance), ","")IF(INDEX('MOA role matrix'!$B$2:$D$13,7,MATCH($B148,'MOA role matrix'!$B$1:$D$1,0))="Auto","LOA holder 1 (auto), ","")IF(INDEX('MOA role matrix'!$B$2:$D$13,8,MATCH($B148,'MOA role matrix'!$B$1:$D$1,0))="Fill","LOA holder 2, ","")IF(INDEX('MOA role matrix'!$B$2:$D$13,8,MATCH($B148,'MOA role matrix'!$B$1:$D$1,0))="If finance","LOA holder 2 (if finance), ","")IF(INDEX('MOA role matrix'!$B$2:$D$13,8,MATCH($B148,'MOA role matrix'!$B$1:$D$1,0))="Auto","LOA holder 2 (auto), ","")IF(INDEX('MOA role matrix'!$B$2:$D$13,9,MATCH($B148,'MOA role matrix'!$B$1:$D$1,0))="Fill","Senior Manager CoSec, ","")IF(INDEX('MOA role matrix'!$B$2:$D$13,9,MATCH($B148,'MOA role matrix'!$B$1:$D$1,0))="If finance","Senior Manager CoSec (if finance), ","")IF(INDEX('MOA role matrix'!$B$2:$D$13,9,MATCH($B148,'MOA role matrix'!$B$1:$D$1,0))="Auto","Senior Manager CoSec (auto), ","")IF(INDEX('MOA role matrix'!$B$2:$D$13,10,MATCH($B148,'MOA role matrix'!$B$1:$D$1,0))="Fill","Division MOI managers, ","")IF(INDEX('MOA role matrix'!$B$2:$D$13,10,MATCH($B148,'MOA role matrix'!$B$1:$D$1,0))="If finance","Division MOI managers (if finance), ","")IF(INDEX('MOA role matrix'!$B$2:$D$13,10,MATCH($B148,'MOA role matrix'!$B$1:$D$1,0))="Auto","Division MOI managers (auto), ","")IF(INDEX('MOA role matrix'!$B$2:$D$13,11,MATCH($B148,'MOA role matrix'!$B$1:$D$1,0))="Fill","Ms Teh (bank), ","")IF(INDEX('MOA role matrix'!$B$2:$D$13,11,MATCH($B148,'MOA role matrix'!$B$1:$D$1,0))="If finance","Ms Teh (bank) (if finance), ","")IF(INDEX('MOA role matrix'!$B$2:$D$13,11,MATCH($B148,'MOA role matrix'!$B$1:$D$1,0))="Auto","Ms Teh (bank) (auto), ","")IF(INDEX('MOA role matrix'!$B$2:$D$13,12,MATCH($B148,'MOA role matrix'!$B$1:$D$1,0))="Fill","DLCM, ","")IF(INDEX('MOA role matrix'!$B$2:$D$13,12,MATCH($B148,'MOA role matrix'!$B$1:$D$1,0))="If finance","DLCM (if finance), ","")IF(INDEX('MOA role matrix'!$B$2:$D$13,12,MATCH($B148,'MOA role matrix'!$B$1:$D$1,0))="Auto","DLCM (auto), ","")))</f>
        <v/>
      </c>
      <c r="D148" s="5">
        <f>IF($A148="","",IFERROR(INDEX(FILTER('Client contacts'!$B$2:$B$500,('Client contacts'!$A$2:$A$500=$A148)*('Client contacts'!$H$2:$H$500="Y"),""),1),""))</f>
        <v/>
      </c>
      <c r="E148" s="5">
        <f>IF($A148="","",IFERROR(INDEX(FILTER('Client contacts'!$C$2:$C$500,('Client contacts'!$A$2:$A$500=$A148)*('Client contacts'!$H$2:$H$500="Y"),""),1),""))</f>
        <v/>
      </c>
      <c r="F148" s="5">
        <f>IF($A148="","",IFERROR(INDEX(FILTER('Client contacts'!$B$2:$B$500,('Client contacts'!$A$2:$A$500=$A148)*('Client contacts'!$G$2:$G$500="Y"),""),1),""))</f>
        <v/>
      </c>
      <c r="G148" s="5">
        <f>IF($A148="","",IFERROR(INDEX(FILTER('Client contacts'!$C$2:$C$500,('Client contacts'!$A$2:$A$500=$A148)*('Client contacts'!$G$2:$G$500="Y"),""),1),""))</f>
        <v/>
      </c>
      <c r="H148" s="5">
        <f>IF($A148="","",IFERROR(INDEX(FILTER('Client contacts'!$B$2:$B$500,('Client contacts'!$A$2:$A$500=$A148)*('Client contacts'!$G$2:$G$500="Y"),""),2),""))</f>
        <v/>
      </c>
      <c r="I148" s="5">
        <f>IF($A148="","",IFERROR(INDEX(FILTER('Client contacts'!$C$2:$C$500,('Client contacts'!$A$2:$A$500=$A148)*('Client contacts'!$G$2:$G$500="Y"),""),2),""))</f>
        <v/>
      </c>
      <c r="J148" s="8" t="n"/>
      <c r="K148" s="8" t="n"/>
      <c r="L148" s="8" t="n"/>
      <c r="M148" s="8" t="n"/>
      <c r="N148" s="8" t="n"/>
      <c r="O148" s="8" t="n"/>
      <c r="P148" s="8" t="n"/>
      <c r="Q148" s="8" t="n"/>
      <c r="R148" s="5">
        <f>IF($A148="","",IFERROR(INDEX(Companies!$I$2:$I$500,MATCH($A148,Companies!$A$2:$A$500,0)),""))</f>
        <v/>
      </c>
      <c r="S148" s="8" t="n"/>
      <c r="T148" s="8" t="n"/>
      <c r="U148" s="8" t="n"/>
      <c r="V148" s="8" t="n"/>
      <c r="W148" s="8" t="n"/>
    </row>
    <row r="149">
      <c r="C149" s="5">
        <f>IF($B149="","",TRIM(IF(INDEX('MOA role matrix'!$B$2:$D$13,1,MATCH($B149,'MOA role matrix'!$B$1:$D$1,0))="Fill","Project initiator, ","")IF(INDEX('MOA role matrix'!$B$2:$D$13,1,MATCH($B149,'MOA role matrix'!$B$1:$D$1,0))="If finance","Project initiator (if finance), ","")IF(INDEX('MOA role matrix'!$B$2:$D$13,1,MATCH($B149,'MOA role matrix'!$B$1:$D$1,0))="Auto","Project initiator (auto), ","")IF(INDEX('MOA role matrix'!$B$2:$D$13,2,MATCH($B149,'MOA role matrix'!$B$1:$D$1,0))="Fill","MOA signers (client), ","")IF(INDEX('MOA role matrix'!$B$2:$D$13,2,MATCH($B149,'MOA role matrix'!$B$1:$D$1,0))="If finance","MOA signers (client) (if finance), ","")IF(INDEX('MOA role matrix'!$B$2:$D$13,2,MATCH($B149,'MOA role matrix'!$B$1:$D$1,0))="Auto","MOA signers (client) (auto), ","")IF(INDEX('MOA role matrix'!$B$2:$D$13,3,MATCH($B149,'MOA role matrix'!$B$1:$D$1,0))="Fill","CFO / Head of Finance, ","")IF(INDEX('MOA role matrix'!$B$2:$D$13,3,MATCH($B149,'MOA role matrix'!$B$1:$D$1,0))="If finance","CFO / Head of Finance (if finance), ","")IF(INDEX('MOA role matrix'!$B$2:$D$13,3,MATCH($B149,'MOA role matrix'!$B$1:$D$1,0))="Auto","CFO / Head of Finance (auto), ","")IF(INDEX('MOA role matrix'!$B$2:$D$13,4,MATCH($B149,'MOA role matrix'!$B$1:$D$1,0))="Fill","CEO / COO / GM, ","")IF(INDEX('MOA role matrix'!$B$2:$D$13,4,MATCH($B149,'MOA role matrix'!$B$1:$D$1,0))="If finance","CEO / COO / GM (if finance), ","")IF(INDEX('MOA role matrix'!$B$2:$D$13,4,MATCH($B149,'MOA role matrix'!$B$1:$D$1,0))="Auto","CEO / COO / GM (auto), ","")IF(INDEX('MOA role matrix'!$B$2:$D$13,5,MATCH($B149,'MOA role matrix'!$B$1:$D$1,0))="Fill","Board member 1, ","")IF(INDEX('MOA role matrix'!$B$2:$D$13,5,MATCH($B149,'MOA role matrix'!$B$1:$D$1,0))="If finance","Board member 1 (if finance), ","")IF(INDEX('MOA role matrix'!$B$2:$D$13,5,MATCH($B149,'MOA role matrix'!$B$1:$D$1,0))="Auto","Board member 1 (auto), ","")IF(INDEX('MOA role matrix'!$B$2:$D$13,6,MATCH($B149,'MOA role matrix'!$B$1:$D$1,0))="Fill","Board member 2, ","")IF(INDEX('MOA role matrix'!$B$2:$D$13,6,MATCH($B149,'MOA role matrix'!$B$1:$D$1,0))="If finance","Board member 2 (if finance), ","")IF(INDEX('MOA role matrix'!$B$2:$D$13,6,MATCH($B149,'MOA role matrix'!$B$1:$D$1,0))="Auto","Board member 2 (auto), ","")IF(INDEX('MOA role matrix'!$B$2:$D$13,7,MATCH($B149,'MOA role matrix'!$B$1:$D$1,0))="Fill","LOA holder 1, ","")IF(INDEX('MOA role matrix'!$B$2:$D$13,7,MATCH($B149,'MOA role matrix'!$B$1:$D$1,0))="If finance","LOA holder 1 (if finance), ","")IF(INDEX('MOA role matrix'!$B$2:$D$13,7,MATCH($B149,'MOA role matrix'!$B$1:$D$1,0))="Auto","LOA holder 1 (auto), ","")IF(INDEX('MOA role matrix'!$B$2:$D$13,8,MATCH($B149,'MOA role matrix'!$B$1:$D$1,0))="Fill","LOA holder 2, ","")IF(INDEX('MOA role matrix'!$B$2:$D$13,8,MATCH($B149,'MOA role matrix'!$B$1:$D$1,0))="If finance","LOA holder 2 (if finance), ","")IF(INDEX('MOA role matrix'!$B$2:$D$13,8,MATCH($B149,'MOA role matrix'!$B$1:$D$1,0))="Auto","LOA holder 2 (auto), ","")IF(INDEX('MOA role matrix'!$B$2:$D$13,9,MATCH($B149,'MOA role matrix'!$B$1:$D$1,0))="Fill","Senior Manager CoSec, ","")IF(INDEX('MOA role matrix'!$B$2:$D$13,9,MATCH($B149,'MOA role matrix'!$B$1:$D$1,0))="If finance","Senior Manager CoSec (if finance), ","")IF(INDEX('MOA role matrix'!$B$2:$D$13,9,MATCH($B149,'MOA role matrix'!$B$1:$D$1,0))="Auto","Senior Manager CoSec (auto), ","")IF(INDEX('MOA role matrix'!$B$2:$D$13,10,MATCH($B149,'MOA role matrix'!$B$1:$D$1,0))="Fill","Division MOI managers, ","")IF(INDEX('MOA role matrix'!$B$2:$D$13,10,MATCH($B149,'MOA role matrix'!$B$1:$D$1,0))="If finance","Division MOI managers (if finance), ","")IF(INDEX('MOA role matrix'!$B$2:$D$13,10,MATCH($B149,'MOA role matrix'!$B$1:$D$1,0))="Auto","Division MOI managers (auto), ","")IF(INDEX('MOA role matrix'!$B$2:$D$13,11,MATCH($B149,'MOA role matrix'!$B$1:$D$1,0))="Fill","Ms Teh (bank), ","")IF(INDEX('MOA role matrix'!$B$2:$D$13,11,MATCH($B149,'MOA role matrix'!$B$1:$D$1,0))="If finance","Ms Teh (bank) (if finance), ","")IF(INDEX('MOA role matrix'!$B$2:$D$13,11,MATCH($B149,'MOA role matrix'!$B$1:$D$1,0))="Auto","Ms Teh (bank) (auto), ","")IF(INDEX('MOA role matrix'!$B$2:$D$13,12,MATCH($B149,'MOA role matrix'!$B$1:$D$1,0))="Fill","DLCM, ","")IF(INDEX('MOA role matrix'!$B$2:$D$13,12,MATCH($B149,'MOA role matrix'!$B$1:$D$1,0))="If finance","DLCM (if finance), ","")IF(INDEX('MOA role matrix'!$B$2:$D$13,12,MATCH($B149,'MOA role matrix'!$B$1:$D$1,0))="Auto","DLCM (auto), ","")))</f>
        <v/>
      </c>
      <c r="D149" s="5">
        <f>IF($A149="","",IFERROR(INDEX(FILTER('Client contacts'!$B$2:$B$500,('Client contacts'!$A$2:$A$500=$A149)*('Client contacts'!$H$2:$H$500="Y"),""),1),""))</f>
        <v/>
      </c>
      <c r="E149" s="5">
        <f>IF($A149="","",IFERROR(INDEX(FILTER('Client contacts'!$C$2:$C$500,('Client contacts'!$A$2:$A$500=$A149)*('Client contacts'!$H$2:$H$500="Y"),""),1),""))</f>
        <v/>
      </c>
      <c r="F149" s="5">
        <f>IF($A149="","",IFERROR(INDEX(FILTER('Client contacts'!$B$2:$B$500,('Client contacts'!$A$2:$A$500=$A149)*('Client contacts'!$G$2:$G$500="Y"),""),1),""))</f>
        <v/>
      </c>
      <c r="G149" s="5">
        <f>IF($A149="","",IFERROR(INDEX(FILTER('Client contacts'!$C$2:$C$500,('Client contacts'!$A$2:$A$500=$A149)*('Client contacts'!$G$2:$G$500="Y"),""),1),""))</f>
        <v/>
      </c>
      <c r="H149" s="5">
        <f>IF($A149="","",IFERROR(INDEX(FILTER('Client contacts'!$B$2:$B$500,('Client contacts'!$A$2:$A$500=$A149)*('Client contacts'!$G$2:$G$500="Y"),""),2),""))</f>
        <v/>
      </c>
      <c r="I149" s="5">
        <f>IF($A149="","",IFERROR(INDEX(FILTER('Client contacts'!$C$2:$C$500,('Client contacts'!$A$2:$A$500=$A149)*('Client contacts'!$G$2:$G$500="Y"),""),2),""))</f>
        <v/>
      </c>
      <c r="J149" s="8" t="n"/>
      <c r="K149" s="8" t="n"/>
      <c r="L149" s="8" t="n"/>
      <c r="M149" s="8" t="n"/>
      <c r="N149" s="8" t="n"/>
      <c r="O149" s="8" t="n"/>
      <c r="P149" s="8" t="n"/>
      <c r="Q149" s="8" t="n"/>
      <c r="R149" s="5">
        <f>IF($A149="","",IFERROR(INDEX(Companies!$I$2:$I$500,MATCH($A149,Companies!$A$2:$A$500,0)),""))</f>
        <v/>
      </c>
      <c r="S149" s="8" t="n"/>
      <c r="T149" s="8" t="n"/>
      <c r="U149" s="8" t="n"/>
      <c r="V149" s="8" t="n"/>
      <c r="W149" s="8" t="n"/>
    </row>
    <row r="150">
      <c r="C150" s="5">
        <f>IF($B150="","",TRIM(IF(INDEX('MOA role matrix'!$B$2:$D$13,1,MATCH($B150,'MOA role matrix'!$B$1:$D$1,0))="Fill","Project initiator, ","")IF(INDEX('MOA role matrix'!$B$2:$D$13,1,MATCH($B150,'MOA role matrix'!$B$1:$D$1,0))="If finance","Project initiator (if finance), ","")IF(INDEX('MOA role matrix'!$B$2:$D$13,1,MATCH($B150,'MOA role matrix'!$B$1:$D$1,0))="Auto","Project initiator (auto), ","")IF(INDEX('MOA role matrix'!$B$2:$D$13,2,MATCH($B150,'MOA role matrix'!$B$1:$D$1,0))="Fill","MOA signers (client), ","")IF(INDEX('MOA role matrix'!$B$2:$D$13,2,MATCH($B150,'MOA role matrix'!$B$1:$D$1,0))="If finance","MOA signers (client) (if finance), ","")IF(INDEX('MOA role matrix'!$B$2:$D$13,2,MATCH($B150,'MOA role matrix'!$B$1:$D$1,0))="Auto","MOA signers (client) (auto), ","")IF(INDEX('MOA role matrix'!$B$2:$D$13,3,MATCH($B150,'MOA role matrix'!$B$1:$D$1,0))="Fill","CFO / Head of Finance, ","")IF(INDEX('MOA role matrix'!$B$2:$D$13,3,MATCH($B150,'MOA role matrix'!$B$1:$D$1,0))="If finance","CFO / Head of Finance (if finance), ","")IF(INDEX('MOA role matrix'!$B$2:$D$13,3,MATCH($B150,'MOA role matrix'!$B$1:$D$1,0))="Auto","CFO / Head of Finance (auto), ","")IF(INDEX('MOA role matrix'!$B$2:$D$13,4,MATCH($B150,'MOA role matrix'!$B$1:$D$1,0))="Fill","CEO / COO / GM, ","")IF(INDEX('MOA role matrix'!$B$2:$D$13,4,MATCH($B150,'MOA role matrix'!$B$1:$D$1,0))="If finance","CEO / COO / GM (if finance), ","")IF(INDEX('MOA role matrix'!$B$2:$D$13,4,MATCH($B150,'MOA role matrix'!$B$1:$D$1,0))="Auto","CEO / COO / GM (auto), ","")IF(INDEX('MOA role matrix'!$B$2:$D$13,5,MATCH($B150,'MOA role matrix'!$B$1:$D$1,0))="Fill","Board member 1, ","")IF(INDEX('MOA role matrix'!$B$2:$D$13,5,MATCH($B150,'MOA role matrix'!$B$1:$D$1,0))="If finance","Board member 1 (if finance), ","")IF(INDEX('MOA role matrix'!$B$2:$D$13,5,MATCH($B150,'MOA role matrix'!$B$1:$D$1,0))="Auto","Board member 1 (auto), ","")IF(INDEX('MOA role matrix'!$B$2:$D$13,6,MATCH($B150,'MOA role matrix'!$B$1:$D$1,0))="Fill","Board member 2, ","")IF(INDEX('MOA role matrix'!$B$2:$D$13,6,MATCH($B150,'MOA role matrix'!$B$1:$D$1,0))="If finance","Board member 2 (if finance), ","")IF(INDEX('MOA role matrix'!$B$2:$D$13,6,MATCH($B150,'MOA role matrix'!$B$1:$D$1,0))="Auto","Board member 2 (auto), ","")IF(INDEX('MOA role matrix'!$B$2:$D$13,7,MATCH($B150,'MOA role matrix'!$B$1:$D$1,0))="Fill","LOA holder 1, ","")IF(INDEX('MOA role matrix'!$B$2:$D$13,7,MATCH($B150,'MOA role matrix'!$B$1:$D$1,0))="If finance","LOA holder 1 (if finance), ","")IF(INDEX('MOA role matrix'!$B$2:$D$13,7,MATCH($B150,'MOA role matrix'!$B$1:$D$1,0))="Auto","LOA holder 1 (auto), ","")IF(INDEX('MOA role matrix'!$B$2:$D$13,8,MATCH($B150,'MOA role matrix'!$B$1:$D$1,0))="Fill","LOA holder 2, ","")IF(INDEX('MOA role matrix'!$B$2:$D$13,8,MATCH($B150,'MOA role matrix'!$B$1:$D$1,0))="If finance","LOA holder 2 (if finance), ","")IF(INDEX('MOA role matrix'!$B$2:$D$13,8,MATCH($B150,'MOA role matrix'!$B$1:$D$1,0))="Auto","LOA holder 2 (auto), ","")IF(INDEX('MOA role matrix'!$B$2:$D$13,9,MATCH($B150,'MOA role matrix'!$B$1:$D$1,0))="Fill","Senior Manager CoSec, ","")IF(INDEX('MOA role matrix'!$B$2:$D$13,9,MATCH($B150,'MOA role matrix'!$B$1:$D$1,0))="If finance","Senior Manager CoSec (if finance), ","")IF(INDEX('MOA role matrix'!$B$2:$D$13,9,MATCH($B150,'MOA role matrix'!$B$1:$D$1,0))="Auto","Senior Manager CoSec (auto), ","")IF(INDEX('MOA role matrix'!$B$2:$D$13,10,MATCH($B150,'MOA role matrix'!$B$1:$D$1,0))="Fill","Division MOI managers, ","")IF(INDEX('MOA role matrix'!$B$2:$D$13,10,MATCH($B150,'MOA role matrix'!$B$1:$D$1,0))="If finance","Division MOI managers (if finance), ","")IF(INDEX('MOA role matrix'!$B$2:$D$13,10,MATCH($B150,'MOA role matrix'!$B$1:$D$1,0))="Auto","Division MOI managers (auto), ","")IF(INDEX('MOA role matrix'!$B$2:$D$13,11,MATCH($B150,'MOA role matrix'!$B$1:$D$1,0))="Fill","Ms Teh (bank), ","")IF(INDEX('MOA role matrix'!$B$2:$D$13,11,MATCH($B150,'MOA role matrix'!$B$1:$D$1,0))="If finance","Ms Teh (bank) (if finance), ","")IF(INDEX('MOA role matrix'!$B$2:$D$13,11,MATCH($B150,'MOA role matrix'!$B$1:$D$1,0))="Auto","Ms Teh (bank) (auto), ","")IF(INDEX('MOA role matrix'!$B$2:$D$13,12,MATCH($B150,'MOA role matrix'!$B$1:$D$1,0))="Fill","DLCM, ","")IF(INDEX('MOA role matrix'!$B$2:$D$13,12,MATCH($B150,'MOA role matrix'!$B$1:$D$1,0))="If finance","DLCM (if finance), ","")IF(INDEX('MOA role matrix'!$B$2:$D$13,12,MATCH($B150,'MOA role matrix'!$B$1:$D$1,0))="Auto","DLCM (auto), ","")))</f>
        <v/>
      </c>
      <c r="D150" s="5">
        <f>IF($A150="","",IFERROR(INDEX(FILTER('Client contacts'!$B$2:$B$500,('Client contacts'!$A$2:$A$500=$A150)*('Client contacts'!$H$2:$H$500="Y"),""),1),""))</f>
        <v/>
      </c>
      <c r="E150" s="5">
        <f>IF($A150="","",IFERROR(INDEX(FILTER('Client contacts'!$C$2:$C$500,('Client contacts'!$A$2:$A$500=$A150)*('Client contacts'!$H$2:$H$500="Y"),""),1),""))</f>
        <v/>
      </c>
      <c r="F150" s="5">
        <f>IF($A150="","",IFERROR(INDEX(FILTER('Client contacts'!$B$2:$B$500,('Client contacts'!$A$2:$A$500=$A150)*('Client contacts'!$G$2:$G$500="Y"),""),1),""))</f>
        <v/>
      </c>
      <c r="G150" s="5">
        <f>IF($A150="","",IFERROR(INDEX(FILTER('Client contacts'!$C$2:$C$500,('Client contacts'!$A$2:$A$500=$A150)*('Client contacts'!$G$2:$G$500="Y"),""),1),""))</f>
        <v/>
      </c>
      <c r="H150" s="5">
        <f>IF($A150="","",IFERROR(INDEX(FILTER('Client contacts'!$B$2:$B$500,('Client contacts'!$A$2:$A$500=$A150)*('Client contacts'!$G$2:$G$500="Y"),""),2),""))</f>
        <v/>
      </c>
      <c r="I150" s="5">
        <f>IF($A150="","",IFERROR(INDEX(FILTER('Client contacts'!$C$2:$C$500,('Client contacts'!$A$2:$A$500=$A150)*('Client contacts'!$G$2:$G$500="Y"),""),2),""))</f>
        <v/>
      </c>
      <c r="J150" s="8" t="n"/>
      <c r="K150" s="8" t="n"/>
      <c r="L150" s="8" t="n"/>
      <c r="M150" s="8" t="n"/>
      <c r="N150" s="8" t="n"/>
      <c r="O150" s="8" t="n"/>
      <c r="P150" s="8" t="n"/>
      <c r="Q150" s="8" t="n"/>
      <c r="R150" s="5">
        <f>IF($A150="","",IFERROR(INDEX(Companies!$I$2:$I$500,MATCH($A150,Companies!$A$2:$A$500,0)),""))</f>
        <v/>
      </c>
      <c r="S150" s="8" t="n"/>
      <c r="T150" s="8" t="n"/>
      <c r="U150" s="8" t="n"/>
      <c r="V150" s="8" t="n"/>
      <c r="W150" s="8" t="n"/>
    </row>
    <row r="151">
      <c r="C151" s="5">
        <f>IF($B151="","",TRIM(IF(INDEX('MOA role matrix'!$B$2:$D$13,1,MATCH($B151,'MOA role matrix'!$B$1:$D$1,0))="Fill","Project initiator, ","")IF(INDEX('MOA role matrix'!$B$2:$D$13,1,MATCH($B151,'MOA role matrix'!$B$1:$D$1,0))="If finance","Project initiator (if finance), ","")IF(INDEX('MOA role matrix'!$B$2:$D$13,1,MATCH($B151,'MOA role matrix'!$B$1:$D$1,0))="Auto","Project initiator (auto), ","")IF(INDEX('MOA role matrix'!$B$2:$D$13,2,MATCH($B151,'MOA role matrix'!$B$1:$D$1,0))="Fill","MOA signers (client), ","")IF(INDEX('MOA role matrix'!$B$2:$D$13,2,MATCH($B151,'MOA role matrix'!$B$1:$D$1,0))="If finance","MOA signers (client) (if finance), ","")IF(INDEX('MOA role matrix'!$B$2:$D$13,2,MATCH($B151,'MOA role matrix'!$B$1:$D$1,0))="Auto","MOA signers (client) (auto), ","")IF(INDEX('MOA role matrix'!$B$2:$D$13,3,MATCH($B151,'MOA role matrix'!$B$1:$D$1,0))="Fill","CFO / Head of Finance, ","")IF(INDEX('MOA role matrix'!$B$2:$D$13,3,MATCH($B151,'MOA role matrix'!$B$1:$D$1,0))="If finance","CFO / Head of Finance (if finance), ","")IF(INDEX('MOA role matrix'!$B$2:$D$13,3,MATCH($B151,'MOA role matrix'!$B$1:$D$1,0))="Auto","CFO / Head of Finance (auto), ","")IF(INDEX('MOA role matrix'!$B$2:$D$13,4,MATCH($B151,'MOA role matrix'!$B$1:$D$1,0))="Fill","CEO / COO / GM, ","")IF(INDEX('MOA role matrix'!$B$2:$D$13,4,MATCH($B151,'MOA role matrix'!$B$1:$D$1,0))="If finance","CEO / COO / GM (if finance), ","")IF(INDEX('MOA role matrix'!$B$2:$D$13,4,MATCH($B151,'MOA role matrix'!$B$1:$D$1,0))="Auto","CEO / COO / GM (auto), ","")IF(INDEX('MOA role matrix'!$B$2:$D$13,5,MATCH($B151,'MOA role matrix'!$B$1:$D$1,0))="Fill","Board member 1, ","")IF(INDEX('MOA role matrix'!$B$2:$D$13,5,MATCH($B151,'MOA role matrix'!$B$1:$D$1,0))="If finance","Board member 1 (if finance), ","")IF(INDEX('MOA role matrix'!$B$2:$D$13,5,MATCH($B151,'MOA role matrix'!$B$1:$D$1,0))="Auto","Board member 1 (auto), ","")IF(INDEX('MOA role matrix'!$B$2:$D$13,6,MATCH($B151,'MOA role matrix'!$B$1:$D$1,0))="Fill","Board member 2, ","")IF(INDEX('MOA role matrix'!$B$2:$D$13,6,MATCH($B151,'MOA role matrix'!$B$1:$D$1,0))="If finance","Board member 2 (if finance), ","")IF(INDEX('MOA role matrix'!$B$2:$D$13,6,MATCH($B151,'MOA role matrix'!$B$1:$D$1,0))="Auto","Board member 2 (auto), ","")IF(INDEX('MOA role matrix'!$B$2:$D$13,7,MATCH($B151,'MOA role matrix'!$B$1:$D$1,0))="Fill","LOA holder 1, ","")IF(INDEX('MOA role matrix'!$B$2:$D$13,7,MATCH($B151,'MOA role matrix'!$B$1:$D$1,0))="If finance","LOA holder 1 (if finance), ","")IF(INDEX('MOA role matrix'!$B$2:$D$13,7,MATCH($B151,'MOA role matrix'!$B$1:$D$1,0))="Auto","LOA holder 1 (auto), ","")IF(INDEX('MOA role matrix'!$B$2:$D$13,8,MATCH($B151,'MOA role matrix'!$B$1:$D$1,0))="Fill","LOA holder 2, ","")IF(INDEX('MOA role matrix'!$B$2:$D$13,8,MATCH($B151,'MOA role matrix'!$B$1:$D$1,0))="If finance","LOA holder 2 (if finance), ","")IF(INDEX('MOA role matrix'!$B$2:$D$13,8,MATCH($B151,'MOA role matrix'!$B$1:$D$1,0))="Auto","LOA holder 2 (auto), ","")IF(INDEX('MOA role matrix'!$B$2:$D$13,9,MATCH($B151,'MOA role matrix'!$B$1:$D$1,0))="Fill","Senior Manager CoSec, ","")IF(INDEX('MOA role matrix'!$B$2:$D$13,9,MATCH($B151,'MOA role matrix'!$B$1:$D$1,0))="If finance","Senior Manager CoSec (if finance), ","")IF(INDEX('MOA role matrix'!$B$2:$D$13,9,MATCH($B151,'MOA role matrix'!$B$1:$D$1,0))="Auto","Senior Manager CoSec (auto), ","")IF(INDEX('MOA role matrix'!$B$2:$D$13,10,MATCH($B151,'MOA role matrix'!$B$1:$D$1,0))="Fill","Division MOI managers, ","")IF(INDEX('MOA role matrix'!$B$2:$D$13,10,MATCH($B151,'MOA role matrix'!$B$1:$D$1,0))="If finance","Division MOI managers (if finance), ","")IF(INDEX('MOA role matrix'!$B$2:$D$13,10,MATCH($B151,'MOA role matrix'!$B$1:$D$1,0))="Auto","Division MOI managers (auto), ","")IF(INDEX('MOA role matrix'!$B$2:$D$13,11,MATCH($B151,'MOA role matrix'!$B$1:$D$1,0))="Fill","Ms Teh (bank), ","")IF(INDEX('MOA role matrix'!$B$2:$D$13,11,MATCH($B151,'MOA role matrix'!$B$1:$D$1,0))="If finance","Ms Teh (bank) (if finance), ","")IF(INDEX('MOA role matrix'!$B$2:$D$13,11,MATCH($B151,'MOA role matrix'!$B$1:$D$1,0))="Auto","Ms Teh (bank) (auto), ","")IF(INDEX('MOA role matrix'!$B$2:$D$13,12,MATCH($B151,'MOA role matrix'!$B$1:$D$1,0))="Fill","DLCM, ","")IF(INDEX('MOA role matrix'!$B$2:$D$13,12,MATCH($B151,'MOA role matrix'!$B$1:$D$1,0))="If finance","DLCM (if finance), ","")IF(INDEX('MOA role matrix'!$B$2:$D$13,12,MATCH($B151,'MOA role matrix'!$B$1:$D$1,0))="Auto","DLCM (auto), ","")))</f>
        <v/>
      </c>
      <c r="D151" s="5">
        <f>IF($A151="","",IFERROR(INDEX(FILTER('Client contacts'!$B$2:$B$500,('Client contacts'!$A$2:$A$500=$A151)*('Client contacts'!$H$2:$H$500="Y"),""),1),""))</f>
        <v/>
      </c>
      <c r="E151" s="5">
        <f>IF($A151="","",IFERROR(INDEX(FILTER('Client contacts'!$C$2:$C$500,('Client contacts'!$A$2:$A$500=$A151)*('Client contacts'!$H$2:$H$500="Y"),""),1),""))</f>
        <v/>
      </c>
      <c r="F151" s="5">
        <f>IF($A151="","",IFERROR(INDEX(FILTER('Client contacts'!$B$2:$B$500,('Client contacts'!$A$2:$A$500=$A151)*('Client contacts'!$G$2:$G$500="Y"),""),1),""))</f>
        <v/>
      </c>
      <c r="G151" s="5">
        <f>IF($A151="","",IFERROR(INDEX(FILTER('Client contacts'!$C$2:$C$500,('Client contacts'!$A$2:$A$500=$A151)*('Client contacts'!$G$2:$G$500="Y"),""),1),""))</f>
        <v/>
      </c>
      <c r="H151" s="5">
        <f>IF($A151="","",IFERROR(INDEX(FILTER('Client contacts'!$B$2:$B$500,('Client contacts'!$A$2:$A$500=$A151)*('Client contacts'!$G$2:$G$500="Y"),""),2),""))</f>
        <v/>
      </c>
      <c r="I151" s="5">
        <f>IF($A151="","",IFERROR(INDEX(FILTER('Client contacts'!$C$2:$C$500,('Client contacts'!$A$2:$A$500=$A151)*('Client contacts'!$G$2:$G$500="Y"),""),2),""))</f>
        <v/>
      </c>
      <c r="J151" s="8" t="n"/>
      <c r="K151" s="8" t="n"/>
      <c r="L151" s="8" t="n"/>
      <c r="M151" s="8" t="n"/>
      <c r="N151" s="8" t="n"/>
      <c r="O151" s="8" t="n"/>
      <c r="P151" s="8" t="n"/>
      <c r="Q151" s="8" t="n"/>
      <c r="R151" s="5">
        <f>IF($A151="","",IFERROR(INDEX(Companies!$I$2:$I$500,MATCH($A151,Companies!$A$2:$A$500,0)),""))</f>
        <v/>
      </c>
      <c r="S151" s="8" t="n"/>
      <c r="T151" s="8" t="n"/>
      <c r="U151" s="8" t="n"/>
      <c r="V151" s="8" t="n"/>
      <c r="W151" s="8" t="n"/>
    </row>
    <row r="152">
      <c r="C152" s="5">
        <f>IF($B152="","",TRIM(IF(INDEX('MOA role matrix'!$B$2:$D$13,1,MATCH($B152,'MOA role matrix'!$B$1:$D$1,0))="Fill","Project initiator, ","")IF(INDEX('MOA role matrix'!$B$2:$D$13,1,MATCH($B152,'MOA role matrix'!$B$1:$D$1,0))="If finance","Project initiator (if finance), ","")IF(INDEX('MOA role matrix'!$B$2:$D$13,1,MATCH($B152,'MOA role matrix'!$B$1:$D$1,0))="Auto","Project initiator (auto), ","")IF(INDEX('MOA role matrix'!$B$2:$D$13,2,MATCH($B152,'MOA role matrix'!$B$1:$D$1,0))="Fill","MOA signers (client), ","")IF(INDEX('MOA role matrix'!$B$2:$D$13,2,MATCH($B152,'MOA role matrix'!$B$1:$D$1,0))="If finance","MOA signers (client) (if finance), ","")IF(INDEX('MOA role matrix'!$B$2:$D$13,2,MATCH($B152,'MOA role matrix'!$B$1:$D$1,0))="Auto","MOA signers (client) (auto), ","")IF(INDEX('MOA role matrix'!$B$2:$D$13,3,MATCH($B152,'MOA role matrix'!$B$1:$D$1,0))="Fill","CFO / Head of Finance, ","")IF(INDEX('MOA role matrix'!$B$2:$D$13,3,MATCH($B152,'MOA role matrix'!$B$1:$D$1,0))="If finance","CFO / Head of Finance (if finance), ","")IF(INDEX('MOA role matrix'!$B$2:$D$13,3,MATCH($B152,'MOA role matrix'!$B$1:$D$1,0))="Auto","CFO / Head of Finance (auto), ","")IF(INDEX('MOA role matrix'!$B$2:$D$13,4,MATCH($B152,'MOA role matrix'!$B$1:$D$1,0))="Fill","CEO / COO / GM, ","")IF(INDEX('MOA role matrix'!$B$2:$D$13,4,MATCH($B152,'MOA role matrix'!$B$1:$D$1,0))="If finance","CEO / COO / GM (if finance), ","")IF(INDEX('MOA role matrix'!$B$2:$D$13,4,MATCH($B152,'MOA role matrix'!$B$1:$D$1,0))="Auto","CEO / COO / GM (auto), ","")IF(INDEX('MOA role matrix'!$B$2:$D$13,5,MATCH($B152,'MOA role matrix'!$B$1:$D$1,0))="Fill","Board member 1, ","")IF(INDEX('MOA role matrix'!$B$2:$D$13,5,MATCH($B152,'MOA role matrix'!$B$1:$D$1,0))="If finance","Board member 1 (if finance), ","")IF(INDEX('MOA role matrix'!$B$2:$D$13,5,MATCH($B152,'MOA role matrix'!$B$1:$D$1,0))="Auto","Board member 1 (auto), ","")IF(INDEX('MOA role matrix'!$B$2:$D$13,6,MATCH($B152,'MOA role matrix'!$B$1:$D$1,0))="Fill","Board member 2, ","")IF(INDEX('MOA role matrix'!$B$2:$D$13,6,MATCH($B152,'MOA role matrix'!$B$1:$D$1,0))="If finance","Board member 2 (if finance), ","")IF(INDEX('MOA role matrix'!$B$2:$D$13,6,MATCH($B152,'MOA role matrix'!$B$1:$D$1,0))="Auto","Board member 2 (auto), ","")IF(INDEX('MOA role matrix'!$B$2:$D$13,7,MATCH($B152,'MOA role matrix'!$B$1:$D$1,0))="Fill","LOA holder 1, ","")IF(INDEX('MOA role matrix'!$B$2:$D$13,7,MATCH($B152,'MOA role matrix'!$B$1:$D$1,0))="If finance","LOA holder 1 (if finance), ","")IF(INDEX('MOA role matrix'!$B$2:$D$13,7,MATCH($B152,'MOA role matrix'!$B$1:$D$1,0))="Auto","LOA holder 1 (auto), ","")IF(INDEX('MOA role matrix'!$B$2:$D$13,8,MATCH($B152,'MOA role matrix'!$B$1:$D$1,0))="Fill","LOA holder 2, ","")IF(INDEX('MOA role matrix'!$B$2:$D$13,8,MATCH($B152,'MOA role matrix'!$B$1:$D$1,0))="If finance","LOA holder 2 (if finance), ","")IF(INDEX('MOA role matrix'!$B$2:$D$13,8,MATCH($B152,'MOA role matrix'!$B$1:$D$1,0))="Auto","LOA holder 2 (auto), ","")IF(INDEX('MOA role matrix'!$B$2:$D$13,9,MATCH($B152,'MOA role matrix'!$B$1:$D$1,0))="Fill","Senior Manager CoSec, ","")IF(INDEX('MOA role matrix'!$B$2:$D$13,9,MATCH($B152,'MOA role matrix'!$B$1:$D$1,0))="If finance","Senior Manager CoSec (if finance), ","")IF(INDEX('MOA role matrix'!$B$2:$D$13,9,MATCH($B152,'MOA role matrix'!$B$1:$D$1,0))="Auto","Senior Manager CoSec (auto), ","")IF(INDEX('MOA role matrix'!$B$2:$D$13,10,MATCH($B152,'MOA role matrix'!$B$1:$D$1,0))="Fill","Division MOI managers, ","")IF(INDEX('MOA role matrix'!$B$2:$D$13,10,MATCH($B152,'MOA role matrix'!$B$1:$D$1,0))="If finance","Division MOI managers (if finance), ","")IF(INDEX('MOA role matrix'!$B$2:$D$13,10,MATCH($B152,'MOA role matrix'!$B$1:$D$1,0))="Auto","Division MOI managers (auto), ","")IF(INDEX('MOA role matrix'!$B$2:$D$13,11,MATCH($B152,'MOA role matrix'!$B$1:$D$1,0))="Fill","Ms Teh (bank), ","")IF(INDEX('MOA role matrix'!$B$2:$D$13,11,MATCH($B152,'MOA role matrix'!$B$1:$D$1,0))="If finance","Ms Teh (bank) (if finance), ","")IF(INDEX('MOA role matrix'!$B$2:$D$13,11,MATCH($B152,'MOA role matrix'!$B$1:$D$1,0))="Auto","Ms Teh (bank) (auto), ","")IF(INDEX('MOA role matrix'!$B$2:$D$13,12,MATCH($B152,'MOA role matrix'!$B$1:$D$1,0))="Fill","DLCM, ","")IF(INDEX('MOA role matrix'!$B$2:$D$13,12,MATCH($B152,'MOA role matrix'!$B$1:$D$1,0))="If finance","DLCM (if finance), ","")IF(INDEX('MOA role matrix'!$B$2:$D$13,12,MATCH($B152,'MOA role matrix'!$B$1:$D$1,0))="Auto","DLCM (auto), ","")))</f>
        <v/>
      </c>
      <c r="D152" s="5">
        <f>IF($A152="","",IFERROR(INDEX(FILTER('Client contacts'!$B$2:$B$500,('Client contacts'!$A$2:$A$500=$A152)*('Client contacts'!$H$2:$H$500="Y"),""),1),""))</f>
        <v/>
      </c>
      <c r="E152" s="5">
        <f>IF($A152="","",IFERROR(INDEX(FILTER('Client contacts'!$C$2:$C$500,('Client contacts'!$A$2:$A$500=$A152)*('Client contacts'!$H$2:$H$500="Y"),""),1),""))</f>
        <v/>
      </c>
      <c r="F152" s="5">
        <f>IF($A152="","",IFERROR(INDEX(FILTER('Client contacts'!$B$2:$B$500,('Client contacts'!$A$2:$A$500=$A152)*('Client contacts'!$G$2:$G$500="Y"),""),1),""))</f>
        <v/>
      </c>
      <c r="G152" s="5">
        <f>IF($A152="","",IFERROR(INDEX(FILTER('Client contacts'!$C$2:$C$500,('Client contacts'!$A$2:$A$500=$A152)*('Client contacts'!$G$2:$G$500="Y"),""),1),""))</f>
        <v/>
      </c>
      <c r="H152" s="5">
        <f>IF($A152="","",IFERROR(INDEX(FILTER('Client contacts'!$B$2:$B$500,('Client contacts'!$A$2:$A$500=$A152)*('Client contacts'!$G$2:$G$500="Y"),""),2),""))</f>
        <v/>
      </c>
      <c r="I152" s="5">
        <f>IF($A152="","",IFERROR(INDEX(FILTER('Client contacts'!$C$2:$C$500,('Client contacts'!$A$2:$A$500=$A152)*('Client contacts'!$G$2:$G$500="Y"),""),2),""))</f>
        <v/>
      </c>
      <c r="J152" s="8" t="n"/>
      <c r="K152" s="8" t="n"/>
      <c r="L152" s="8" t="n"/>
      <c r="M152" s="8" t="n"/>
      <c r="N152" s="8" t="n"/>
      <c r="O152" s="8" t="n"/>
      <c r="P152" s="8" t="n"/>
      <c r="Q152" s="8" t="n"/>
      <c r="R152" s="5">
        <f>IF($A152="","",IFERROR(INDEX(Companies!$I$2:$I$500,MATCH($A152,Companies!$A$2:$A$500,0)),""))</f>
        <v/>
      </c>
      <c r="S152" s="8" t="n"/>
      <c r="T152" s="8" t="n"/>
      <c r="U152" s="8" t="n"/>
      <c r="V152" s="8" t="n"/>
      <c r="W152" s="8" t="n"/>
    </row>
    <row r="153">
      <c r="C153" s="5">
        <f>IF($B153="","",TRIM(IF(INDEX('MOA role matrix'!$B$2:$D$13,1,MATCH($B153,'MOA role matrix'!$B$1:$D$1,0))="Fill","Project initiator, ","")IF(INDEX('MOA role matrix'!$B$2:$D$13,1,MATCH($B153,'MOA role matrix'!$B$1:$D$1,0))="If finance","Project initiator (if finance), ","")IF(INDEX('MOA role matrix'!$B$2:$D$13,1,MATCH($B153,'MOA role matrix'!$B$1:$D$1,0))="Auto","Project initiator (auto), ","")IF(INDEX('MOA role matrix'!$B$2:$D$13,2,MATCH($B153,'MOA role matrix'!$B$1:$D$1,0))="Fill","MOA signers (client), ","")IF(INDEX('MOA role matrix'!$B$2:$D$13,2,MATCH($B153,'MOA role matrix'!$B$1:$D$1,0))="If finance","MOA signers (client) (if finance), ","")IF(INDEX('MOA role matrix'!$B$2:$D$13,2,MATCH($B153,'MOA role matrix'!$B$1:$D$1,0))="Auto","MOA signers (client) (auto), ","")IF(INDEX('MOA role matrix'!$B$2:$D$13,3,MATCH($B153,'MOA role matrix'!$B$1:$D$1,0))="Fill","CFO / Head of Finance, ","")IF(INDEX('MOA role matrix'!$B$2:$D$13,3,MATCH($B153,'MOA role matrix'!$B$1:$D$1,0))="If finance","CFO / Head of Finance (if finance), ","")IF(INDEX('MOA role matrix'!$B$2:$D$13,3,MATCH($B153,'MOA role matrix'!$B$1:$D$1,0))="Auto","CFO / Head of Finance (auto), ","")IF(INDEX('MOA role matrix'!$B$2:$D$13,4,MATCH($B153,'MOA role matrix'!$B$1:$D$1,0))="Fill","CEO / COO / GM, ","")IF(INDEX('MOA role matrix'!$B$2:$D$13,4,MATCH($B153,'MOA role matrix'!$B$1:$D$1,0))="If finance","CEO / COO / GM (if finance), ","")IF(INDEX('MOA role matrix'!$B$2:$D$13,4,MATCH($B153,'MOA role matrix'!$B$1:$D$1,0))="Auto","CEO / COO / GM (auto), ","")IF(INDEX('MOA role matrix'!$B$2:$D$13,5,MATCH($B153,'MOA role matrix'!$B$1:$D$1,0))="Fill","Board member 1, ","")IF(INDEX('MOA role matrix'!$B$2:$D$13,5,MATCH($B153,'MOA role matrix'!$B$1:$D$1,0))="If finance","Board member 1 (if finance), ","")IF(INDEX('MOA role matrix'!$B$2:$D$13,5,MATCH($B153,'MOA role matrix'!$B$1:$D$1,0))="Auto","Board member 1 (auto), ","")IF(INDEX('MOA role matrix'!$B$2:$D$13,6,MATCH($B153,'MOA role matrix'!$B$1:$D$1,0))="Fill","Board member 2, ","")IF(INDEX('MOA role matrix'!$B$2:$D$13,6,MATCH($B153,'MOA role matrix'!$B$1:$D$1,0))="If finance","Board member 2 (if finance), ","")IF(INDEX('MOA role matrix'!$B$2:$D$13,6,MATCH($B153,'MOA role matrix'!$B$1:$D$1,0))="Auto","Board member 2 (auto), ","")IF(INDEX('MOA role matrix'!$B$2:$D$13,7,MATCH($B153,'MOA role matrix'!$B$1:$D$1,0))="Fill","LOA holder 1, ","")IF(INDEX('MOA role matrix'!$B$2:$D$13,7,MATCH($B153,'MOA role matrix'!$B$1:$D$1,0))="If finance","LOA holder 1 (if finance), ","")IF(INDEX('MOA role matrix'!$B$2:$D$13,7,MATCH($B153,'MOA role matrix'!$B$1:$D$1,0))="Auto","LOA holder 1 (auto), ","")IF(INDEX('MOA role matrix'!$B$2:$D$13,8,MATCH($B153,'MOA role matrix'!$B$1:$D$1,0))="Fill","LOA holder 2, ","")IF(INDEX('MOA role matrix'!$B$2:$D$13,8,MATCH($B153,'MOA role matrix'!$B$1:$D$1,0))="If finance","LOA holder 2 (if finance), ","")IF(INDEX('MOA role matrix'!$B$2:$D$13,8,MATCH($B153,'MOA role matrix'!$B$1:$D$1,0))="Auto","LOA holder 2 (auto), ","")IF(INDEX('MOA role matrix'!$B$2:$D$13,9,MATCH($B153,'MOA role matrix'!$B$1:$D$1,0))="Fill","Senior Manager CoSec, ","")IF(INDEX('MOA role matrix'!$B$2:$D$13,9,MATCH($B153,'MOA role matrix'!$B$1:$D$1,0))="If finance","Senior Manager CoSec (if finance), ","")IF(INDEX('MOA role matrix'!$B$2:$D$13,9,MATCH($B153,'MOA role matrix'!$B$1:$D$1,0))="Auto","Senior Manager CoSec (auto), ","")IF(INDEX('MOA role matrix'!$B$2:$D$13,10,MATCH($B153,'MOA role matrix'!$B$1:$D$1,0))="Fill","Division MOI managers, ","")IF(INDEX('MOA role matrix'!$B$2:$D$13,10,MATCH($B153,'MOA role matrix'!$B$1:$D$1,0))="If finance","Division MOI managers (if finance), ","")IF(INDEX('MOA role matrix'!$B$2:$D$13,10,MATCH($B153,'MOA role matrix'!$B$1:$D$1,0))="Auto","Division MOI managers (auto), ","")IF(INDEX('MOA role matrix'!$B$2:$D$13,11,MATCH($B153,'MOA role matrix'!$B$1:$D$1,0))="Fill","Ms Teh (bank), ","")IF(INDEX('MOA role matrix'!$B$2:$D$13,11,MATCH($B153,'MOA role matrix'!$B$1:$D$1,0))="If finance","Ms Teh (bank) (if finance), ","")IF(INDEX('MOA role matrix'!$B$2:$D$13,11,MATCH($B153,'MOA role matrix'!$B$1:$D$1,0))="Auto","Ms Teh (bank) (auto), ","")IF(INDEX('MOA role matrix'!$B$2:$D$13,12,MATCH($B153,'MOA role matrix'!$B$1:$D$1,0))="Fill","DLCM, ","")IF(INDEX('MOA role matrix'!$B$2:$D$13,12,MATCH($B153,'MOA role matrix'!$B$1:$D$1,0))="If finance","DLCM (if finance), ","")IF(INDEX('MOA role matrix'!$B$2:$D$13,12,MATCH($B153,'MOA role matrix'!$B$1:$D$1,0))="Auto","DLCM (auto), ","")))</f>
        <v/>
      </c>
      <c r="D153" s="5">
        <f>IF($A153="","",IFERROR(INDEX(FILTER('Client contacts'!$B$2:$B$500,('Client contacts'!$A$2:$A$500=$A153)*('Client contacts'!$H$2:$H$500="Y"),""),1),""))</f>
        <v/>
      </c>
      <c r="E153" s="5">
        <f>IF($A153="","",IFERROR(INDEX(FILTER('Client contacts'!$C$2:$C$500,('Client contacts'!$A$2:$A$500=$A153)*('Client contacts'!$H$2:$H$500="Y"),""),1),""))</f>
        <v/>
      </c>
      <c r="F153" s="5">
        <f>IF($A153="","",IFERROR(INDEX(FILTER('Client contacts'!$B$2:$B$500,('Client contacts'!$A$2:$A$500=$A153)*('Client contacts'!$G$2:$G$500="Y"),""),1),""))</f>
        <v/>
      </c>
      <c r="G153" s="5">
        <f>IF($A153="","",IFERROR(INDEX(FILTER('Client contacts'!$C$2:$C$500,('Client contacts'!$A$2:$A$500=$A153)*('Client contacts'!$G$2:$G$500="Y"),""),1),""))</f>
        <v/>
      </c>
      <c r="H153" s="5">
        <f>IF($A153="","",IFERROR(INDEX(FILTER('Client contacts'!$B$2:$B$500,('Client contacts'!$A$2:$A$500=$A153)*('Client contacts'!$G$2:$G$500="Y"),""),2),""))</f>
        <v/>
      </c>
      <c r="I153" s="5">
        <f>IF($A153="","",IFERROR(INDEX(FILTER('Client contacts'!$C$2:$C$500,('Client contacts'!$A$2:$A$500=$A153)*('Client contacts'!$G$2:$G$500="Y"),""),2),""))</f>
        <v/>
      </c>
      <c r="J153" s="8" t="n"/>
      <c r="K153" s="8" t="n"/>
      <c r="L153" s="8" t="n"/>
      <c r="M153" s="8" t="n"/>
      <c r="N153" s="8" t="n"/>
      <c r="O153" s="8" t="n"/>
      <c r="P153" s="8" t="n"/>
      <c r="Q153" s="8" t="n"/>
      <c r="R153" s="5">
        <f>IF($A153="","",IFERROR(INDEX(Companies!$I$2:$I$500,MATCH($A153,Companies!$A$2:$A$500,0)),""))</f>
        <v/>
      </c>
      <c r="S153" s="8" t="n"/>
      <c r="T153" s="8" t="n"/>
      <c r="U153" s="8" t="n"/>
      <c r="V153" s="8" t="n"/>
      <c r="W153" s="8" t="n"/>
    </row>
    <row r="154">
      <c r="C154" s="5">
        <f>IF($B154="","",TRIM(IF(INDEX('MOA role matrix'!$B$2:$D$13,1,MATCH($B154,'MOA role matrix'!$B$1:$D$1,0))="Fill","Project initiator, ","")IF(INDEX('MOA role matrix'!$B$2:$D$13,1,MATCH($B154,'MOA role matrix'!$B$1:$D$1,0))="If finance","Project initiator (if finance), ","")IF(INDEX('MOA role matrix'!$B$2:$D$13,1,MATCH($B154,'MOA role matrix'!$B$1:$D$1,0))="Auto","Project initiator (auto), ","")IF(INDEX('MOA role matrix'!$B$2:$D$13,2,MATCH($B154,'MOA role matrix'!$B$1:$D$1,0))="Fill","MOA signers (client), ","")IF(INDEX('MOA role matrix'!$B$2:$D$13,2,MATCH($B154,'MOA role matrix'!$B$1:$D$1,0))="If finance","MOA signers (client) (if finance), ","")IF(INDEX('MOA role matrix'!$B$2:$D$13,2,MATCH($B154,'MOA role matrix'!$B$1:$D$1,0))="Auto","MOA signers (client) (auto), ","")IF(INDEX('MOA role matrix'!$B$2:$D$13,3,MATCH($B154,'MOA role matrix'!$B$1:$D$1,0))="Fill","CFO / Head of Finance, ","")IF(INDEX('MOA role matrix'!$B$2:$D$13,3,MATCH($B154,'MOA role matrix'!$B$1:$D$1,0))="If finance","CFO / Head of Finance (if finance), ","")IF(INDEX('MOA role matrix'!$B$2:$D$13,3,MATCH($B154,'MOA role matrix'!$B$1:$D$1,0))="Auto","CFO / Head of Finance (auto), ","")IF(INDEX('MOA role matrix'!$B$2:$D$13,4,MATCH($B154,'MOA role matrix'!$B$1:$D$1,0))="Fill","CEO / COO / GM, ","")IF(INDEX('MOA role matrix'!$B$2:$D$13,4,MATCH($B154,'MOA role matrix'!$B$1:$D$1,0))="If finance","CEO / COO / GM (if finance), ","")IF(INDEX('MOA role matrix'!$B$2:$D$13,4,MATCH($B154,'MOA role matrix'!$B$1:$D$1,0))="Auto","CEO / COO / GM (auto), ","")IF(INDEX('MOA role matrix'!$B$2:$D$13,5,MATCH($B154,'MOA role matrix'!$B$1:$D$1,0))="Fill","Board member 1, ","")IF(INDEX('MOA role matrix'!$B$2:$D$13,5,MATCH($B154,'MOA role matrix'!$B$1:$D$1,0))="If finance","Board member 1 (if finance), ","")IF(INDEX('MOA role matrix'!$B$2:$D$13,5,MATCH($B154,'MOA role matrix'!$B$1:$D$1,0))="Auto","Board member 1 (auto), ","")IF(INDEX('MOA role matrix'!$B$2:$D$13,6,MATCH($B154,'MOA role matrix'!$B$1:$D$1,0))="Fill","Board member 2, ","")IF(INDEX('MOA role matrix'!$B$2:$D$13,6,MATCH($B154,'MOA role matrix'!$B$1:$D$1,0))="If finance","Board member 2 (if finance), ","")IF(INDEX('MOA role matrix'!$B$2:$D$13,6,MATCH($B154,'MOA role matrix'!$B$1:$D$1,0))="Auto","Board member 2 (auto), ","")IF(INDEX('MOA role matrix'!$B$2:$D$13,7,MATCH($B154,'MOA role matrix'!$B$1:$D$1,0))="Fill","LOA holder 1, ","")IF(INDEX('MOA role matrix'!$B$2:$D$13,7,MATCH($B154,'MOA role matrix'!$B$1:$D$1,0))="If finance","LOA holder 1 (if finance), ","")IF(INDEX('MOA role matrix'!$B$2:$D$13,7,MATCH($B154,'MOA role matrix'!$B$1:$D$1,0))="Auto","LOA holder 1 (auto), ","")IF(INDEX('MOA role matrix'!$B$2:$D$13,8,MATCH($B154,'MOA role matrix'!$B$1:$D$1,0))="Fill","LOA holder 2, ","")IF(INDEX('MOA role matrix'!$B$2:$D$13,8,MATCH($B154,'MOA role matrix'!$B$1:$D$1,0))="If finance","LOA holder 2 (if finance), ","")IF(INDEX('MOA role matrix'!$B$2:$D$13,8,MATCH($B154,'MOA role matrix'!$B$1:$D$1,0))="Auto","LOA holder 2 (auto), ","")IF(INDEX('MOA role matrix'!$B$2:$D$13,9,MATCH($B154,'MOA role matrix'!$B$1:$D$1,0))="Fill","Senior Manager CoSec, ","")IF(INDEX('MOA role matrix'!$B$2:$D$13,9,MATCH($B154,'MOA role matrix'!$B$1:$D$1,0))="If finance","Senior Manager CoSec (if finance), ","")IF(INDEX('MOA role matrix'!$B$2:$D$13,9,MATCH($B154,'MOA role matrix'!$B$1:$D$1,0))="Auto","Senior Manager CoSec (auto), ","")IF(INDEX('MOA role matrix'!$B$2:$D$13,10,MATCH($B154,'MOA role matrix'!$B$1:$D$1,0))="Fill","Division MOI managers, ","")IF(INDEX('MOA role matrix'!$B$2:$D$13,10,MATCH($B154,'MOA role matrix'!$B$1:$D$1,0))="If finance","Division MOI managers (if finance), ","")IF(INDEX('MOA role matrix'!$B$2:$D$13,10,MATCH($B154,'MOA role matrix'!$B$1:$D$1,0))="Auto","Division MOI managers (auto), ","")IF(INDEX('MOA role matrix'!$B$2:$D$13,11,MATCH($B154,'MOA role matrix'!$B$1:$D$1,0))="Fill","Ms Teh (bank), ","")IF(INDEX('MOA role matrix'!$B$2:$D$13,11,MATCH($B154,'MOA role matrix'!$B$1:$D$1,0))="If finance","Ms Teh (bank) (if finance), ","")IF(INDEX('MOA role matrix'!$B$2:$D$13,11,MATCH($B154,'MOA role matrix'!$B$1:$D$1,0))="Auto","Ms Teh (bank) (auto), ","")IF(INDEX('MOA role matrix'!$B$2:$D$13,12,MATCH($B154,'MOA role matrix'!$B$1:$D$1,0))="Fill","DLCM, ","")IF(INDEX('MOA role matrix'!$B$2:$D$13,12,MATCH($B154,'MOA role matrix'!$B$1:$D$1,0))="If finance","DLCM (if finance), ","")IF(INDEX('MOA role matrix'!$B$2:$D$13,12,MATCH($B154,'MOA role matrix'!$B$1:$D$1,0))="Auto","DLCM (auto), ","")))</f>
        <v/>
      </c>
      <c r="D154" s="5">
        <f>IF($A154="","",IFERROR(INDEX(FILTER('Client contacts'!$B$2:$B$500,('Client contacts'!$A$2:$A$500=$A154)*('Client contacts'!$H$2:$H$500="Y"),""),1),""))</f>
        <v/>
      </c>
      <c r="E154" s="5">
        <f>IF($A154="","",IFERROR(INDEX(FILTER('Client contacts'!$C$2:$C$500,('Client contacts'!$A$2:$A$500=$A154)*('Client contacts'!$H$2:$H$500="Y"),""),1),""))</f>
        <v/>
      </c>
      <c r="F154" s="5">
        <f>IF($A154="","",IFERROR(INDEX(FILTER('Client contacts'!$B$2:$B$500,('Client contacts'!$A$2:$A$500=$A154)*('Client contacts'!$G$2:$G$500="Y"),""),1),""))</f>
        <v/>
      </c>
      <c r="G154" s="5">
        <f>IF($A154="","",IFERROR(INDEX(FILTER('Client contacts'!$C$2:$C$500,('Client contacts'!$A$2:$A$500=$A154)*('Client contacts'!$G$2:$G$500="Y"),""),1),""))</f>
        <v/>
      </c>
      <c r="H154" s="5">
        <f>IF($A154="","",IFERROR(INDEX(FILTER('Client contacts'!$B$2:$B$500,('Client contacts'!$A$2:$A$500=$A154)*('Client contacts'!$G$2:$G$500="Y"),""),2),""))</f>
        <v/>
      </c>
      <c r="I154" s="5">
        <f>IF($A154="","",IFERROR(INDEX(FILTER('Client contacts'!$C$2:$C$500,('Client contacts'!$A$2:$A$500=$A154)*('Client contacts'!$G$2:$G$500="Y"),""),2),""))</f>
        <v/>
      </c>
      <c r="J154" s="8" t="n"/>
      <c r="K154" s="8" t="n"/>
      <c r="L154" s="8" t="n"/>
      <c r="M154" s="8" t="n"/>
      <c r="N154" s="8" t="n"/>
      <c r="O154" s="8" t="n"/>
      <c r="P154" s="8" t="n"/>
      <c r="Q154" s="8" t="n"/>
      <c r="R154" s="5">
        <f>IF($A154="","",IFERROR(INDEX(Companies!$I$2:$I$500,MATCH($A154,Companies!$A$2:$A$500,0)),""))</f>
        <v/>
      </c>
      <c r="S154" s="8" t="n"/>
      <c r="T154" s="8" t="n"/>
      <c r="U154" s="8" t="n"/>
      <c r="V154" s="8" t="n"/>
      <c r="W154" s="8" t="n"/>
    </row>
    <row r="155">
      <c r="C155" s="5">
        <f>IF($B155="","",TRIM(IF(INDEX('MOA role matrix'!$B$2:$D$13,1,MATCH($B155,'MOA role matrix'!$B$1:$D$1,0))="Fill","Project initiator, ","")IF(INDEX('MOA role matrix'!$B$2:$D$13,1,MATCH($B155,'MOA role matrix'!$B$1:$D$1,0))="If finance","Project initiator (if finance), ","")IF(INDEX('MOA role matrix'!$B$2:$D$13,1,MATCH($B155,'MOA role matrix'!$B$1:$D$1,0))="Auto","Project initiator (auto), ","")IF(INDEX('MOA role matrix'!$B$2:$D$13,2,MATCH($B155,'MOA role matrix'!$B$1:$D$1,0))="Fill","MOA signers (client), ","")IF(INDEX('MOA role matrix'!$B$2:$D$13,2,MATCH($B155,'MOA role matrix'!$B$1:$D$1,0))="If finance","MOA signers (client) (if finance), ","")IF(INDEX('MOA role matrix'!$B$2:$D$13,2,MATCH($B155,'MOA role matrix'!$B$1:$D$1,0))="Auto","MOA signers (client) (auto), ","")IF(INDEX('MOA role matrix'!$B$2:$D$13,3,MATCH($B155,'MOA role matrix'!$B$1:$D$1,0))="Fill","CFO / Head of Finance, ","")IF(INDEX('MOA role matrix'!$B$2:$D$13,3,MATCH($B155,'MOA role matrix'!$B$1:$D$1,0))="If finance","CFO / Head of Finance (if finance), ","")IF(INDEX('MOA role matrix'!$B$2:$D$13,3,MATCH($B155,'MOA role matrix'!$B$1:$D$1,0))="Auto","CFO / Head of Finance (auto), ","")IF(INDEX('MOA role matrix'!$B$2:$D$13,4,MATCH($B155,'MOA role matrix'!$B$1:$D$1,0))="Fill","CEO / COO / GM, ","")IF(INDEX('MOA role matrix'!$B$2:$D$13,4,MATCH($B155,'MOA role matrix'!$B$1:$D$1,0))="If finance","CEO / COO / GM (if finance), ","")IF(INDEX('MOA role matrix'!$B$2:$D$13,4,MATCH($B155,'MOA role matrix'!$B$1:$D$1,0))="Auto","CEO / COO / GM (auto), ","")IF(INDEX('MOA role matrix'!$B$2:$D$13,5,MATCH($B155,'MOA role matrix'!$B$1:$D$1,0))="Fill","Board member 1, ","")IF(INDEX('MOA role matrix'!$B$2:$D$13,5,MATCH($B155,'MOA role matrix'!$B$1:$D$1,0))="If finance","Board member 1 (if finance), ","")IF(INDEX('MOA role matrix'!$B$2:$D$13,5,MATCH($B155,'MOA role matrix'!$B$1:$D$1,0))="Auto","Board member 1 (auto), ","")IF(INDEX('MOA role matrix'!$B$2:$D$13,6,MATCH($B155,'MOA role matrix'!$B$1:$D$1,0))="Fill","Board member 2, ","")IF(INDEX('MOA role matrix'!$B$2:$D$13,6,MATCH($B155,'MOA role matrix'!$B$1:$D$1,0))="If finance","Board member 2 (if finance), ","")IF(INDEX('MOA role matrix'!$B$2:$D$13,6,MATCH($B155,'MOA role matrix'!$B$1:$D$1,0))="Auto","Board member 2 (auto), ","")IF(INDEX('MOA role matrix'!$B$2:$D$13,7,MATCH($B155,'MOA role matrix'!$B$1:$D$1,0))="Fill","LOA holder 1, ","")IF(INDEX('MOA role matrix'!$B$2:$D$13,7,MATCH($B155,'MOA role matrix'!$B$1:$D$1,0))="If finance","LOA holder 1 (if finance), ","")IF(INDEX('MOA role matrix'!$B$2:$D$13,7,MATCH($B155,'MOA role matrix'!$B$1:$D$1,0))="Auto","LOA holder 1 (auto), ","")IF(INDEX('MOA role matrix'!$B$2:$D$13,8,MATCH($B155,'MOA role matrix'!$B$1:$D$1,0))="Fill","LOA holder 2, ","")IF(INDEX('MOA role matrix'!$B$2:$D$13,8,MATCH($B155,'MOA role matrix'!$B$1:$D$1,0))="If finance","LOA holder 2 (if finance), ","")IF(INDEX('MOA role matrix'!$B$2:$D$13,8,MATCH($B155,'MOA role matrix'!$B$1:$D$1,0))="Auto","LOA holder 2 (auto), ","")IF(INDEX('MOA role matrix'!$B$2:$D$13,9,MATCH($B155,'MOA role matrix'!$B$1:$D$1,0))="Fill","Senior Manager CoSec, ","")IF(INDEX('MOA role matrix'!$B$2:$D$13,9,MATCH($B155,'MOA role matrix'!$B$1:$D$1,0))="If finance","Senior Manager CoSec (if finance), ","")IF(INDEX('MOA role matrix'!$B$2:$D$13,9,MATCH($B155,'MOA role matrix'!$B$1:$D$1,0))="Auto","Senior Manager CoSec (auto), ","")IF(INDEX('MOA role matrix'!$B$2:$D$13,10,MATCH($B155,'MOA role matrix'!$B$1:$D$1,0))="Fill","Division MOI managers, ","")IF(INDEX('MOA role matrix'!$B$2:$D$13,10,MATCH($B155,'MOA role matrix'!$B$1:$D$1,0))="If finance","Division MOI managers (if finance), ","")IF(INDEX('MOA role matrix'!$B$2:$D$13,10,MATCH($B155,'MOA role matrix'!$B$1:$D$1,0))="Auto","Division MOI managers (auto), ","")IF(INDEX('MOA role matrix'!$B$2:$D$13,11,MATCH($B155,'MOA role matrix'!$B$1:$D$1,0))="Fill","Ms Teh (bank), ","")IF(INDEX('MOA role matrix'!$B$2:$D$13,11,MATCH($B155,'MOA role matrix'!$B$1:$D$1,0))="If finance","Ms Teh (bank) (if finance), ","")IF(INDEX('MOA role matrix'!$B$2:$D$13,11,MATCH($B155,'MOA role matrix'!$B$1:$D$1,0))="Auto","Ms Teh (bank) (auto), ","")IF(INDEX('MOA role matrix'!$B$2:$D$13,12,MATCH($B155,'MOA role matrix'!$B$1:$D$1,0))="Fill","DLCM, ","")IF(INDEX('MOA role matrix'!$B$2:$D$13,12,MATCH($B155,'MOA role matrix'!$B$1:$D$1,0))="If finance","DLCM (if finance), ","")IF(INDEX('MOA role matrix'!$B$2:$D$13,12,MATCH($B155,'MOA role matrix'!$B$1:$D$1,0))="Auto","DLCM (auto), ","")))</f>
        <v/>
      </c>
      <c r="D155" s="5">
        <f>IF($A155="","",IFERROR(INDEX(FILTER('Client contacts'!$B$2:$B$500,('Client contacts'!$A$2:$A$500=$A155)*('Client contacts'!$H$2:$H$500="Y"),""),1),""))</f>
        <v/>
      </c>
      <c r="E155" s="5">
        <f>IF($A155="","",IFERROR(INDEX(FILTER('Client contacts'!$C$2:$C$500,('Client contacts'!$A$2:$A$500=$A155)*('Client contacts'!$H$2:$H$500="Y"),""),1),""))</f>
        <v/>
      </c>
      <c r="F155" s="5">
        <f>IF($A155="","",IFERROR(INDEX(FILTER('Client contacts'!$B$2:$B$500,('Client contacts'!$A$2:$A$500=$A155)*('Client contacts'!$G$2:$G$500="Y"),""),1),""))</f>
        <v/>
      </c>
      <c r="G155" s="5">
        <f>IF($A155="","",IFERROR(INDEX(FILTER('Client contacts'!$C$2:$C$500,('Client contacts'!$A$2:$A$500=$A155)*('Client contacts'!$G$2:$G$500="Y"),""),1),""))</f>
        <v/>
      </c>
      <c r="H155" s="5">
        <f>IF($A155="","",IFERROR(INDEX(FILTER('Client contacts'!$B$2:$B$500,('Client contacts'!$A$2:$A$500=$A155)*('Client contacts'!$G$2:$G$500="Y"),""),2),""))</f>
        <v/>
      </c>
      <c r="I155" s="5">
        <f>IF($A155="","",IFERROR(INDEX(FILTER('Client contacts'!$C$2:$C$500,('Client contacts'!$A$2:$A$500=$A155)*('Client contacts'!$G$2:$G$500="Y"),""),2),""))</f>
        <v/>
      </c>
      <c r="J155" s="8" t="n"/>
      <c r="K155" s="8" t="n"/>
      <c r="L155" s="8" t="n"/>
      <c r="M155" s="8" t="n"/>
      <c r="N155" s="8" t="n"/>
      <c r="O155" s="8" t="n"/>
      <c r="P155" s="8" t="n"/>
      <c r="Q155" s="8" t="n"/>
      <c r="R155" s="5">
        <f>IF($A155="","",IFERROR(INDEX(Companies!$I$2:$I$500,MATCH($A155,Companies!$A$2:$A$500,0)),""))</f>
        <v/>
      </c>
      <c r="S155" s="8" t="n"/>
      <c r="T155" s="8" t="n"/>
      <c r="U155" s="8" t="n"/>
      <c r="V155" s="8" t="n"/>
      <c r="W155" s="8" t="n"/>
    </row>
    <row r="156">
      <c r="C156" s="5">
        <f>IF($B156="","",TRIM(IF(INDEX('MOA role matrix'!$B$2:$D$13,1,MATCH($B156,'MOA role matrix'!$B$1:$D$1,0))="Fill","Project initiator, ","")IF(INDEX('MOA role matrix'!$B$2:$D$13,1,MATCH($B156,'MOA role matrix'!$B$1:$D$1,0))="If finance","Project initiator (if finance), ","")IF(INDEX('MOA role matrix'!$B$2:$D$13,1,MATCH($B156,'MOA role matrix'!$B$1:$D$1,0))="Auto","Project initiator (auto), ","")IF(INDEX('MOA role matrix'!$B$2:$D$13,2,MATCH($B156,'MOA role matrix'!$B$1:$D$1,0))="Fill","MOA signers (client), ","")IF(INDEX('MOA role matrix'!$B$2:$D$13,2,MATCH($B156,'MOA role matrix'!$B$1:$D$1,0))="If finance","MOA signers (client) (if finance), ","")IF(INDEX('MOA role matrix'!$B$2:$D$13,2,MATCH($B156,'MOA role matrix'!$B$1:$D$1,0))="Auto","MOA signers (client) (auto), ","")IF(INDEX('MOA role matrix'!$B$2:$D$13,3,MATCH($B156,'MOA role matrix'!$B$1:$D$1,0))="Fill","CFO / Head of Finance, ","")IF(INDEX('MOA role matrix'!$B$2:$D$13,3,MATCH($B156,'MOA role matrix'!$B$1:$D$1,0))="If finance","CFO / Head of Finance (if finance), ","")IF(INDEX('MOA role matrix'!$B$2:$D$13,3,MATCH($B156,'MOA role matrix'!$B$1:$D$1,0))="Auto","CFO / Head of Finance (auto), ","")IF(INDEX('MOA role matrix'!$B$2:$D$13,4,MATCH($B156,'MOA role matrix'!$B$1:$D$1,0))="Fill","CEO / COO / GM, ","")IF(INDEX('MOA role matrix'!$B$2:$D$13,4,MATCH($B156,'MOA role matrix'!$B$1:$D$1,0))="If finance","CEO / COO / GM (if finance), ","")IF(INDEX('MOA role matrix'!$B$2:$D$13,4,MATCH($B156,'MOA role matrix'!$B$1:$D$1,0))="Auto","CEO / COO / GM (auto), ","")IF(INDEX('MOA role matrix'!$B$2:$D$13,5,MATCH($B156,'MOA role matrix'!$B$1:$D$1,0))="Fill","Board member 1, ","")IF(INDEX('MOA role matrix'!$B$2:$D$13,5,MATCH($B156,'MOA role matrix'!$B$1:$D$1,0))="If finance","Board member 1 (if finance), ","")IF(INDEX('MOA role matrix'!$B$2:$D$13,5,MATCH($B156,'MOA role matrix'!$B$1:$D$1,0))="Auto","Board member 1 (auto), ","")IF(INDEX('MOA role matrix'!$B$2:$D$13,6,MATCH($B156,'MOA role matrix'!$B$1:$D$1,0))="Fill","Board member 2, ","")IF(INDEX('MOA role matrix'!$B$2:$D$13,6,MATCH($B156,'MOA role matrix'!$B$1:$D$1,0))="If finance","Board member 2 (if finance), ","")IF(INDEX('MOA role matrix'!$B$2:$D$13,6,MATCH($B156,'MOA role matrix'!$B$1:$D$1,0))="Auto","Board member 2 (auto), ","")IF(INDEX('MOA role matrix'!$B$2:$D$13,7,MATCH($B156,'MOA role matrix'!$B$1:$D$1,0))="Fill","LOA holder 1, ","")IF(INDEX('MOA role matrix'!$B$2:$D$13,7,MATCH($B156,'MOA role matrix'!$B$1:$D$1,0))="If finance","LOA holder 1 (if finance), ","")IF(INDEX('MOA role matrix'!$B$2:$D$13,7,MATCH($B156,'MOA role matrix'!$B$1:$D$1,0))="Auto","LOA holder 1 (auto), ","")IF(INDEX('MOA role matrix'!$B$2:$D$13,8,MATCH($B156,'MOA role matrix'!$B$1:$D$1,0))="Fill","LOA holder 2, ","")IF(INDEX('MOA role matrix'!$B$2:$D$13,8,MATCH($B156,'MOA role matrix'!$B$1:$D$1,0))="If finance","LOA holder 2 (if finance), ","")IF(INDEX('MOA role matrix'!$B$2:$D$13,8,MATCH($B156,'MOA role matrix'!$B$1:$D$1,0))="Auto","LOA holder 2 (auto), ","")IF(INDEX('MOA role matrix'!$B$2:$D$13,9,MATCH($B156,'MOA role matrix'!$B$1:$D$1,0))="Fill","Senior Manager CoSec, ","")IF(INDEX('MOA role matrix'!$B$2:$D$13,9,MATCH($B156,'MOA role matrix'!$B$1:$D$1,0))="If finance","Senior Manager CoSec (if finance), ","")IF(INDEX('MOA role matrix'!$B$2:$D$13,9,MATCH($B156,'MOA role matrix'!$B$1:$D$1,0))="Auto","Senior Manager CoSec (auto), ","")IF(INDEX('MOA role matrix'!$B$2:$D$13,10,MATCH($B156,'MOA role matrix'!$B$1:$D$1,0))="Fill","Division MOI managers, ","")IF(INDEX('MOA role matrix'!$B$2:$D$13,10,MATCH($B156,'MOA role matrix'!$B$1:$D$1,0))="If finance","Division MOI managers (if finance), ","")IF(INDEX('MOA role matrix'!$B$2:$D$13,10,MATCH($B156,'MOA role matrix'!$B$1:$D$1,0))="Auto","Division MOI managers (auto), ","")IF(INDEX('MOA role matrix'!$B$2:$D$13,11,MATCH($B156,'MOA role matrix'!$B$1:$D$1,0))="Fill","Ms Teh (bank), ","")IF(INDEX('MOA role matrix'!$B$2:$D$13,11,MATCH($B156,'MOA role matrix'!$B$1:$D$1,0))="If finance","Ms Teh (bank) (if finance), ","")IF(INDEX('MOA role matrix'!$B$2:$D$13,11,MATCH($B156,'MOA role matrix'!$B$1:$D$1,0))="Auto","Ms Teh (bank) (auto), ","")IF(INDEX('MOA role matrix'!$B$2:$D$13,12,MATCH($B156,'MOA role matrix'!$B$1:$D$1,0))="Fill","DLCM, ","")IF(INDEX('MOA role matrix'!$B$2:$D$13,12,MATCH($B156,'MOA role matrix'!$B$1:$D$1,0))="If finance","DLCM (if finance), ","")IF(INDEX('MOA role matrix'!$B$2:$D$13,12,MATCH($B156,'MOA role matrix'!$B$1:$D$1,0))="Auto","DLCM (auto), ","")))</f>
        <v/>
      </c>
      <c r="D156" s="5">
        <f>IF($A156="","",IFERROR(INDEX(FILTER('Client contacts'!$B$2:$B$500,('Client contacts'!$A$2:$A$500=$A156)*('Client contacts'!$H$2:$H$500="Y"),""),1),""))</f>
        <v/>
      </c>
      <c r="E156" s="5">
        <f>IF($A156="","",IFERROR(INDEX(FILTER('Client contacts'!$C$2:$C$500,('Client contacts'!$A$2:$A$500=$A156)*('Client contacts'!$H$2:$H$500="Y"),""),1),""))</f>
        <v/>
      </c>
      <c r="F156" s="5">
        <f>IF($A156="","",IFERROR(INDEX(FILTER('Client contacts'!$B$2:$B$500,('Client contacts'!$A$2:$A$500=$A156)*('Client contacts'!$G$2:$G$500="Y"),""),1),""))</f>
        <v/>
      </c>
      <c r="G156" s="5">
        <f>IF($A156="","",IFERROR(INDEX(FILTER('Client contacts'!$C$2:$C$500,('Client contacts'!$A$2:$A$500=$A156)*('Client contacts'!$G$2:$G$500="Y"),""),1),""))</f>
        <v/>
      </c>
      <c r="H156" s="5">
        <f>IF($A156="","",IFERROR(INDEX(FILTER('Client contacts'!$B$2:$B$500,('Client contacts'!$A$2:$A$500=$A156)*('Client contacts'!$G$2:$G$500="Y"),""),2),""))</f>
        <v/>
      </c>
      <c r="I156" s="5">
        <f>IF($A156="","",IFERROR(INDEX(FILTER('Client contacts'!$C$2:$C$500,('Client contacts'!$A$2:$A$500=$A156)*('Client contacts'!$G$2:$G$500="Y"),""),2),""))</f>
        <v/>
      </c>
      <c r="J156" s="8" t="n"/>
      <c r="K156" s="8" t="n"/>
      <c r="L156" s="8" t="n"/>
      <c r="M156" s="8" t="n"/>
      <c r="N156" s="8" t="n"/>
      <c r="O156" s="8" t="n"/>
      <c r="P156" s="8" t="n"/>
      <c r="Q156" s="8" t="n"/>
      <c r="R156" s="5">
        <f>IF($A156="","",IFERROR(INDEX(Companies!$I$2:$I$500,MATCH($A156,Companies!$A$2:$A$500,0)),""))</f>
        <v/>
      </c>
      <c r="S156" s="8" t="n"/>
      <c r="T156" s="8" t="n"/>
      <c r="U156" s="8" t="n"/>
      <c r="V156" s="8" t="n"/>
      <c r="W156" s="8" t="n"/>
    </row>
    <row r="157">
      <c r="C157" s="5">
        <f>IF($B157="","",TRIM(IF(INDEX('MOA role matrix'!$B$2:$D$13,1,MATCH($B157,'MOA role matrix'!$B$1:$D$1,0))="Fill","Project initiator, ","")IF(INDEX('MOA role matrix'!$B$2:$D$13,1,MATCH($B157,'MOA role matrix'!$B$1:$D$1,0))="If finance","Project initiator (if finance), ","")IF(INDEX('MOA role matrix'!$B$2:$D$13,1,MATCH($B157,'MOA role matrix'!$B$1:$D$1,0))="Auto","Project initiator (auto), ","")IF(INDEX('MOA role matrix'!$B$2:$D$13,2,MATCH($B157,'MOA role matrix'!$B$1:$D$1,0))="Fill","MOA signers (client), ","")IF(INDEX('MOA role matrix'!$B$2:$D$13,2,MATCH($B157,'MOA role matrix'!$B$1:$D$1,0))="If finance","MOA signers (client) (if finance), ","")IF(INDEX('MOA role matrix'!$B$2:$D$13,2,MATCH($B157,'MOA role matrix'!$B$1:$D$1,0))="Auto","MOA signers (client) (auto), ","")IF(INDEX('MOA role matrix'!$B$2:$D$13,3,MATCH($B157,'MOA role matrix'!$B$1:$D$1,0))="Fill","CFO / Head of Finance, ","")IF(INDEX('MOA role matrix'!$B$2:$D$13,3,MATCH($B157,'MOA role matrix'!$B$1:$D$1,0))="If finance","CFO / Head of Finance (if finance), ","")IF(INDEX('MOA role matrix'!$B$2:$D$13,3,MATCH($B157,'MOA role matrix'!$B$1:$D$1,0))="Auto","CFO / Head of Finance (auto), ","")IF(INDEX('MOA role matrix'!$B$2:$D$13,4,MATCH($B157,'MOA role matrix'!$B$1:$D$1,0))="Fill","CEO / COO / GM, ","")IF(INDEX('MOA role matrix'!$B$2:$D$13,4,MATCH($B157,'MOA role matrix'!$B$1:$D$1,0))="If finance","CEO / COO / GM (if finance), ","")IF(INDEX('MOA role matrix'!$B$2:$D$13,4,MATCH($B157,'MOA role matrix'!$B$1:$D$1,0))="Auto","CEO / COO / GM (auto), ","")IF(INDEX('MOA role matrix'!$B$2:$D$13,5,MATCH($B157,'MOA role matrix'!$B$1:$D$1,0))="Fill","Board member 1, ","")IF(INDEX('MOA role matrix'!$B$2:$D$13,5,MATCH($B157,'MOA role matrix'!$B$1:$D$1,0))="If finance","Board member 1 (if finance), ","")IF(INDEX('MOA role matrix'!$B$2:$D$13,5,MATCH($B157,'MOA role matrix'!$B$1:$D$1,0))="Auto","Board member 1 (auto), ","")IF(INDEX('MOA role matrix'!$B$2:$D$13,6,MATCH($B157,'MOA role matrix'!$B$1:$D$1,0))="Fill","Board member 2, ","")IF(INDEX('MOA role matrix'!$B$2:$D$13,6,MATCH($B157,'MOA role matrix'!$B$1:$D$1,0))="If finance","Board member 2 (if finance), ","")IF(INDEX('MOA role matrix'!$B$2:$D$13,6,MATCH($B157,'MOA role matrix'!$B$1:$D$1,0))="Auto","Board member 2 (auto), ","")IF(INDEX('MOA role matrix'!$B$2:$D$13,7,MATCH($B157,'MOA role matrix'!$B$1:$D$1,0))="Fill","LOA holder 1, ","")IF(INDEX('MOA role matrix'!$B$2:$D$13,7,MATCH($B157,'MOA role matrix'!$B$1:$D$1,0))="If finance","LOA holder 1 (if finance), ","")IF(INDEX('MOA role matrix'!$B$2:$D$13,7,MATCH($B157,'MOA role matrix'!$B$1:$D$1,0))="Auto","LOA holder 1 (auto), ","")IF(INDEX('MOA role matrix'!$B$2:$D$13,8,MATCH($B157,'MOA role matrix'!$B$1:$D$1,0))="Fill","LOA holder 2, ","")IF(INDEX('MOA role matrix'!$B$2:$D$13,8,MATCH($B157,'MOA role matrix'!$B$1:$D$1,0))="If finance","LOA holder 2 (if finance), ","")IF(INDEX('MOA role matrix'!$B$2:$D$13,8,MATCH($B157,'MOA role matrix'!$B$1:$D$1,0))="Auto","LOA holder 2 (auto), ","")IF(INDEX('MOA role matrix'!$B$2:$D$13,9,MATCH($B157,'MOA role matrix'!$B$1:$D$1,0))="Fill","Senior Manager CoSec, ","")IF(INDEX('MOA role matrix'!$B$2:$D$13,9,MATCH($B157,'MOA role matrix'!$B$1:$D$1,0))="If finance","Senior Manager CoSec (if finance), ","")IF(INDEX('MOA role matrix'!$B$2:$D$13,9,MATCH($B157,'MOA role matrix'!$B$1:$D$1,0))="Auto","Senior Manager CoSec (auto), ","")IF(INDEX('MOA role matrix'!$B$2:$D$13,10,MATCH($B157,'MOA role matrix'!$B$1:$D$1,0))="Fill","Division MOI managers, ","")IF(INDEX('MOA role matrix'!$B$2:$D$13,10,MATCH($B157,'MOA role matrix'!$B$1:$D$1,0))="If finance","Division MOI managers (if finance), ","")IF(INDEX('MOA role matrix'!$B$2:$D$13,10,MATCH($B157,'MOA role matrix'!$B$1:$D$1,0))="Auto","Division MOI managers (auto), ","")IF(INDEX('MOA role matrix'!$B$2:$D$13,11,MATCH($B157,'MOA role matrix'!$B$1:$D$1,0))="Fill","Ms Teh (bank), ","")IF(INDEX('MOA role matrix'!$B$2:$D$13,11,MATCH($B157,'MOA role matrix'!$B$1:$D$1,0))="If finance","Ms Teh (bank) (if finance), ","")IF(INDEX('MOA role matrix'!$B$2:$D$13,11,MATCH($B157,'MOA role matrix'!$B$1:$D$1,0))="Auto","Ms Teh (bank) (auto), ","")IF(INDEX('MOA role matrix'!$B$2:$D$13,12,MATCH($B157,'MOA role matrix'!$B$1:$D$1,0))="Fill","DLCM, ","")IF(INDEX('MOA role matrix'!$B$2:$D$13,12,MATCH($B157,'MOA role matrix'!$B$1:$D$1,0))="If finance","DLCM (if finance), ","")IF(INDEX('MOA role matrix'!$B$2:$D$13,12,MATCH($B157,'MOA role matrix'!$B$1:$D$1,0))="Auto","DLCM (auto), ","")))</f>
        <v/>
      </c>
      <c r="D157" s="5">
        <f>IF($A157="","",IFERROR(INDEX(FILTER('Client contacts'!$B$2:$B$500,('Client contacts'!$A$2:$A$500=$A157)*('Client contacts'!$H$2:$H$500="Y"),""),1),""))</f>
        <v/>
      </c>
      <c r="E157" s="5">
        <f>IF($A157="","",IFERROR(INDEX(FILTER('Client contacts'!$C$2:$C$500,('Client contacts'!$A$2:$A$500=$A157)*('Client contacts'!$H$2:$H$500="Y"),""),1),""))</f>
        <v/>
      </c>
      <c r="F157" s="5">
        <f>IF($A157="","",IFERROR(INDEX(FILTER('Client contacts'!$B$2:$B$500,('Client contacts'!$A$2:$A$500=$A157)*('Client contacts'!$G$2:$G$500="Y"),""),1),""))</f>
        <v/>
      </c>
      <c r="G157" s="5">
        <f>IF($A157="","",IFERROR(INDEX(FILTER('Client contacts'!$C$2:$C$500,('Client contacts'!$A$2:$A$500=$A157)*('Client contacts'!$G$2:$G$500="Y"),""),1),""))</f>
        <v/>
      </c>
      <c r="H157" s="5">
        <f>IF($A157="","",IFERROR(INDEX(FILTER('Client contacts'!$B$2:$B$500,('Client contacts'!$A$2:$A$500=$A157)*('Client contacts'!$G$2:$G$500="Y"),""),2),""))</f>
        <v/>
      </c>
      <c r="I157" s="5">
        <f>IF($A157="","",IFERROR(INDEX(FILTER('Client contacts'!$C$2:$C$500,('Client contacts'!$A$2:$A$500=$A157)*('Client contacts'!$G$2:$G$500="Y"),""),2),""))</f>
        <v/>
      </c>
      <c r="J157" s="8" t="n"/>
      <c r="K157" s="8" t="n"/>
      <c r="L157" s="8" t="n"/>
      <c r="M157" s="8" t="n"/>
      <c r="N157" s="8" t="n"/>
      <c r="O157" s="8" t="n"/>
      <c r="P157" s="8" t="n"/>
      <c r="Q157" s="8" t="n"/>
      <c r="R157" s="5">
        <f>IF($A157="","",IFERROR(INDEX(Companies!$I$2:$I$500,MATCH($A157,Companies!$A$2:$A$500,0)),""))</f>
        <v/>
      </c>
      <c r="S157" s="8" t="n"/>
      <c r="T157" s="8" t="n"/>
      <c r="U157" s="8" t="n"/>
      <c r="V157" s="8" t="n"/>
      <c r="W157" s="8" t="n"/>
    </row>
    <row r="158">
      <c r="C158" s="5">
        <f>IF($B158="","",TRIM(IF(INDEX('MOA role matrix'!$B$2:$D$13,1,MATCH($B158,'MOA role matrix'!$B$1:$D$1,0))="Fill","Project initiator, ","")IF(INDEX('MOA role matrix'!$B$2:$D$13,1,MATCH($B158,'MOA role matrix'!$B$1:$D$1,0))="If finance","Project initiator (if finance), ","")IF(INDEX('MOA role matrix'!$B$2:$D$13,1,MATCH($B158,'MOA role matrix'!$B$1:$D$1,0))="Auto","Project initiator (auto), ","")IF(INDEX('MOA role matrix'!$B$2:$D$13,2,MATCH($B158,'MOA role matrix'!$B$1:$D$1,0))="Fill","MOA signers (client), ","")IF(INDEX('MOA role matrix'!$B$2:$D$13,2,MATCH($B158,'MOA role matrix'!$B$1:$D$1,0))="If finance","MOA signers (client) (if finance), ","")IF(INDEX('MOA role matrix'!$B$2:$D$13,2,MATCH($B158,'MOA role matrix'!$B$1:$D$1,0))="Auto","MOA signers (client) (auto), ","")IF(INDEX('MOA role matrix'!$B$2:$D$13,3,MATCH($B158,'MOA role matrix'!$B$1:$D$1,0))="Fill","CFO / Head of Finance, ","")IF(INDEX('MOA role matrix'!$B$2:$D$13,3,MATCH($B158,'MOA role matrix'!$B$1:$D$1,0))="If finance","CFO / Head of Finance (if finance), ","")IF(INDEX('MOA role matrix'!$B$2:$D$13,3,MATCH($B158,'MOA role matrix'!$B$1:$D$1,0))="Auto","CFO / Head of Finance (auto), ","")IF(INDEX('MOA role matrix'!$B$2:$D$13,4,MATCH($B158,'MOA role matrix'!$B$1:$D$1,0))="Fill","CEO / COO / GM, ","")IF(INDEX('MOA role matrix'!$B$2:$D$13,4,MATCH($B158,'MOA role matrix'!$B$1:$D$1,0))="If finance","CEO / COO / GM (if finance), ","")IF(INDEX('MOA role matrix'!$B$2:$D$13,4,MATCH($B158,'MOA role matrix'!$B$1:$D$1,0))="Auto","CEO / COO / GM (auto), ","")IF(INDEX('MOA role matrix'!$B$2:$D$13,5,MATCH($B158,'MOA role matrix'!$B$1:$D$1,0))="Fill","Board member 1, ","")IF(INDEX('MOA role matrix'!$B$2:$D$13,5,MATCH($B158,'MOA role matrix'!$B$1:$D$1,0))="If finance","Board member 1 (if finance), ","")IF(INDEX('MOA role matrix'!$B$2:$D$13,5,MATCH($B158,'MOA role matrix'!$B$1:$D$1,0))="Auto","Board member 1 (auto), ","")IF(INDEX('MOA role matrix'!$B$2:$D$13,6,MATCH($B158,'MOA role matrix'!$B$1:$D$1,0))="Fill","Board member 2, ","")IF(INDEX('MOA role matrix'!$B$2:$D$13,6,MATCH($B158,'MOA role matrix'!$B$1:$D$1,0))="If finance","Board member 2 (if finance), ","")IF(INDEX('MOA role matrix'!$B$2:$D$13,6,MATCH($B158,'MOA role matrix'!$B$1:$D$1,0))="Auto","Board member 2 (auto), ","")IF(INDEX('MOA role matrix'!$B$2:$D$13,7,MATCH($B158,'MOA role matrix'!$B$1:$D$1,0))="Fill","LOA holder 1, ","")IF(INDEX('MOA role matrix'!$B$2:$D$13,7,MATCH($B158,'MOA role matrix'!$B$1:$D$1,0))="If finance","LOA holder 1 (if finance), ","")IF(INDEX('MOA role matrix'!$B$2:$D$13,7,MATCH($B158,'MOA role matrix'!$B$1:$D$1,0))="Auto","LOA holder 1 (auto), ","")IF(INDEX('MOA role matrix'!$B$2:$D$13,8,MATCH($B158,'MOA role matrix'!$B$1:$D$1,0))="Fill","LOA holder 2, ","")IF(INDEX('MOA role matrix'!$B$2:$D$13,8,MATCH($B158,'MOA role matrix'!$B$1:$D$1,0))="If finance","LOA holder 2 (if finance), ","")IF(INDEX('MOA role matrix'!$B$2:$D$13,8,MATCH($B158,'MOA role matrix'!$B$1:$D$1,0))="Auto","LOA holder 2 (auto), ","")IF(INDEX('MOA role matrix'!$B$2:$D$13,9,MATCH($B158,'MOA role matrix'!$B$1:$D$1,0))="Fill","Senior Manager CoSec, ","")IF(INDEX('MOA role matrix'!$B$2:$D$13,9,MATCH($B158,'MOA role matrix'!$B$1:$D$1,0))="If finance","Senior Manager CoSec (if finance), ","")IF(INDEX('MOA role matrix'!$B$2:$D$13,9,MATCH($B158,'MOA role matrix'!$B$1:$D$1,0))="Auto","Senior Manager CoSec (auto), ","")IF(INDEX('MOA role matrix'!$B$2:$D$13,10,MATCH($B158,'MOA role matrix'!$B$1:$D$1,0))="Fill","Division MOI managers, ","")IF(INDEX('MOA role matrix'!$B$2:$D$13,10,MATCH($B158,'MOA role matrix'!$B$1:$D$1,0))="If finance","Division MOI managers (if finance), ","")IF(INDEX('MOA role matrix'!$B$2:$D$13,10,MATCH($B158,'MOA role matrix'!$B$1:$D$1,0))="Auto","Division MOI managers (auto), ","")IF(INDEX('MOA role matrix'!$B$2:$D$13,11,MATCH($B158,'MOA role matrix'!$B$1:$D$1,0))="Fill","Ms Teh (bank), ","")IF(INDEX('MOA role matrix'!$B$2:$D$13,11,MATCH($B158,'MOA role matrix'!$B$1:$D$1,0))="If finance","Ms Teh (bank) (if finance), ","")IF(INDEX('MOA role matrix'!$B$2:$D$13,11,MATCH($B158,'MOA role matrix'!$B$1:$D$1,0))="Auto","Ms Teh (bank) (auto), ","")IF(INDEX('MOA role matrix'!$B$2:$D$13,12,MATCH($B158,'MOA role matrix'!$B$1:$D$1,0))="Fill","DLCM, ","")IF(INDEX('MOA role matrix'!$B$2:$D$13,12,MATCH($B158,'MOA role matrix'!$B$1:$D$1,0))="If finance","DLCM (if finance), ","")IF(INDEX('MOA role matrix'!$B$2:$D$13,12,MATCH($B158,'MOA role matrix'!$B$1:$D$1,0))="Auto","DLCM (auto), ","")))</f>
        <v/>
      </c>
      <c r="D158" s="5">
        <f>IF($A158="","",IFERROR(INDEX(FILTER('Client contacts'!$B$2:$B$500,('Client contacts'!$A$2:$A$500=$A158)*('Client contacts'!$H$2:$H$500="Y"),""),1),""))</f>
        <v/>
      </c>
      <c r="E158" s="5">
        <f>IF($A158="","",IFERROR(INDEX(FILTER('Client contacts'!$C$2:$C$500,('Client contacts'!$A$2:$A$500=$A158)*('Client contacts'!$H$2:$H$500="Y"),""),1),""))</f>
        <v/>
      </c>
      <c r="F158" s="5">
        <f>IF($A158="","",IFERROR(INDEX(FILTER('Client contacts'!$B$2:$B$500,('Client contacts'!$A$2:$A$500=$A158)*('Client contacts'!$G$2:$G$500="Y"),""),1),""))</f>
        <v/>
      </c>
      <c r="G158" s="5">
        <f>IF($A158="","",IFERROR(INDEX(FILTER('Client contacts'!$C$2:$C$500,('Client contacts'!$A$2:$A$500=$A158)*('Client contacts'!$G$2:$G$500="Y"),""),1),""))</f>
        <v/>
      </c>
      <c r="H158" s="5">
        <f>IF($A158="","",IFERROR(INDEX(FILTER('Client contacts'!$B$2:$B$500,('Client contacts'!$A$2:$A$500=$A158)*('Client contacts'!$G$2:$G$500="Y"),""),2),""))</f>
        <v/>
      </c>
      <c r="I158" s="5">
        <f>IF($A158="","",IFERROR(INDEX(FILTER('Client contacts'!$C$2:$C$500,('Client contacts'!$A$2:$A$500=$A158)*('Client contacts'!$G$2:$G$500="Y"),""),2),""))</f>
        <v/>
      </c>
      <c r="J158" s="8" t="n"/>
      <c r="K158" s="8" t="n"/>
      <c r="L158" s="8" t="n"/>
      <c r="M158" s="8" t="n"/>
      <c r="N158" s="8" t="n"/>
      <c r="O158" s="8" t="n"/>
      <c r="P158" s="8" t="n"/>
      <c r="Q158" s="8" t="n"/>
      <c r="R158" s="5">
        <f>IF($A158="","",IFERROR(INDEX(Companies!$I$2:$I$500,MATCH($A158,Companies!$A$2:$A$500,0)),""))</f>
        <v/>
      </c>
      <c r="S158" s="8" t="n"/>
      <c r="T158" s="8" t="n"/>
      <c r="U158" s="8" t="n"/>
      <c r="V158" s="8" t="n"/>
      <c r="W158" s="8" t="n"/>
    </row>
    <row r="159">
      <c r="C159" s="5">
        <f>IF($B159="","",TRIM(IF(INDEX('MOA role matrix'!$B$2:$D$13,1,MATCH($B159,'MOA role matrix'!$B$1:$D$1,0))="Fill","Project initiator, ","")IF(INDEX('MOA role matrix'!$B$2:$D$13,1,MATCH($B159,'MOA role matrix'!$B$1:$D$1,0))="If finance","Project initiator (if finance), ","")IF(INDEX('MOA role matrix'!$B$2:$D$13,1,MATCH($B159,'MOA role matrix'!$B$1:$D$1,0))="Auto","Project initiator (auto), ","")IF(INDEX('MOA role matrix'!$B$2:$D$13,2,MATCH($B159,'MOA role matrix'!$B$1:$D$1,0))="Fill","MOA signers (client), ","")IF(INDEX('MOA role matrix'!$B$2:$D$13,2,MATCH($B159,'MOA role matrix'!$B$1:$D$1,0))="If finance","MOA signers (client) (if finance), ","")IF(INDEX('MOA role matrix'!$B$2:$D$13,2,MATCH($B159,'MOA role matrix'!$B$1:$D$1,0))="Auto","MOA signers (client) (auto), ","")IF(INDEX('MOA role matrix'!$B$2:$D$13,3,MATCH($B159,'MOA role matrix'!$B$1:$D$1,0))="Fill","CFO / Head of Finance, ","")IF(INDEX('MOA role matrix'!$B$2:$D$13,3,MATCH($B159,'MOA role matrix'!$B$1:$D$1,0))="If finance","CFO / Head of Finance (if finance), ","")IF(INDEX('MOA role matrix'!$B$2:$D$13,3,MATCH($B159,'MOA role matrix'!$B$1:$D$1,0))="Auto","CFO / Head of Finance (auto), ","")IF(INDEX('MOA role matrix'!$B$2:$D$13,4,MATCH($B159,'MOA role matrix'!$B$1:$D$1,0))="Fill","CEO / COO / GM, ","")IF(INDEX('MOA role matrix'!$B$2:$D$13,4,MATCH($B159,'MOA role matrix'!$B$1:$D$1,0))="If finance","CEO / COO / GM (if finance), ","")IF(INDEX('MOA role matrix'!$B$2:$D$13,4,MATCH($B159,'MOA role matrix'!$B$1:$D$1,0))="Auto","CEO / COO / GM (auto), ","")IF(INDEX('MOA role matrix'!$B$2:$D$13,5,MATCH($B159,'MOA role matrix'!$B$1:$D$1,0))="Fill","Board member 1, ","")IF(INDEX('MOA role matrix'!$B$2:$D$13,5,MATCH($B159,'MOA role matrix'!$B$1:$D$1,0))="If finance","Board member 1 (if finance), ","")IF(INDEX('MOA role matrix'!$B$2:$D$13,5,MATCH($B159,'MOA role matrix'!$B$1:$D$1,0))="Auto","Board member 1 (auto), ","")IF(INDEX('MOA role matrix'!$B$2:$D$13,6,MATCH($B159,'MOA role matrix'!$B$1:$D$1,0))="Fill","Board member 2, ","")IF(INDEX('MOA role matrix'!$B$2:$D$13,6,MATCH($B159,'MOA role matrix'!$B$1:$D$1,0))="If finance","Board member 2 (if finance), ","")IF(INDEX('MOA role matrix'!$B$2:$D$13,6,MATCH($B159,'MOA role matrix'!$B$1:$D$1,0))="Auto","Board member 2 (auto), ","")IF(INDEX('MOA role matrix'!$B$2:$D$13,7,MATCH($B159,'MOA role matrix'!$B$1:$D$1,0))="Fill","LOA holder 1, ","")IF(INDEX('MOA role matrix'!$B$2:$D$13,7,MATCH($B159,'MOA role matrix'!$B$1:$D$1,0))="If finance","LOA holder 1 (if finance), ","")IF(INDEX('MOA role matrix'!$B$2:$D$13,7,MATCH($B159,'MOA role matrix'!$B$1:$D$1,0))="Auto","LOA holder 1 (auto), ","")IF(INDEX('MOA role matrix'!$B$2:$D$13,8,MATCH($B159,'MOA role matrix'!$B$1:$D$1,0))="Fill","LOA holder 2, ","")IF(INDEX('MOA role matrix'!$B$2:$D$13,8,MATCH($B159,'MOA role matrix'!$B$1:$D$1,0))="If finance","LOA holder 2 (if finance), ","")IF(INDEX('MOA role matrix'!$B$2:$D$13,8,MATCH($B159,'MOA role matrix'!$B$1:$D$1,0))="Auto","LOA holder 2 (auto), ","")IF(INDEX('MOA role matrix'!$B$2:$D$13,9,MATCH($B159,'MOA role matrix'!$B$1:$D$1,0))="Fill","Senior Manager CoSec, ","")IF(INDEX('MOA role matrix'!$B$2:$D$13,9,MATCH($B159,'MOA role matrix'!$B$1:$D$1,0))="If finance","Senior Manager CoSec (if finance), ","")IF(INDEX('MOA role matrix'!$B$2:$D$13,9,MATCH($B159,'MOA role matrix'!$B$1:$D$1,0))="Auto","Senior Manager CoSec (auto), ","")IF(INDEX('MOA role matrix'!$B$2:$D$13,10,MATCH($B159,'MOA role matrix'!$B$1:$D$1,0))="Fill","Division MOI managers, ","")IF(INDEX('MOA role matrix'!$B$2:$D$13,10,MATCH($B159,'MOA role matrix'!$B$1:$D$1,0))="If finance","Division MOI managers (if finance), ","")IF(INDEX('MOA role matrix'!$B$2:$D$13,10,MATCH($B159,'MOA role matrix'!$B$1:$D$1,0))="Auto","Division MOI managers (auto), ","")IF(INDEX('MOA role matrix'!$B$2:$D$13,11,MATCH($B159,'MOA role matrix'!$B$1:$D$1,0))="Fill","Ms Teh (bank), ","")IF(INDEX('MOA role matrix'!$B$2:$D$13,11,MATCH($B159,'MOA role matrix'!$B$1:$D$1,0))="If finance","Ms Teh (bank) (if finance), ","")IF(INDEX('MOA role matrix'!$B$2:$D$13,11,MATCH($B159,'MOA role matrix'!$B$1:$D$1,0))="Auto","Ms Teh (bank) (auto), ","")IF(INDEX('MOA role matrix'!$B$2:$D$13,12,MATCH($B159,'MOA role matrix'!$B$1:$D$1,0))="Fill","DLCM, ","")IF(INDEX('MOA role matrix'!$B$2:$D$13,12,MATCH($B159,'MOA role matrix'!$B$1:$D$1,0))="If finance","DLCM (if finance), ","")IF(INDEX('MOA role matrix'!$B$2:$D$13,12,MATCH($B159,'MOA role matrix'!$B$1:$D$1,0))="Auto","DLCM (auto), ","")))</f>
        <v/>
      </c>
      <c r="D159" s="5">
        <f>IF($A159="","",IFERROR(INDEX(FILTER('Client contacts'!$B$2:$B$500,('Client contacts'!$A$2:$A$500=$A159)*('Client contacts'!$H$2:$H$500="Y"),""),1),""))</f>
        <v/>
      </c>
      <c r="E159" s="5">
        <f>IF($A159="","",IFERROR(INDEX(FILTER('Client contacts'!$C$2:$C$500,('Client contacts'!$A$2:$A$500=$A159)*('Client contacts'!$H$2:$H$500="Y"),""),1),""))</f>
        <v/>
      </c>
      <c r="F159" s="5">
        <f>IF($A159="","",IFERROR(INDEX(FILTER('Client contacts'!$B$2:$B$500,('Client contacts'!$A$2:$A$500=$A159)*('Client contacts'!$G$2:$G$500="Y"),""),1),""))</f>
        <v/>
      </c>
      <c r="G159" s="5">
        <f>IF($A159="","",IFERROR(INDEX(FILTER('Client contacts'!$C$2:$C$500,('Client contacts'!$A$2:$A$500=$A159)*('Client contacts'!$G$2:$G$500="Y"),""),1),""))</f>
        <v/>
      </c>
      <c r="H159" s="5">
        <f>IF($A159="","",IFERROR(INDEX(FILTER('Client contacts'!$B$2:$B$500,('Client contacts'!$A$2:$A$500=$A159)*('Client contacts'!$G$2:$G$500="Y"),""),2),""))</f>
        <v/>
      </c>
      <c r="I159" s="5">
        <f>IF($A159="","",IFERROR(INDEX(FILTER('Client contacts'!$C$2:$C$500,('Client contacts'!$A$2:$A$500=$A159)*('Client contacts'!$G$2:$G$500="Y"),""),2),""))</f>
        <v/>
      </c>
      <c r="J159" s="8" t="n"/>
      <c r="K159" s="8" t="n"/>
      <c r="L159" s="8" t="n"/>
      <c r="M159" s="8" t="n"/>
      <c r="N159" s="8" t="n"/>
      <c r="O159" s="8" t="n"/>
      <c r="P159" s="8" t="n"/>
      <c r="Q159" s="8" t="n"/>
      <c r="R159" s="5">
        <f>IF($A159="","",IFERROR(INDEX(Companies!$I$2:$I$500,MATCH($A159,Companies!$A$2:$A$500,0)),""))</f>
        <v/>
      </c>
      <c r="S159" s="8" t="n"/>
      <c r="T159" s="8" t="n"/>
      <c r="U159" s="8" t="n"/>
      <c r="V159" s="8" t="n"/>
      <c r="W159" s="8" t="n"/>
    </row>
    <row r="160">
      <c r="C160" s="5">
        <f>IF($B160="","",TRIM(IF(INDEX('MOA role matrix'!$B$2:$D$13,1,MATCH($B160,'MOA role matrix'!$B$1:$D$1,0))="Fill","Project initiator, ","")IF(INDEX('MOA role matrix'!$B$2:$D$13,1,MATCH($B160,'MOA role matrix'!$B$1:$D$1,0))="If finance","Project initiator (if finance), ","")IF(INDEX('MOA role matrix'!$B$2:$D$13,1,MATCH($B160,'MOA role matrix'!$B$1:$D$1,0))="Auto","Project initiator (auto), ","")IF(INDEX('MOA role matrix'!$B$2:$D$13,2,MATCH($B160,'MOA role matrix'!$B$1:$D$1,0))="Fill","MOA signers (client), ","")IF(INDEX('MOA role matrix'!$B$2:$D$13,2,MATCH($B160,'MOA role matrix'!$B$1:$D$1,0))="If finance","MOA signers (client) (if finance), ","")IF(INDEX('MOA role matrix'!$B$2:$D$13,2,MATCH($B160,'MOA role matrix'!$B$1:$D$1,0))="Auto","MOA signers (client) (auto), ","")IF(INDEX('MOA role matrix'!$B$2:$D$13,3,MATCH($B160,'MOA role matrix'!$B$1:$D$1,0))="Fill","CFO / Head of Finance, ","")IF(INDEX('MOA role matrix'!$B$2:$D$13,3,MATCH($B160,'MOA role matrix'!$B$1:$D$1,0))="If finance","CFO / Head of Finance (if finance), ","")IF(INDEX('MOA role matrix'!$B$2:$D$13,3,MATCH($B160,'MOA role matrix'!$B$1:$D$1,0))="Auto","CFO / Head of Finance (auto), ","")IF(INDEX('MOA role matrix'!$B$2:$D$13,4,MATCH($B160,'MOA role matrix'!$B$1:$D$1,0))="Fill","CEO / COO / GM, ","")IF(INDEX('MOA role matrix'!$B$2:$D$13,4,MATCH($B160,'MOA role matrix'!$B$1:$D$1,0))="If finance","CEO / COO / GM (if finance), ","")IF(INDEX('MOA role matrix'!$B$2:$D$13,4,MATCH($B160,'MOA role matrix'!$B$1:$D$1,0))="Auto","CEO / COO / GM (auto), ","")IF(INDEX('MOA role matrix'!$B$2:$D$13,5,MATCH($B160,'MOA role matrix'!$B$1:$D$1,0))="Fill","Board member 1, ","")IF(INDEX('MOA role matrix'!$B$2:$D$13,5,MATCH($B160,'MOA role matrix'!$B$1:$D$1,0))="If finance","Board member 1 (if finance), ","")IF(INDEX('MOA role matrix'!$B$2:$D$13,5,MATCH($B160,'MOA role matrix'!$B$1:$D$1,0))="Auto","Board member 1 (auto), ","")IF(INDEX('MOA role matrix'!$B$2:$D$13,6,MATCH($B160,'MOA role matrix'!$B$1:$D$1,0))="Fill","Board member 2, ","")IF(INDEX('MOA role matrix'!$B$2:$D$13,6,MATCH($B160,'MOA role matrix'!$B$1:$D$1,0))="If finance","Board member 2 (if finance), ","")IF(INDEX('MOA role matrix'!$B$2:$D$13,6,MATCH($B160,'MOA role matrix'!$B$1:$D$1,0))="Auto","Board member 2 (auto), ","")IF(INDEX('MOA role matrix'!$B$2:$D$13,7,MATCH($B160,'MOA role matrix'!$B$1:$D$1,0))="Fill","LOA holder 1, ","")IF(INDEX('MOA role matrix'!$B$2:$D$13,7,MATCH($B160,'MOA role matrix'!$B$1:$D$1,0))="If finance","LOA holder 1 (if finance), ","")IF(INDEX('MOA role matrix'!$B$2:$D$13,7,MATCH($B160,'MOA role matrix'!$B$1:$D$1,0))="Auto","LOA holder 1 (auto), ","")IF(INDEX('MOA role matrix'!$B$2:$D$13,8,MATCH($B160,'MOA role matrix'!$B$1:$D$1,0))="Fill","LOA holder 2, ","")IF(INDEX('MOA role matrix'!$B$2:$D$13,8,MATCH($B160,'MOA role matrix'!$B$1:$D$1,0))="If finance","LOA holder 2 (if finance), ","")IF(INDEX('MOA role matrix'!$B$2:$D$13,8,MATCH($B160,'MOA role matrix'!$B$1:$D$1,0))="Auto","LOA holder 2 (auto), ","")IF(INDEX('MOA role matrix'!$B$2:$D$13,9,MATCH($B160,'MOA role matrix'!$B$1:$D$1,0))="Fill","Senior Manager CoSec, ","")IF(INDEX('MOA role matrix'!$B$2:$D$13,9,MATCH($B160,'MOA role matrix'!$B$1:$D$1,0))="If finance","Senior Manager CoSec (if finance), ","")IF(INDEX('MOA role matrix'!$B$2:$D$13,9,MATCH($B160,'MOA role matrix'!$B$1:$D$1,0))="Auto","Senior Manager CoSec (auto), ","")IF(INDEX('MOA role matrix'!$B$2:$D$13,10,MATCH($B160,'MOA role matrix'!$B$1:$D$1,0))="Fill","Division MOI managers, ","")IF(INDEX('MOA role matrix'!$B$2:$D$13,10,MATCH($B160,'MOA role matrix'!$B$1:$D$1,0))="If finance","Division MOI managers (if finance), ","")IF(INDEX('MOA role matrix'!$B$2:$D$13,10,MATCH($B160,'MOA role matrix'!$B$1:$D$1,0))="Auto","Division MOI managers (auto), ","")IF(INDEX('MOA role matrix'!$B$2:$D$13,11,MATCH($B160,'MOA role matrix'!$B$1:$D$1,0))="Fill","Ms Teh (bank), ","")IF(INDEX('MOA role matrix'!$B$2:$D$13,11,MATCH($B160,'MOA role matrix'!$B$1:$D$1,0))="If finance","Ms Teh (bank) (if finance), ","")IF(INDEX('MOA role matrix'!$B$2:$D$13,11,MATCH($B160,'MOA role matrix'!$B$1:$D$1,0))="Auto","Ms Teh (bank) (auto), ","")IF(INDEX('MOA role matrix'!$B$2:$D$13,12,MATCH($B160,'MOA role matrix'!$B$1:$D$1,0))="Fill","DLCM, ","")IF(INDEX('MOA role matrix'!$B$2:$D$13,12,MATCH($B160,'MOA role matrix'!$B$1:$D$1,0))="If finance","DLCM (if finance), ","")IF(INDEX('MOA role matrix'!$B$2:$D$13,12,MATCH($B160,'MOA role matrix'!$B$1:$D$1,0))="Auto","DLCM (auto), ","")))</f>
        <v/>
      </c>
      <c r="D160" s="5">
        <f>IF($A160="","",IFERROR(INDEX(FILTER('Client contacts'!$B$2:$B$500,('Client contacts'!$A$2:$A$500=$A160)*('Client contacts'!$H$2:$H$500="Y"),""),1),""))</f>
        <v/>
      </c>
      <c r="E160" s="5">
        <f>IF($A160="","",IFERROR(INDEX(FILTER('Client contacts'!$C$2:$C$500,('Client contacts'!$A$2:$A$500=$A160)*('Client contacts'!$H$2:$H$500="Y"),""),1),""))</f>
        <v/>
      </c>
      <c r="F160" s="5">
        <f>IF($A160="","",IFERROR(INDEX(FILTER('Client contacts'!$B$2:$B$500,('Client contacts'!$A$2:$A$500=$A160)*('Client contacts'!$G$2:$G$500="Y"),""),1),""))</f>
        <v/>
      </c>
      <c r="G160" s="5">
        <f>IF($A160="","",IFERROR(INDEX(FILTER('Client contacts'!$C$2:$C$500,('Client contacts'!$A$2:$A$500=$A160)*('Client contacts'!$G$2:$G$500="Y"),""),1),""))</f>
        <v/>
      </c>
      <c r="H160" s="5">
        <f>IF($A160="","",IFERROR(INDEX(FILTER('Client contacts'!$B$2:$B$500,('Client contacts'!$A$2:$A$500=$A160)*('Client contacts'!$G$2:$G$500="Y"),""),2),""))</f>
        <v/>
      </c>
      <c r="I160" s="5">
        <f>IF($A160="","",IFERROR(INDEX(FILTER('Client contacts'!$C$2:$C$500,('Client contacts'!$A$2:$A$500=$A160)*('Client contacts'!$G$2:$G$500="Y"),""),2),""))</f>
        <v/>
      </c>
      <c r="J160" s="8" t="n"/>
      <c r="K160" s="8" t="n"/>
      <c r="L160" s="8" t="n"/>
      <c r="M160" s="8" t="n"/>
      <c r="N160" s="8" t="n"/>
      <c r="O160" s="8" t="n"/>
      <c r="P160" s="8" t="n"/>
      <c r="Q160" s="8" t="n"/>
      <c r="R160" s="5">
        <f>IF($A160="","",IFERROR(INDEX(Companies!$I$2:$I$500,MATCH($A160,Companies!$A$2:$A$500,0)),""))</f>
        <v/>
      </c>
      <c r="S160" s="8" t="n"/>
      <c r="T160" s="8" t="n"/>
      <c r="U160" s="8" t="n"/>
      <c r="V160" s="8" t="n"/>
      <c r="W160" s="8" t="n"/>
    </row>
    <row r="161">
      <c r="C161" s="5">
        <f>IF($B161="","",TRIM(IF(INDEX('MOA role matrix'!$B$2:$D$13,1,MATCH($B161,'MOA role matrix'!$B$1:$D$1,0))="Fill","Project initiator, ","")IF(INDEX('MOA role matrix'!$B$2:$D$13,1,MATCH($B161,'MOA role matrix'!$B$1:$D$1,0))="If finance","Project initiator (if finance), ","")IF(INDEX('MOA role matrix'!$B$2:$D$13,1,MATCH($B161,'MOA role matrix'!$B$1:$D$1,0))="Auto","Project initiator (auto), ","")IF(INDEX('MOA role matrix'!$B$2:$D$13,2,MATCH($B161,'MOA role matrix'!$B$1:$D$1,0))="Fill","MOA signers (client), ","")IF(INDEX('MOA role matrix'!$B$2:$D$13,2,MATCH($B161,'MOA role matrix'!$B$1:$D$1,0))="If finance","MOA signers (client) (if finance), ","")IF(INDEX('MOA role matrix'!$B$2:$D$13,2,MATCH($B161,'MOA role matrix'!$B$1:$D$1,0))="Auto","MOA signers (client) (auto), ","")IF(INDEX('MOA role matrix'!$B$2:$D$13,3,MATCH($B161,'MOA role matrix'!$B$1:$D$1,0))="Fill","CFO / Head of Finance, ","")IF(INDEX('MOA role matrix'!$B$2:$D$13,3,MATCH($B161,'MOA role matrix'!$B$1:$D$1,0))="If finance","CFO / Head of Finance (if finance), ","")IF(INDEX('MOA role matrix'!$B$2:$D$13,3,MATCH($B161,'MOA role matrix'!$B$1:$D$1,0))="Auto","CFO / Head of Finance (auto), ","")IF(INDEX('MOA role matrix'!$B$2:$D$13,4,MATCH($B161,'MOA role matrix'!$B$1:$D$1,0))="Fill","CEO / COO / GM, ","")IF(INDEX('MOA role matrix'!$B$2:$D$13,4,MATCH($B161,'MOA role matrix'!$B$1:$D$1,0))="If finance","CEO / COO / GM (if finance), ","")IF(INDEX('MOA role matrix'!$B$2:$D$13,4,MATCH($B161,'MOA role matrix'!$B$1:$D$1,0))="Auto","CEO / COO / GM (auto), ","")IF(INDEX('MOA role matrix'!$B$2:$D$13,5,MATCH($B161,'MOA role matrix'!$B$1:$D$1,0))="Fill","Board member 1, ","")IF(INDEX('MOA role matrix'!$B$2:$D$13,5,MATCH($B161,'MOA role matrix'!$B$1:$D$1,0))="If finance","Board member 1 (if finance), ","")IF(INDEX('MOA role matrix'!$B$2:$D$13,5,MATCH($B161,'MOA role matrix'!$B$1:$D$1,0))="Auto","Board member 1 (auto), ","")IF(INDEX('MOA role matrix'!$B$2:$D$13,6,MATCH($B161,'MOA role matrix'!$B$1:$D$1,0))="Fill","Board member 2, ","")IF(INDEX('MOA role matrix'!$B$2:$D$13,6,MATCH($B161,'MOA role matrix'!$B$1:$D$1,0))="If finance","Board member 2 (if finance), ","")IF(INDEX('MOA role matrix'!$B$2:$D$13,6,MATCH($B161,'MOA role matrix'!$B$1:$D$1,0))="Auto","Board member 2 (auto), ","")IF(INDEX('MOA role matrix'!$B$2:$D$13,7,MATCH($B161,'MOA role matrix'!$B$1:$D$1,0))="Fill","LOA holder 1, ","")IF(INDEX('MOA role matrix'!$B$2:$D$13,7,MATCH($B161,'MOA role matrix'!$B$1:$D$1,0))="If finance","LOA holder 1 (if finance), ","")IF(INDEX('MOA role matrix'!$B$2:$D$13,7,MATCH($B161,'MOA role matrix'!$B$1:$D$1,0))="Auto","LOA holder 1 (auto), ","")IF(INDEX('MOA role matrix'!$B$2:$D$13,8,MATCH($B161,'MOA role matrix'!$B$1:$D$1,0))="Fill","LOA holder 2, ","")IF(INDEX('MOA role matrix'!$B$2:$D$13,8,MATCH($B161,'MOA role matrix'!$B$1:$D$1,0))="If finance","LOA holder 2 (if finance), ","")IF(INDEX('MOA role matrix'!$B$2:$D$13,8,MATCH($B161,'MOA role matrix'!$B$1:$D$1,0))="Auto","LOA holder 2 (auto), ","")IF(INDEX('MOA role matrix'!$B$2:$D$13,9,MATCH($B161,'MOA role matrix'!$B$1:$D$1,0))="Fill","Senior Manager CoSec, ","")IF(INDEX('MOA role matrix'!$B$2:$D$13,9,MATCH($B161,'MOA role matrix'!$B$1:$D$1,0))="If finance","Senior Manager CoSec (if finance), ","")IF(INDEX('MOA role matrix'!$B$2:$D$13,9,MATCH($B161,'MOA role matrix'!$B$1:$D$1,0))="Auto","Senior Manager CoSec (auto), ","")IF(INDEX('MOA role matrix'!$B$2:$D$13,10,MATCH($B161,'MOA role matrix'!$B$1:$D$1,0))="Fill","Division MOI managers, ","")IF(INDEX('MOA role matrix'!$B$2:$D$13,10,MATCH($B161,'MOA role matrix'!$B$1:$D$1,0))="If finance","Division MOI managers (if finance), ","")IF(INDEX('MOA role matrix'!$B$2:$D$13,10,MATCH($B161,'MOA role matrix'!$B$1:$D$1,0))="Auto","Division MOI managers (auto), ","")IF(INDEX('MOA role matrix'!$B$2:$D$13,11,MATCH($B161,'MOA role matrix'!$B$1:$D$1,0))="Fill","Ms Teh (bank), ","")IF(INDEX('MOA role matrix'!$B$2:$D$13,11,MATCH($B161,'MOA role matrix'!$B$1:$D$1,0))="If finance","Ms Teh (bank) (if finance), ","")IF(INDEX('MOA role matrix'!$B$2:$D$13,11,MATCH($B161,'MOA role matrix'!$B$1:$D$1,0))="Auto","Ms Teh (bank) (auto), ","")IF(INDEX('MOA role matrix'!$B$2:$D$13,12,MATCH($B161,'MOA role matrix'!$B$1:$D$1,0))="Fill","DLCM, ","")IF(INDEX('MOA role matrix'!$B$2:$D$13,12,MATCH($B161,'MOA role matrix'!$B$1:$D$1,0))="If finance","DLCM (if finance), ","")IF(INDEX('MOA role matrix'!$B$2:$D$13,12,MATCH($B161,'MOA role matrix'!$B$1:$D$1,0))="Auto","DLCM (auto), ","")))</f>
        <v/>
      </c>
      <c r="D161" s="5">
        <f>IF($A161="","",IFERROR(INDEX(FILTER('Client contacts'!$B$2:$B$500,('Client contacts'!$A$2:$A$500=$A161)*('Client contacts'!$H$2:$H$500="Y"),""),1),""))</f>
        <v/>
      </c>
      <c r="E161" s="5">
        <f>IF($A161="","",IFERROR(INDEX(FILTER('Client contacts'!$C$2:$C$500,('Client contacts'!$A$2:$A$500=$A161)*('Client contacts'!$H$2:$H$500="Y"),""),1),""))</f>
        <v/>
      </c>
      <c r="F161" s="5">
        <f>IF($A161="","",IFERROR(INDEX(FILTER('Client contacts'!$B$2:$B$500,('Client contacts'!$A$2:$A$500=$A161)*('Client contacts'!$G$2:$G$500="Y"),""),1),""))</f>
        <v/>
      </c>
      <c r="G161" s="5">
        <f>IF($A161="","",IFERROR(INDEX(FILTER('Client contacts'!$C$2:$C$500,('Client contacts'!$A$2:$A$500=$A161)*('Client contacts'!$G$2:$G$500="Y"),""),1),""))</f>
        <v/>
      </c>
      <c r="H161" s="5">
        <f>IF($A161="","",IFERROR(INDEX(FILTER('Client contacts'!$B$2:$B$500,('Client contacts'!$A$2:$A$500=$A161)*('Client contacts'!$G$2:$G$500="Y"),""),2),""))</f>
        <v/>
      </c>
      <c r="I161" s="5">
        <f>IF($A161="","",IFERROR(INDEX(FILTER('Client contacts'!$C$2:$C$500,('Client contacts'!$A$2:$A$500=$A161)*('Client contacts'!$G$2:$G$500="Y"),""),2),""))</f>
        <v/>
      </c>
      <c r="J161" s="8" t="n"/>
      <c r="K161" s="8" t="n"/>
      <c r="L161" s="8" t="n"/>
      <c r="M161" s="8" t="n"/>
      <c r="N161" s="8" t="n"/>
      <c r="O161" s="8" t="n"/>
      <c r="P161" s="8" t="n"/>
      <c r="Q161" s="8" t="n"/>
      <c r="R161" s="5">
        <f>IF($A161="","",IFERROR(INDEX(Companies!$I$2:$I$500,MATCH($A161,Companies!$A$2:$A$500,0)),""))</f>
        <v/>
      </c>
      <c r="S161" s="8" t="n"/>
      <c r="T161" s="8" t="n"/>
      <c r="U161" s="8" t="n"/>
      <c r="V161" s="8" t="n"/>
      <c r="W161" s="8" t="n"/>
    </row>
    <row r="162">
      <c r="C162" s="5">
        <f>IF($B162="","",TRIM(IF(INDEX('MOA role matrix'!$B$2:$D$13,1,MATCH($B162,'MOA role matrix'!$B$1:$D$1,0))="Fill","Project initiator, ","")IF(INDEX('MOA role matrix'!$B$2:$D$13,1,MATCH($B162,'MOA role matrix'!$B$1:$D$1,0))="If finance","Project initiator (if finance), ","")IF(INDEX('MOA role matrix'!$B$2:$D$13,1,MATCH($B162,'MOA role matrix'!$B$1:$D$1,0))="Auto","Project initiator (auto), ","")IF(INDEX('MOA role matrix'!$B$2:$D$13,2,MATCH($B162,'MOA role matrix'!$B$1:$D$1,0))="Fill","MOA signers (client), ","")IF(INDEX('MOA role matrix'!$B$2:$D$13,2,MATCH($B162,'MOA role matrix'!$B$1:$D$1,0))="If finance","MOA signers (client) (if finance), ","")IF(INDEX('MOA role matrix'!$B$2:$D$13,2,MATCH($B162,'MOA role matrix'!$B$1:$D$1,0))="Auto","MOA signers (client) (auto), ","")IF(INDEX('MOA role matrix'!$B$2:$D$13,3,MATCH($B162,'MOA role matrix'!$B$1:$D$1,0))="Fill","CFO / Head of Finance, ","")IF(INDEX('MOA role matrix'!$B$2:$D$13,3,MATCH($B162,'MOA role matrix'!$B$1:$D$1,0))="If finance","CFO / Head of Finance (if finance), ","")IF(INDEX('MOA role matrix'!$B$2:$D$13,3,MATCH($B162,'MOA role matrix'!$B$1:$D$1,0))="Auto","CFO / Head of Finance (auto), ","")IF(INDEX('MOA role matrix'!$B$2:$D$13,4,MATCH($B162,'MOA role matrix'!$B$1:$D$1,0))="Fill","CEO / COO / GM, ","")IF(INDEX('MOA role matrix'!$B$2:$D$13,4,MATCH($B162,'MOA role matrix'!$B$1:$D$1,0))="If finance","CEO / COO / GM (if finance), ","")IF(INDEX('MOA role matrix'!$B$2:$D$13,4,MATCH($B162,'MOA role matrix'!$B$1:$D$1,0))="Auto","CEO / COO / GM (auto), ","")IF(INDEX('MOA role matrix'!$B$2:$D$13,5,MATCH($B162,'MOA role matrix'!$B$1:$D$1,0))="Fill","Board member 1, ","")IF(INDEX('MOA role matrix'!$B$2:$D$13,5,MATCH($B162,'MOA role matrix'!$B$1:$D$1,0))="If finance","Board member 1 (if finance), ","")IF(INDEX('MOA role matrix'!$B$2:$D$13,5,MATCH($B162,'MOA role matrix'!$B$1:$D$1,0))="Auto","Board member 1 (auto), ","")IF(INDEX('MOA role matrix'!$B$2:$D$13,6,MATCH($B162,'MOA role matrix'!$B$1:$D$1,0))="Fill","Board member 2, ","")IF(INDEX('MOA role matrix'!$B$2:$D$13,6,MATCH($B162,'MOA role matrix'!$B$1:$D$1,0))="If finance","Board member 2 (if finance), ","")IF(INDEX('MOA role matrix'!$B$2:$D$13,6,MATCH($B162,'MOA role matrix'!$B$1:$D$1,0))="Auto","Board member 2 (auto), ","")IF(INDEX('MOA role matrix'!$B$2:$D$13,7,MATCH($B162,'MOA role matrix'!$B$1:$D$1,0))="Fill","LOA holder 1, ","")IF(INDEX('MOA role matrix'!$B$2:$D$13,7,MATCH($B162,'MOA role matrix'!$B$1:$D$1,0))="If finance","LOA holder 1 (if finance), ","")IF(INDEX('MOA role matrix'!$B$2:$D$13,7,MATCH($B162,'MOA role matrix'!$B$1:$D$1,0))="Auto","LOA holder 1 (auto), ","")IF(INDEX('MOA role matrix'!$B$2:$D$13,8,MATCH($B162,'MOA role matrix'!$B$1:$D$1,0))="Fill","LOA holder 2, ","")IF(INDEX('MOA role matrix'!$B$2:$D$13,8,MATCH($B162,'MOA role matrix'!$B$1:$D$1,0))="If finance","LOA holder 2 (if finance), ","")IF(INDEX('MOA role matrix'!$B$2:$D$13,8,MATCH($B162,'MOA role matrix'!$B$1:$D$1,0))="Auto","LOA holder 2 (auto), ","")IF(INDEX('MOA role matrix'!$B$2:$D$13,9,MATCH($B162,'MOA role matrix'!$B$1:$D$1,0))="Fill","Senior Manager CoSec, ","")IF(INDEX('MOA role matrix'!$B$2:$D$13,9,MATCH($B162,'MOA role matrix'!$B$1:$D$1,0))="If finance","Senior Manager CoSec (if finance), ","")IF(INDEX('MOA role matrix'!$B$2:$D$13,9,MATCH($B162,'MOA role matrix'!$B$1:$D$1,0))="Auto","Senior Manager CoSec (auto), ","")IF(INDEX('MOA role matrix'!$B$2:$D$13,10,MATCH($B162,'MOA role matrix'!$B$1:$D$1,0))="Fill","Division MOI managers, ","")IF(INDEX('MOA role matrix'!$B$2:$D$13,10,MATCH($B162,'MOA role matrix'!$B$1:$D$1,0))="If finance","Division MOI managers (if finance), ","")IF(INDEX('MOA role matrix'!$B$2:$D$13,10,MATCH($B162,'MOA role matrix'!$B$1:$D$1,0))="Auto","Division MOI managers (auto), ","")IF(INDEX('MOA role matrix'!$B$2:$D$13,11,MATCH($B162,'MOA role matrix'!$B$1:$D$1,0))="Fill","Ms Teh (bank), ","")IF(INDEX('MOA role matrix'!$B$2:$D$13,11,MATCH($B162,'MOA role matrix'!$B$1:$D$1,0))="If finance","Ms Teh (bank) (if finance), ","")IF(INDEX('MOA role matrix'!$B$2:$D$13,11,MATCH($B162,'MOA role matrix'!$B$1:$D$1,0))="Auto","Ms Teh (bank) (auto), ","")IF(INDEX('MOA role matrix'!$B$2:$D$13,12,MATCH($B162,'MOA role matrix'!$B$1:$D$1,0))="Fill","DLCM, ","")IF(INDEX('MOA role matrix'!$B$2:$D$13,12,MATCH($B162,'MOA role matrix'!$B$1:$D$1,0))="If finance","DLCM (if finance), ","")IF(INDEX('MOA role matrix'!$B$2:$D$13,12,MATCH($B162,'MOA role matrix'!$B$1:$D$1,0))="Auto","DLCM (auto), ","")))</f>
        <v/>
      </c>
      <c r="D162" s="5">
        <f>IF($A162="","",IFERROR(INDEX(FILTER('Client contacts'!$B$2:$B$500,('Client contacts'!$A$2:$A$500=$A162)*('Client contacts'!$H$2:$H$500="Y"),""),1),""))</f>
        <v/>
      </c>
      <c r="E162" s="5">
        <f>IF($A162="","",IFERROR(INDEX(FILTER('Client contacts'!$C$2:$C$500,('Client contacts'!$A$2:$A$500=$A162)*('Client contacts'!$H$2:$H$500="Y"),""),1),""))</f>
        <v/>
      </c>
      <c r="F162" s="5">
        <f>IF($A162="","",IFERROR(INDEX(FILTER('Client contacts'!$B$2:$B$500,('Client contacts'!$A$2:$A$500=$A162)*('Client contacts'!$G$2:$G$500="Y"),""),1),""))</f>
        <v/>
      </c>
      <c r="G162" s="5">
        <f>IF($A162="","",IFERROR(INDEX(FILTER('Client contacts'!$C$2:$C$500,('Client contacts'!$A$2:$A$500=$A162)*('Client contacts'!$G$2:$G$500="Y"),""),1),""))</f>
        <v/>
      </c>
      <c r="H162" s="5">
        <f>IF($A162="","",IFERROR(INDEX(FILTER('Client contacts'!$B$2:$B$500,('Client contacts'!$A$2:$A$500=$A162)*('Client contacts'!$G$2:$G$500="Y"),""),2),""))</f>
        <v/>
      </c>
      <c r="I162" s="5">
        <f>IF($A162="","",IFERROR(INDEX(FILTER('Client contacts'!$C$2:$C$500,('Client contacts'!$A$2:$A$500=$A162)*('Client contacts'!$G$2:$G$500="Y"),""),2),""))</f>
        <v/>
      </c>
      <c r="J162" s="8" t="n"/>
      <c r="K162" s="8" t="n"/>
      <c r="L162" s="8" t="n"/>
      <c r="M162" s="8" t="n"/>
      <c r="N162" s="8" t="n"/>
      <c r="O162" s="8" t="n"/>
      <c r="P162" s="8" t="n"/>
      <c r="Q162" s="8" t="n"/>
      <c r="R162" s="5">
        <f>IF($A162="","",IFERROR(INDEX(Companies!$I$2:$I$500,MATCH($A162,Companies!$A$2:$A$500,0)),""))</f>
        <v/>
      </c>
      <c r="S162" s="8" t="n"/>
      <c r="T162" s="8" t="n"/>
      <c r="U162" s="8" t="n"/>
      <c r="V162" s="8" t="n"/>
      <c r="W162" s="8" t="n"/>
    </row>
    <row r="163">
      <c r="C163" s="5">
        <f>IF($B163="","",TRIM(IF(INDEX('MOA role matrix'!$B$2:$D$13,1,MATCH($B163,'MOA role matrix'!$B$1:$D$1,0))="Fill","Project initiator, ","")IF(INDEX('MOA role matrix'!$B$2:$D$13,1,MATCH($B163,'MOA role matrix'!$B$1:$D$1,0))="If finance","Project initiator (if finance), ","")IF(INDEX('MOA role matrix'!$B$2:$D$13,1,MATCH($B163,'MOA role matrix'!$B$1:$D$1,0))="Auto","Project initiator (auto), ","")IF(INDEX('MOA role matrix'!$B$2:$D$13,2,MATCH($B163,'MOA role matrix'!$B$1:$D$1,0))="Fill","MOA signers (client), ","")IF(INDEX('MOA role matrix'!$B$2:$D$13,2,MATCH($B163,'MOA role matrix'!$B$1:$D$1,0))="If finance","MOA signers (client) (if finance), ","")IF(INDEX('MOA role matrix'!$B$2:$D$13,2,MATCH($B163,'MOA role matrix'!$B$1:$D$1,0))="Auto","MOA signers (client) (auto), ","")IF(INDEX('MOA role matrix'!$B$2:$D$13,3,MATCH($B163,'MOA role matrix'!$B$1:$D$1,0))="Fill","CFO / Head of Finance, ","")IF(INDEX('MOA role matrix'!$B$2:$D$13,3,MATCH($B163,'MOA role matrix'!$B$1:$D$1,0))="If finance","CFO / Head of Finance (if finance), ","")IF(INDEX('MOA role matrix'!$B$2:$D$13,3,MATCH($B163,'MOA role matrix'!$B$1:$D$1,0))="Auto","CFO / Head of Finance (auto), ","")IF(INDEX('MOA role matrix'!$B$2:$D$13,4,MATCH($B163,'MOA role matrix'!$B$1:$D$1,0))="Fill","CEO / COO / GM, ","")IF(INDEX('MOA role matrix'!$B$2:$D$13,4,MATCH($B163,'MOA role matrix'!$B$1:$D$1,0))="If finance","CEO / COO / GM (if finance), ","")IF(INDEX('MOA role matrix'!$B$2:$D$13,4,MATCH($B163,'MOA role matrix'!$B$1:$D$1,0))="Auto","CEO / COO / GM (auto), ","")IF(INDEX('MOA role matrix'!$B$2:$D$13,5,MATCH($B163,'MOA role matrix'!$B$1:$D$1,0))="Fill","Board member 1, ","")IF(INDEX('MOA role matrix'!$B$2:$D$13,5,MATCH($B163,'MOA role matrix'!$B$1:$D$1,0))="If finance","Board member 1 (if finance), ","")IF(INDEX('MOA role matrix'!$B$2:$D$13,5,MATCH($B163,'MOA role matrix'!$B$1:$D$1,0))="Auto","Board member 1 (auto), ","")IF(INDEX('MOA role matrix'!$B$2:$D$13,6,MATCH($B163,'MOA role matrix'!$B$1:$D$1,0))="Fill","Board member 2, ","")IF(INDEX('MOA role matrix'!$B$2:$D$13,6,MATCH($B163,'MOA role matrix'!$B$1:$D$1,0))="If finance","Board member 2 (if finance), ","")IF(INDEX('MOA role matrix'!$B$2:$D$13,6,MATCH($B163,'MOA role matrix'!$B$1:$D$1,0))="Auto","Board member 2 (auto), ","")IF(INDEX('MOA role matrix'!$B$2:$D$13,7,MATCH($B163,'MOA role matrix'!$B$1:$D$1,0))="Fill","LOA holder 1, ","")IF(INDEX('MOA role matrix'!$B$2:$D$13,7,MATCH($B163,'MOA role matrix'!$B$1:$D$1,0))="If finance","LOA holder 1 (if finance), ","")IF(INDEX('MOA role matrix'!$B$2:$D$13,7,MATCH($B163,'MOA role matrix'!$B$1:$D$1,0))="Auto","LOA holder 1 (auto), ","")IF(INDEX('MOA role matrix'!$B$2:$D$13,8,MATCH($B163,'MOA role matrix'!$B$1:$D$1,0))="Fill","LOA holder 2, ","")IF(INDEX('MOA role matrix'!$B$2:$D$13,8,MATCH($B163,'MOA role matrix'!$B$1:$D$1,0))="If finance","LOA holder 2 (if finance), ","")IF(INDEX('MOA role matrix'!$B$2:$D$13,8,MATCH($B163,'MOA role matrix'!$B$1:$D$1,0))="Auto","LOA holder 2 (auto), ","")IF(INDEX('MOA role matrix'!$B$2:$D$13,9,MATCH($B163,'MOA role matrix'!$B$1:$D$1,0))="Fill","Senior Manager CoSec, ","")IF(INDEX('MOA role matrix'!$B$2:$D$13,9,MATCH($B163,'MOA role matrix'!$B$1:$D$1,0))="If finance","Senior Manager CoSec (if finance), ","")IF(INDEX('MOA role matrix'!$B$2:$D$13,9,MATCH($B163,'MOA role matrix'!$B$1:$D$1,0))="Auto","Senior Manager CoSec (auto), ","")IF(INDEX('MOA role matrix'!$B$2:$D$13,10,MATCH($B163,'MOA role matrix'!$B$1:$D$1,0))="Fill","Division MOI managers, ","")IF(INDEX('MOA role matrix'!$B$2:$D$13,10,MATCH($B163,'MOA role matrix'!$B$1:$D$1,0))="If finance","Division MOI managers (if finance), ","")IF(INDEX('MOA role matrix'!$B$2:$D$13,10,MATCH($B163,'MOA role matrix'!$B$1:$D$1,0))="Auto","Division MOI managers (auto), ","")IF(INDEX('MOA role matrix'!$B$2:$D$13,11,MATCH($B163,'MOA role matrix'!$B$1:$D$1,0))="Fill","Ms Teh (bank), ","")IF(INDEX('MOA role matrix'!$B$2:$D$13,11,MATCH($B163,'MOA role matrix'!$B$1:$D$1,0))="If finance","Ms Teh (bank) (if finance), ","")IF(INDEX('MOA role matrix'!$B$2:$D$13,11,MATCH($B163,'MOA role matrix'!$B$1:$D$1,0))="Auto","Ms Teh (bank) (auto), ","")IF(INDEX('MOA role matrix'!$B$2:$D$13,12,MATCH($B163,'MOA role matrix'!$B$1:$D$1,0))="Fill","DLCM, ","")IF(INDEX('MOA role matrix'!$B$2:$D$13,12,MATCH($B163,'MOA role matrix'!$B$1:$D$1,0))="If finance","DLCM (if finance), ","")IF(INDEX('MOA role matrix'!$B$2:$D$13,12,MATCH($B163,'MOA role matrix'!$B$1:$D$1,0))="Auto","DLCM (auto), ","")))</f>
        <v/>
      </c>
      <c r="D163" s="5">
        <f>IF($A163="","",IFERROR(INDEX(FILTER('Client contacts'!$B$2:$B$500,('Client contacts'!$A$2:$A$500=$A163)*('Client contacts'!$H$2:$H$500="Y"),""),1),""))</f>
        <v/>
      </c>
      <c r="E163" s="5">
        <f>IF($A163="","",IFERROR(INDEX(FILTER('Client contacts'!$C$2:$C$500,('Client contacts'!$A$2:$A$500=$A163)*('Client contacts'!$H$2:$H$500="Y"),""),1),""))</f>
        <v/>
      </c>
      <c r="F163" s="5">
        <f>IF($A163="","",IFERROR(INDEX(FILTER('Client contacts'!$B$2:$B$500,('Client contacts'!$A$2:$A$500=$A163)*('Client contacts'!$G$2:$G$500="Y"),""),1),""))</f>
        <v/>
      </c>
      <c r="G163" s="5">
        <f>IF($A163="","",IFERROR(INDEX(FILTER('Client contacts'!$C$2:$C$500,('Client contacts'!$A$2:$A$500=$A163)*('Client contacts'!$G$2:$G$500="Y"),""),1),""))</f>
        <v/>
      </c>
      <c r="H163" s="5">
        <f>IF($A163="","",IFERROR(INDEX(FILTER('Client contacts'!$B$2:$B$500,('Client contacts'!$A$2:$A$500=$A163)*('Client contacts'!$G$2:$G$500="Y"),""),2),""))</f>
        <v/>
      </c>
      <c r="I163" s="5">
        <f>IF($A163="","",IFERROR(INDEX(FILTER('Client contacts'!$C$2:$C$500,('Client contacts'!$A$2:$A$500=$A163)*('Client contacts'!$G$2:$G$500="Y"),""),2),""))</f>
        <v/>
      </c>
      <c r="J163" s="8" t="n"/>
      <c r="K163" s="8" t="n"/>
      <c r="L163" s="8" t="n"/>
      <c r="M163" s="8" t="n"/>
      <c r="N163" s="8" t="n"/>
      <c r="O163" s="8" t="n"/>
      <c r="P163" s="8" t="n"/>
      <c r="Q163" s="8" t="n"/>
      <c r="R163" s="5">
        <f>IF($A163="","",IFERROR(INDEX(Companies!$I$2:$I$500,MATCH($A163,Companies!$A$2:$A$500,0)),""))</f>
        <v/>
      </c>
      <c r="S163" s="8" t="n"/>
      <c r="T163" s="8" t="n"/>
      <c r="U163" s="8" t="n"/>
      <c r="V163" s="8" t="n"/>
      <c r="W163" s="8" t="n"/>
    </row>
    <row r="164">
      <c r="C164" s="5">
        <f>IF($B164="","",TRIM(IF(INDEX('MOA role matrix'!$B$2:$D$13,1,MATCH($B164,'MOA role matrix'!$B$1:$D$1,0))="Fill","Project initiator, ","")IF(INDEX('MOA role matrix'!$B$2:$D$13,1,MATCH($B164,'MOA role matrix'!$B$1:$D$1,0))="If finance","Project initiator (if finance), ","")IF(INDEX('MOA role matrix'!$B$2:$D$13,1,MATCH($B164,'MOA role matrix'!$B$1:$D$1,0))="Auto","Project initiator (auto), ","")IF(INDEX('MOA role matrix'!$B$2:$D$13,2,MATCH($B164,'MOA role matrix'!$B$1:$D$1,0))="Fill","MOA signers (client), ","")IF(INDEX('MOA role matrix'!$B$2:$D$13,2,MATCH($B164,'MOA role matrix'!$B$1:$D$1,0))="If finance","MOA signers (client) (if finance), ","")IF(INDEX('MOA role matrix'!$B$2:$D$13,2,MATCH($B164,'MOA role matrix'!$B$1:$D$1,0))="Auto","MOA signers (client) (auto), ","")IF(INDEX('MOA role matrix'!$B$2:$D$13,3,MATCH($B164,'MOA role matrix'!$B$1:$D$1,0))="Fill","CFO / Head of Finance, ","")IF(INDEX('MOA role matrix'!$B$2:$D$13,3,MATCH($B164,'MOA role matrix'!$B$1:$D$1,0))="If finance","CFO / Head of Finance (if finance), ","")IF(INDEX('MOA role matrix'!$B$2:$D$13,3,MATCH($B164,'MOA role matrix'!$B$1:$D$1,0))="Auto","CFO / Head of Finance (auto), ","")IF(INDEX('MOA role matrix'!$B$2:$D$13,4,MATCH($B164,'MOA role matrix'!$B$1:$D$1,0))="Fill","CEO / COO / GM, ","")IF(INDEX('MOA role matrix'!$B$2:$D$13,4,MATCH($B164,'MOA role matrix'!$B$1:$D$1,0))="If finance","CEO / COO / GM (if finance), ","")IF(INDEX('MOA role matrix'!$B$2:$D$13,4,MATCH($B164,'MOA role matrix'!$B$1:$D$1,0))="Auto","CEO / COO / GM (auto), ","")IF(INDEX('MOA role matrix'!$B$2:$D$13,5,MATCH($B164,'MOA role matrix'!$B$1:$D$1,0))="Fill","Board member 1, ","")IF(INDEX('MOA role matrix'!$B$2:$D$13,5,MATCH($B164,'MOA role matrix'!$B$1:$D$1,0))="If finance","Board member 1 (if finance), ","")IF(INDEX('MOA role matrix'!$B$2:$D$13,5,MATCH($B164,'MOA role matrix'!$B$1:$D$1,0))="Auto","Board member 1 (auto), ","")IF(INDEX('MOA role matrix'!$B$2:$D$13,6,MATCH($B164,'MOA role matrix'!$B$1:$D$1,0))="Fill","Board member 2, ","")IF(INDEX('MOA role matrix'!$B$2:$D$13,6,MATCH($B164,'MOA role matrix'!$B$1:$D$1,0))="If finance","Board member 2 (if finance), ","")IF(INDEX('MOA role matrix'!$B$2:$D$13,6,MATCH($B164,'MOA role matrix'!$B$1:$D$1,0))="Auto","Board member 2 (auto), ","")IF(INDEX('MOA role matrix'!$B$2:$D$13,7,MATCH($B164,'MOA role matrix'!$B$1:$D$1,0))="Fill","LOA holder 1, ","")IF(INDEX('MOA role matrix'!$B$2:$D$13,7,MATCH($B164,'MOA role matrix'!$B$1:$D$1,0))="If finance","LOA holder 1 (if finance), ","")IF(INDEX('MOA role matrix'!$B$2:$D$13,7,MATCH($B164,'MOA role matrix'!$B$1:$D$1,0))="Auto","LOA holder 1 (auto), ","")IF(INDEX('MOA role matrix'!$B$2:$D$13,8,MATCH($B164,'MOA role matrix'!$B$1:$D$1,0))="Fill","LOA holder 2, ","")IF(INDEX('MOA role matrix'!$B$2:$D$13,8,MATCH($B164,'MOA role matrix'!$B$1:$D$1,0))="If finance","LOA holder 2 (if finance), ","")IF(INDEX('MOA role matrix'!$B$2:$D$13,8,MATCH($B164,'MOA role matrix'!$B$1:$D$1,0))="Auto","LOA holder 2 (auto), ","")IF(INDEX('MOA role matrix'!$B$2:$D$13,9,MATCH($B164,'MOA role matrix'!$B$1:$D$1,0))="Fill","Senior Manager CoSec, ","")IF(INDEX('MOA role matrix'!$B$2:$D$13,9,MATCH($B164,'MOA role matrix'!$B$1:$D$1,0))="If finance","Senior Manager CoSec (if finance), ","")IF(INDEX('MOA role matrix'!$B$2:$D$13,9,MATCH($B164,'MOA role matrix'!$B$1:$D$1,0))="Auto","Senior Manager CoSec (auto), ","")IF(INDEX('MOA role matrix'!$B$2:$D$13,10,MATCH($B164,'MOA role matrix'!$B$1:$D$1,0))="Fill","Division MOI managers, ","")IF(INDEX('MOA role matrix'!$B$2:$D$13,10,MATCH($B164,'MOA role matrix'!$B$1:$D$1,0))="If finance","Division MOI managers (if finance), ","")IF(INDEX('MOA role matrix'!$B$2:$D$13,10,MATCH($B164,'MOA role matrix'!$B$1:$D$1,0))="Auto","Division MOI managers (auto), ","")IF(INDEX('MOA role matrix'!$B$2:$D$13,11,MATCH($B164,'MOA role matrix'!$B$1:$D$1,0))="Fill","Ms Teh (bank), ","")IF(INDEX('MOA role matrix'!$B$2:$D$13,11,MATCH($B164,'MOA role matrix'!$B$1:$D$1,0))="If finance","Ms Teh (bank) (if finance), ","")IF(INDEX('MOA role matrix'!$B$2:$D$13,11,MATCH($B164,'MOA role matrix'!$B$1:$D$1,0))="Auto","Ms Teh (bank) (auto), ","")IF(INDEX('MOA role matrix'!$B$2:$D$13,12,MATCH($B164,'MOA role matrix'!$B$1:$D$1,0))="Fill","DLCM, ","")IF(INDEX('MOA role matrix'!$B$2:$D$13,12,MATCH($B164,'MOA role matrix'!$B$1:$D$1,0))="If finance","DLCM (if finance), ","")IF(INDEX('MOA role matrix'!$B$2:$D$13,12,MATCH($B164,'MOA role matrix'!$B$1:$D$1,0))="Auto","DLCM (auto), ","")))</f>
        <v/>
      </c>
      <c r="D164" s="5">
        <f>IF($A164="","",IFERROR(INDEX(FILTER('Client contacts'!$B$2:$B$500,('Client contacts'!$A$2:$A$500=$A164)*('Client contacts'!$H$2:$H$500="Y"),""),1),""))</f>
        <v/>
      </c>
      <c r="E164" s="5">
        <f>IF($A164="","",IFERROR(INDEX(FILTER('Client contacts'!$C$2:$C$500,('Client contacts'!$A$2:$A$500=$A164)*('Client contacts'!$H$2:$H$500="Y"),""),1),""))</f>
        <v/>
      </c>
      <c r="F164" s="5">
        <f>IF($A164="","",IFERROR(INDEX(FILTER('Client contacts'!$B$2:$B$500,('Client contacts'!$A$2:$A$500=$A164)*('Client contacts'!$G$2:$G$500="Y"),""),1),""))</f>
        <v/>
      </c>
      <c r="G164" s="5">
        <f>IF($A164="","",IFERROR(INDEX(FILTER('Client contacts'!$C$2:$C$500,('Client contacts'!$A$2:$A$500=$A164)*('Client contacts'!$G$2:$G$500="Y"),""),1),""))</f>
        <v/>
      </c>
      <c r="H164" s="5">
        <f>IF($A164="","",IFERROR(INDEX(FILTER('Client contacts'!$B$2:$B$500,('Client contacts'!$A$2:$A$500=$A164)*('Client contacts'!$G$2:$G$500="Y"),""),2),""))</f>
        <v/>
      </c>
      <c r="I164" s="5">
        <f>IF($A164="","",IFERROR(INDEX(FILTER('Client contacts'!$C$2:$C$500,('Client contacts'!$A$2:$A$500=$A164)*('Client contacts'!$G$2:$G$500="Y"),""),2),""))</f>
        <v/>
      </c>
      <c r="J164" s="8" t="n"/>
      <c r="K164" s="8" t="n"/>
      <c r="L164" s="8" t="n"/>
      <c r="M164" s="8" t="n"/>
      <c r="N164" s="8" t="n"/>
      <c r="O164" s="8" t="n"/>
      <c r="P164" s="8" t="n"/>
      <c r="Q164" s="8" t="n"/>
      <c r="R164" s="5">
        <f>IF($A164="","",IFERROR(INDEX(Companies!$I$2:$I$500,MATCH($A164,Companies!$A$2:$A$500,0)),""))</f>
        <v/>
      </c>
      <c r="S164" s="8" t="n"/>
      <c r="T164" s="8" t="n"/>
      <c r="U164" s="8" t="n"/>
      <c r="V164" s="8" t="n"/>
      <c r="W164" s="8" t="n"/>
    </row>
    <row r="165">
      <c r="C165" s="5">
        <f>IF($B165="","",TRIM(IF(INDEX('MOA role matrix'!$B$2:$D$13,1,MATCH($B165,'MOA role matrix'!$B$1:$D$1,0))="Fill","Project initiator, ","")IF(INDEX('MOA role matrix'!$B$2:$D$13,1,MATCH($B165,'MOA role matrix'!$B$1:$D$1,0))="If finance","Project initiator (if finance), ","")IF(INDEX('MOA role matrix'!$B$2:$D$13,1,MATCH($B165,'MOA role matrix'!$B$1:$D$1,0))="Auto","Project initiator (auto), ","")IF(INDEX('MOA role matrix'!$B$2:$D$13,2,MATCH($B165,'MOA role matrix'!$B$1:$D$1,0))="Fill","MOA signers (client), ","")IF(INDEX('MOA role matrix'!$B$2:$D$13,2,MATCH($B165,'MOA role matrix'!$B$1:$D$1,0))="If finance","MOA signers (client) (if finance), ","")IF(INDEX('MOA role matrix'!$B$2:$D$13,2,MATCH($B165,'MOA role matrix'!$B$1:$D$1,0))="Auto","MOA signers (client) (auto), ","")IF(INDEX('MOA role matrix'!$B$2:$D$13,3,MATCH($B165,'MOA role matrix'!$B$1:$D$1,0))="Fill","CFO / Head of Finance, ","")IF(INDEX('MOA role matrix'!$B$2:$D$13,3,MATCH($B165,'MOA role matrix'!$B$1:$D$1,0))="If finance","CFO / Head of Finance (if finance), ","")IF(INDEX('MOA role matrix'!$B$2:$D$13,3,MATCH($B165,'MOA role matrix'!$B$1:$D$1,0))="Auto","CFO / Head of Finance (auto), ","")IF(INDEX('MOA role matrix'!$B$2:$D$13,4,MATCH($B165,'MOA role matrix'!$B$1:$D$1,0))="Fill","CEO / COO / GM, ","")IF(INDEX('MOA role matrix'!$B$2:$D$13,4,MATCH($B165,'MOA role matrix'!$B$1:$D$1,0))="If finance","CEO / COO / GM (if finance), ","")IF(INDEX('MOA role matrix'!$B$2:$D$13,4,MATCH($B165,'MOA role matrix'!$B$1:$D$1,0))="Auto","CEO / COO / GM (auto), ","")IF(INDEX('MOA role matrix'!$B$2:$D$13,5,MATCH($B165,'MOA role matrix'!$B$1:$D$1,0))="Fill","Board member 1, ","")IF(INDEX('MOA role matrix'!$B$2:$D$13,5,MATCH($B165,'MOA role matrix'!$B$1:$D$1,0))="If finance","Board member 1 (if finance), ","")IF(INDEX('MOA role matrix'!$B$2:$D$13,5,MATCH($B165,'MOA role matrix'!$B$1:$D$1,0))="Auto","Board member 1 (auto), ","")IF(INDEX('MOA role matrix'!$B$2:$D$13,6,MATCH($B165,'MOA role matrix'!$B$1:$D$1,0))="Fill","Board member 2, ","")IF(INDEX('MOA role matrix'!$B$2:$D$13,6,MATCH($B165,'MOA role matrix'!$B$1:$D$1,0))="If finance","Board member 2 (if finance), ","")IF(INDEX('MOA role matrix'!$B$2:$D$13,6,MATCH($B165,'MOA role matrix'!$B$1:$D$1,0))="Auto","Board member 2 (auto), ","")IF(INDEX('MOA role matrix'!$B$2:$D$13,7,MATCH($B165,'MOA role matrix'!$B$1:$D$1,0))="Fill","LOA holder 1, ","")IF(INDEX('MOA role matrix'!$B$2:$D$13,7,MATCH($B165,'MOA role matrix'!$B$1:$D$1,0))="If finance","LOA holder 1 (if finance), ","")IF(INDEX('MOA role matrix'!$B$2:$D$13,7,MATCH($B165,'MOA role matrix'!$B$1:$D$1,0))="Auto","LOA holder 1 (auto), ","")IF(INDEX('MOA role matrix'!$B$2:$D$13,8,MATCH($B165,'MOA role matrix'!$B$1:$D$1,0))="Fill","LOA holder 2, ","")IF(INDEX('MOA role matrix'!$B$2:$D$13,8,MATCH($B165,'MOA role matrix'!$B$1:$D$1,0))="If finance","LOA holder 2 (if finance), ","")IF(INDEX('MOA role matrix'!$B$2:$D$13,8,MATCH($B165,'MOA role matrix'!$B$1:$D$1,0))="Auto","LOA holder 2 (auto), ","")IF(INDEX('MOA role matrix'!$B$2:$D$13,9,MATCH($B165,'MOA role matrix'!$B$1:$D$1,0))="Fill","Senior Manager CoSec, ","")IF(INDEX('MOA role matrix'!$B$2:$D$13,9,MATCH($B165,'MOA role matrix'!$B$1:$D$1,0))="If finance","Senior Manager CoSec (if finance), ","")IF(INDEX('MOA role matrix'!$B$2:$D$13,9,MATCH($B165,'MOA role matrix'!$B$1:$D$1,0))="Auto","Senior Manager CoSec (auto), ","")IF(INDEX('MOA role matrix'!$B$2:$D$13,10,MATCH($B165,'MOA role matrix'!$B$1:$D$1,0))="Fill","Division MOI managers, ","")IF(INDEX('MOA role matrix'!$B$2:$D$13,10,MATCH($B165,'MOA role matrix'!$B$1:$D$1,0))="If finance","Division MOI managers (if finance), ","")IF(INDEX('MOA role matrix'!$B$2:$D$13,10,MATCH($B165,'MOA role matrix'!$B$1:$D$1,0))="Auto","Division MOI managers (auto), ","")IF(INDEX('MOA role matrix'!$B$2:$D$13,11,MATCH($B165,'MOA role matrix'!$B$1:$D$1,0))="Fill","Ms Teh (bank), ","")IF(INDEX('MOA role matrix'!$B$2:$D$13,11,MATCH($B165,'MOA role matrix'!$B$1:$D$1,0))="If finance","Ms Teh (bank) (if finance), ","")IF(INDEX('MOA role matrix'!$B$2:$D$13,11,MATCH($B165,'MOA role matrix'!$B$1:$D$1,0))="Auto","Ms Teh (bank) (auto), ","")IF(INDEX('MOA role matrix'!$B$2:$D$13,12,MATCH($B165,'MOA role matrix'!$B$1:$D$1,0))="Fill","DLCM, ","")IF(INDEX('MOA role matrix'!$B$2:$D$13,12,MATCH($B165,'MOA role matrix'!$B$1:$D$1,0))="If finance","DLCM (if finance), ","")IF(INDEX('MOA role matrix'!$B$2:$D$13,12,MATCH($B165,'MOA role matrix'!$B$1:$D$1,0))="Auto","DLCM (auto), ","")))</f>
        <v/>
      </c>
      <c r="D165" s="5">
        <f>IF($A165="","",IFERROR(INDEX(FILTER('Client contacts'!$B$2:$B$500,('Client contacts'!$A$2:$A$500=$A165)*('Client contacts'!$H$2:$H$500="Y"),""),1),""))</f>
        <v/>
      </c>
      <c r="E165" s="5">
        <f>IF($A165="","",IFERROR(INDEX(FILTER('Client contacts'!$C$2:$C$500,('Client contacts'!$A$2:$A$500=$A165)*('Client contacts'!$H$2:$H$500="Y"),""),1),""))</f>
        <v/>
      </c>
      <c r="F165" s="5">
        <f>IF($A165="","",IFERROR(INDEX(FILTER('Client contacts'!$B$2:$B$500,('Client contacts'!$A$2:$A$500=$A165)*('Client contacts'!$G$2:$G$500="Y"),""),1),""))</f>
        <v/>
      </c>
      <c r="G165" s="5">
        <f>IF($A165="","",IFERROR(INDEX(FILTER('Client contacts'!$C$2:$C$500,('Client contacts'!$A$2:$A$500=$A165)*('Client contacts'!$G$2:$G$500="Y"),""),1),""))</f>
        <v/>
      </c>
      <c r="H165" s="5">
        <f>IF($A165="","",IFERROR(INDEX(FILTER('Client contacts'!$B$2:$B$500,('Client contacts'!$A$2:$A$500=$A165)*('Client contacts'!$G$2:$G$500="Y"),""),2),""))</f>
        <v/>
      </c>
      <c r="I165" s="5">
        <f>IF($A165="","",IFERROR(INDEX(FILTER('Client contacts'!$C$2:$C$500,('Client contacts'!$A$2:$A$500=$A165)*('Client contacts'!$G$2:$G$500="Y"),""),2),""))</f>
        <v/>
      </c>
      <c r="J165" s="8" t="n"/>
      <c r="K165" s="8" t="n"/>
      <c r="L165" s="8" t="n"/>
      <c r="M165" s="8" t="n"/>
      <c r="N165" s="8" t="n"/>
      <c r="O165" s="8" t="n"/>
      <c r="P165" s="8" t="n"/>
      <c r="Q165" s="8" t="n"/>
      <c r="R165" s="5">
        <f>IF($A165="","",IFERROR(INDEX(Companies!$I$2:$I$500,MATCH($A165,Companies!$A$2:$A$500,0)),""))</f>
        <v/>
      </c>
      <c r="S165" s="8" t="n"/>
      <c r="T165" s="8" t="n"/>
      <c r="U165" s="8" t="n"/>
      <c r="V165" s="8" t="n"/>
      <c r="W165" s="8" t="n"/>
    </row>
    <row r="166">
      <c r="C166" s="5">
        <f>IF($B166="","",TRIM(IF(INDEX('MOA role matrix'!$B$2:$D$13,1,MATCH($B166,'MOA role matrix'!$B$1:$D$1,0))="Fill","Project initiator, ","")IF(INDEX('MOA role matrix'!$B$2:$D$13,1,MATCH($B166,'MOA role matrix'!$B$1:$D$1,0))="If finance","Project initiator (if finance), ","")IF(INDEX('MOA role matrix'!$B$2:$D$13,1,MATCH($B166,'MOA role matrix'!$B$1:$D$1,0))="Auto","Project initiator (auto), ","")IF(INDEX('MOA role matrix'!$B$2:$D$13,2,MATCH($B166,'MOA role matrix'!$B$1:$D$1,0))="Fill","MOA signers (client), ","")IF(INDEX('MOA role matrix'!$B$2:$D$13,2,MATCH($B166,'MOA role matrix'!$B$1:$D$1,0))="If finance","MOA signers (client) (if finance), ","")IF(INDEX('MOA role matrix'!$B$2:$D$13,2,MATCH($B166,'MOA role matrix'!$B$1:$D$1,0))="Auto","MOA signers (client) (auto), ","")IF(INDEX('MOA role matrix'!$B$2:$D$13,3,MATCH($B166,'MOA role matrix'!$B$1:$D$1,0))="Fill","CFO / Head of Finance, ","")IF(INDEX('MOA role matrix'!$B$2:$D$13,3,MATCH($B166,'MOA role matrix'!$B$1:$D$1,0))="If finance","CFO / Head of Finance (if finance), ","")IF(INDEX('MOA role matrix'!$B$2:$D$13,3,MATCH($B166,'MOA role matrix'!$B$1:$D$1,0))="Auto","CFO / Head of Finance (auto), ","")IF(INDEX('MOA role matrix'!$B$2:$D$13,4,MATCH($B166,'MOA role matrix'!$B$1:$D$1,0))="Fill","CEO / COO / GM, ","")IF(INDEX('MOA role matrix'!$B$2:$D$13,4,MATCH($B166,'MOA role matrix'!$B$1:$D$1,0))="If finance","CEO / COO / GM (if finance), ","")IF(INDEX('MOA role matrix'!$B$2:$D$13,4,MATCH($B166,'MOA role matrix'!$B$1:$D$1,0))="Auto","CEO / COO / GM (auto), ","")IF(INDEX('MOA role matrix'!$B$2:$D$13,5,MATCH($B166,'MOA role matrix'!$B$1:$D$1,0))="Fill","Board member 1, ","")IF(INDEX('MOA role matrix'!$B$2:$D$13,5,MATCH($B166,'MOA role matrix'!$B$1:$D$1,0))="If finance","Board member 1 (if finance), ","")IF(INDEX('MOA role matrix'!$B$2:$D$13,5,MATCH($B166,'MOA role matrix'!$B$1:$D$1,0))="Auto","Board member 1 (auto), ","")IF(INDEX('MOA role matrix'!$B$2:$D$13,6,MATCH($B166,'MOA role matrix'!$B$1:$D$1,0))="Fill","Board member 2, ","")IF(INDEX('MOA role matrix'!$B$2:$D$13,6,MATCH($B166,'MOA role matrix'!$B$1:$D$1,0))="If finance","Board member 2 (if finance), ","")IF(INDEX('MOA role matrix'!$B$2:$D$13,6,MATCH($B166,'MOA role matrix'!$B$1:$D$1,0))="Auto","Board member 2 (auto), ","")IF(INDEX('MOA role matrix'!$B$2:$D$13,7,MATCH($B166,'MOA role matrix'!$B$1:$D$1,0))="Fill","LOA holder 1, ","")IF(INDEX('MOA role matrix'!$B$2:$D$13,7,MATCH($B166,'MOA role matrix'!$B$1:$D$1,0))="If finance","LOA holder 1 (if finance), ","")IF(INDEX('MOA role matrix'!$B$2:$D$13,7,MATCH($B166,'MOA role matrix'!$B$1:$D$1,0))="Auto","LOA holder 1 (auto), ","")IF(INDEX('MOA role matrix'!$B$2:$D$13,8,MATCH($B166,'MOA role matrix'!$B$1:$D$1,0))="Fill","LOA holder 2, ","")IF(INDEX('MOA role matrix'!$B$2:$D$13,8,MATCH($B166,'MOA role matrix'!$B$1:$D$1,0))="If finance","LOA holder 2 (if finance), ","")IF(INDEX('MOA role matrix'!$B$2:$D$13,8,MATCH($B166,'MOA role matrix'!$B$1:$D$1,0))="Auto","LOA holder 2 (auto), ","")IF(INDEX('MOA role matrix'!$B$2:$D$13,9,MATCH($B166,'MOA role matrix'!$B$1:$D$1,0))="Fill","Senior Manager CoSec, ","")IF(INDEX('MOA role matrix'!$B$2:$D$13,9,MATCH($B166,'MOA role matrix'!$B$1:$D$1,0))="If finance","Senior Manager CoSec (if finance), ","")IF(INDEX('MOA role matrix'!$B$2:$D$13,9,MATCH($B166,'MOA role matrix'!$B$1:$D$1,0))="Auto","Senior Manager CoSec (auto), ","")IF(INDEX('MOA role matrix'!$B$2:$D$13,10,MATCH($B166,'MOA role matrix'!$B$1:$D$1,0))="Fill","Division MOI managers, ","")IF(INDEX('MOA role matrix'!$B$2:$D$13,10,MATCH($B166,'MOA role matrix'!$B$1:$D$1,0))="If finance","Division MOI managers (if finance), ","")IF(INDEX('MOA role matrix'!$B$2:$D$13,10,MATCH($B166,'MOA role matrix'!$B$1:$D$1,0))="Auto","Division MOI managers (auto), ","")IF(INDEX('MOA role matrix'!$B$2:$D$13,11,MATCH($B166,'MOA role matrix'!$B$1:$D$1,0))="Fill","Ms Teh (bank), ","")IF(INDEX('MOA role matrix'!$B$2:$D$13,11,MATCH($B166,'MOA role matrix'!$B$1:$D$1,0))="If finance","Ms Teh (bank) (if finance), ","")IF(INDEX('MOA role matrix'!$B$2:$D$13,11,MATCH($B166,'MOA role matrix'!$B$1:$D$1,0))="Auto","Ms Teh (bank) (auto), ","")IF(INDEX('MOA role matrix'!$B$2:$D$13,12,MATCH($B166,'MOA role matrix'!$B$1:$D$1,0))="Fill","DLCM, ","")IF(INDEX('MOA role matrix'!$B$2:$D$13,12,MATCH($B166,'MOA role matrix'!$B$1:$D$1,0))="If finance","DLCM (if finance), ","")IF(INDEX('MOA role matrix'!$B$2:$D$13,12,MATCH($B166,'MOA role matrix'!$B$1:$D$1,0))="Auto","DLCM (auto), ","")))</f>
        <v/>
      </c>
      <c r="D166" s="5">
        <f>IF($A166="","",IFERROR(INDEX(FILTER('Client contacts'!$B$2:$B$500,('Client contacts'!$A$2:$A$500=$A166)*('Client contacts'!$H$2:$H$500="Y"),""),1),""))</f>
        <v/>
      </c>
      <c r="E166" s="5">
        <f>IF($A166="","",IFERROR(INDEX(FILTER('Client contacts'!$C$2:$C$500,('Client contacts'!$A$2:$A$500=$A166)*('Client contacts'!$H$2:$H$500="Y"),""),1),""))</f>
        <v/>
      </c>
      <c r="F166" s="5">
        <f>IF($A166="","",IFERROR(INDEX(FILTER('Client contacts'!$B$2:$B$500,('Client contacts'!$A$2:$A$500=$A166)*('Client contacts'!$G$2:$G$500="Y"),""),1),""))</f>
        <v/>
      </c>
      <c r="G166" s="5">
        <f>IF($A166="","",IFERROR(INDEX(FILTER('Client contacts'!$C$2:$C$500,('Client contacts'!$A$2:$A$500=$A166)*('Client contacts'!$G$2:$G$500="Y"),""),1),""))</f>
        <v/>
      </c>
      <c r="H166" s="5">
        <f>IF($A166="","",IFERROR(INDEX(FILTER('Client contacts'!$B$2:$B$500,('Client contacts'!$A$2:$A$500=$A166)*('Client contacts'!$G$2:$G$500="Y"),""),2),""))</f>
        <v/>
      </c>
      <c r="I166" s="5">
        <f>IF($A166="","",IFERROR(INDEX(FILTER('Client contacts'!$C$2:$C$500,('Client contacts'!$A$2:$A$500=$A166)*('Client contacts'!$G$2:$G$500="Y"),""),2),""))</f>
        <v/>
      </c>
      <c r="J166" s="8" t="n"/>
      <c r="K166" s="8" t="n"/>
      <c r="L166" s="8" t="n"/>
      <c r="M166" s="8" t="n"/>
      <c r="N166" s="8" t="n"/>
      <c r="O166" s="8" t="n"/>
      <c r="P166" s="8" t="n"/>
      <c r="Q166" s="8" t="n"/>
      <c r="R166" s="5">
        <f>IF($A166="","",IFERROR(INDEX(Companies!$I$2:$I$500,MATCH($A166,Companies!$A$2:$A$500,0)),""))</f>
        <v/>
      </c>
      <c r="S166" s="8" t="n"/>
      <c r="T166" s="8" t="n"/>
      <c r="U166" s="8" t="n"/>
      <c r="V166" s="8" t="n"/>
      <c r="W166" s="8" t="n"/>
    </row>
    <row r="167">
      <c r="C167" s="5">
        <f>IF($B167="","",TRIM(IF(INDEX('MOA role matrix'!$B$2:$D$13,1,MATCH($B167,'MOA role matrix'!$B$1:$D$1,0))="Fill","Project initiator, ","")IF(INDEX('MOA role matrix'!$B$2:$D$13,1,MATCH($B167,'MOA role matrix'!$B$1:$D$1,0))="If finance","Project initiator (if finance), ","")IF(INDEX('MOA role matrix'!$B$2:$D$13,1,MATCH($B167,'MOA role matrix'!$B$1:$D$1,0))="Auto","Project initiator (auto), ","")IF(INDEX('MOA role matrix'!$B$2:$D$13,2,MATCH($B167,'MOA role matrix'!$B$1:$D$1,0))="Fill","MOA signers (client), ","")IF(INDEX('MOA role matrix'!$B$2:$D$13,2,MATCH($B167,'MOA role matrix'!$B$1:$D$1,0))="If finance","MOA signers (client) (if finance), ","")IF(INDEX('MOA role matrix'!$B$2:$D$13,2,MATCH($B167,'MOA role matrix'!$B$1:$D$1,0))="Auto","MOA signers (client) (auto), ","")IF(INDEX('MOA role matrix'!$B$2:$D$13,3,MATCH($B167,'MOA role matrix'!$B$1:$D$1,0))="Fill","CFO / Head of Finance, ","")IF(INDEX('MOA role matrix'!$B$2:$D$13,3,MATCH($B167,'MOA role matrix'!$B$1:$D$1,0))="If finance","CFO / Head of Finance (if finance), ","")IF(INDEX('MOA role matrix'!$B$2:$D$13,3,MATCH($B167,'MOA role matrix'!$B$1:$D$1,0))="Auto","CFO / Head of Finance (auto), ","")IF(INDEX('MOA role matrix'!$B$2:$D$13,4,MATCH($B167,'MOA role matrix'!$B$1:$D$1,0))="Fill","CEO / COO / GM, ","")IF(INDEX('MOA role matrix'!$B$2:$D$13,4,MATCH($B167,'MOA role matrix'!$B$1:$D$1,0))="If finance","CEO / COO / GM (if finance), ","")IF(INDEX('MOA role matrix'!$B$2:$D$13,4,MATCH($B167,'MOA role matrix'!$B$1:$D$1,0))="Auto","CEO / COO / GM (auto), ","")IF(INDEX('MOA role matrix'!$B$2:$D$13,5,MATCH($B167,'MOA role matrix'!$B$1:$D$1,0))="Fill","Board member 1, ","")IF(INDEX('MOA role matrix'!$B$2:$D$13,5,MATCH($B167,'MOA role matrix'!$B$1:$D$1,0))="If finance","Board member 1 (if finance), ","")IF(INDEX('MOA role matrix'!$B$2:$D$13,5,MATCH($B167,'MOA role matrix'!$B$1:$D$1,0))="Auto","Board member 1 (auto), ","")IF(INDEX('MOA role matrix'!$B$2:$D$13,6,MATCH($B167,'MOA role matrix'!$B$1:$D$1,0))="Fill","Board member 2, ","")IF(INDEX('MOA role matrix'!$B$2:$D$13,6,MATCH($B167,'MOA role matrix'!$B$1:$D$1,0))="If finance","Board member 2 (if finance), ","")IF(INDEX('MOA role matrix'!$B$2:$D$13,6,MATCH($B167,'MOA role matrix'!$B$1:$D$1,0))="Auto","Board member 2 (auto), ","")IF(INDEX('MOA role matrix'!$B$2:$D$13,7,MATCH($B167,'MOA role matrix'!$B$1:$D$1,0))="Fill","LOA holder 1, ","")IF(INDEX('MOA role matrix'!$B$2:$D$13,7,MATCH($B167,'MOA role matrix'!$B$1:$D$1,0))="If finance","LOA holder 1 (if finance), ","")IF(INDEX('MOA role matrix'!$B$2:$D$13,7,MATCH($B167,'MOA role matrix'!$B$1:$D$1,0))="Auto","LOA holder 1 (auto), ","")IF(INDEX('MOA role matrix'!$B$2:$D$13,8,MATCH($B167,'MOA role matrix'!$B$1:$D$1,0))="Fill","LOA holder 2, ","")IF(INDEX('MOA role matrix'!$B$2:$D$13,8,MATCH($B167,'MOA role matrix'!$B$1:$D$1,0))="If finance","LOA holder 2 (if finance), ","")IF(INDEX('MOA role matrix'!$B$2:$D$13,8,MATCH($B167,'MOA role matrix'!$B$1:$D$1,0))="Auto","LOA holder 2 (auto), ","")IF(INDEX('MOA role matrix'!$B$2:$D$13,9,MATCH($B167,'MOA role matrix'!$B$1:$D$1,0))="Fill","Senior Manager CoSec, ","")IF(INDEX('MOA role matrix'!$B$2:$D$13,9,MATCH($B167,'MOA role matrix'!$B$1:$D$1,0))="If finance","Senior Manager CoSec (if finance), ","")IF(INDEX('MOA role matrix'!$B$2:$D$13,9,MATCH($B167,'MOA role matrix'!$B$1:$D$1,0))="Auto","Senior Manager CoSec (auto), ","")IF(INDEX('MOA role matrix'!$B$2:$D$13,10,MATCH($B167,'MOA role matrix'!$B$1:$D$1,0))="Fill","Division MOI managers, ","")IF(INDEX('MOA role matrix'!$B$2:$D$13,10,MATCH($B167,'MOA role matrix'!$B$1:$D$1,0))="If finance","Division MOI managers (if finance), ","")IF(INDEX('MOA role matrix'!$B$2:$D$13,10,MATCH($B167,'MOA role matrix'!$B$1:$D$1,0))="Auto","Division MOI managers (auto), ","")IF(INDEX('MOA role matrix'!$B$2:$D$13,11,MATCH($B167,'MOA role matrix'!$B$1:$D$1,0))="Fill","Ms Teh (bank), ","")IF(INDEX('MOA role matrix'!$B$2:$D$13,11,MATCH($B167,'MOA role matrix'!$B$1:$D$1,0))="If finance","Ms Teh (bank) (if finance), ","")IF(INDEX('MOA role matrix'!$B$2:$D$13,11,MATCH($B167,'MOA role matrix'!$B$1:$D$1,0))="Auto","Ms Teh (bank) (auto), ","")IF(INDEX('MOA role matrix'!$B$2:$D$13,12,MATCH($B167,'MOA role matrix'!$B$1:$D$1,0))="Fill","DLCM, ","")IF(INDEX('MOA role matrix'!$B$2:$D$13,12,MATCH($B167,'MOA role matrix'!$B$1:$D$1,0))="If finance","DLCM (if finance), ","")IF(INDEX('MOA role matrix'!$B$2:$D$13,12,MATCH($B167,'MOA role matrix'!$B$1:$D$1,0))="Auto","DLCM (auto), ","")))</f>
        <v/>
      </c>
      <c r="D167" s="5">
        <f>IF($A167="","",IFERROR(INDEX(FILTER('Client contacts'!$B$2:$B$500,('Client contacts'!$A$2:$A$500=$A167)*('Client contacts'!$H$2:$H$500="Y"),""),1),""))</f>
        <v/>
      </c>
      <c r="E167" s="5">
        <f>IF($A167="","",IFERROR(INDEX(FILTER('Client contacts'!$C$2:$C$500,('Client contacts'!$A$2:$A$500=$A167)*('Client contacts'!$H$2:$H$500="Y"),""),1),""))</f>
        <v/>
      </c>
      <c r="F167" s="5">
        <f>IF($A167="","",IFERROR(INDEX(FILTER('Client contacts'!$B$2:$B$500,('Client contacts'!$A$2:$A$500=$A167)*('Client contacts'!$G$2:$G$500="Y"),""),1),""))</f>
        <v/>
      </c>
      <c r="G167" s="5">
        <f>IF($A167="","",IFERROR(INDEX(FILTER('Client contacts'!$C$2:$C$500,('Client contacts'!$A$2:$A$500=$A167)*('Client contacts'!$G$2:$G$500="Y"),""),1),""))</f>
        <v/>
      </c>
      <c r="H167" s="5">
        <f>IF($A167="","",IFERROR(INDEX(FILTER('Client contacts'!$B$2:$B$500,('Client contacts'!$A$2:$A$500=$A167)*('Client contacts'!$G$2:$G$500="Y"),""),2),""))</f>
        <v/>
      </c>
      <c r="I167" s="5">
        <f>IF($A167="","",IFERROR(INDEX(FILTER('Client contacts'!$C$2:$C$500,('Client contacts'!$A$2:$A$500=$A167)*('Client contacts'!$G$2:$G$500="Y"),""),2),""))</f>
        <v/>
      </c>
      <c r="J167" s="8" t="n"/>
      <c r="K167" s="8" t="n"/>
      <c r="L167" s="8" t="n"/>
      <c r="M167" s="8" t="n"/>
      <c r="N167" s="8" t="n"/>
      <c r="O167" s="8" t="n"/>
      <c r="P167" s="8" t="n"/>
      <c r="Q167" s="8" t="n"/>
      <c r="R167" s="5">
        <f>IF($A167="","",IFERROR(INDEX(Companies!$I$2:$I$500,MATCH($A167,Companies!$A$2:$A$500,0)),""))</f>
        <v/>
      </c>
      <c r="S167" s="8" t="n"/>
      <c r="T167" s="8" t="n"/>
      <c r="U167" s="8" t="n"/>
      <c r="V167" s="8" t="n"/>
      <c r="W167" s="8" t="n"/>
    </row>
    <row r="168">
      <c r="C168" s="5">
        <f>IF($B168="","",TRIM(IF(INDEX('MOA role matrix'!$B$2:$D$13,1,MATCH($B168,'MOA role matrix'!$B$1:$D$1,0))="Fill","Project initiator, ","")IF(INDEX('MOA role matrix'!$B$2:$D$13,1,MATCH($B168,'MOA role matrix'!$B$1:$D$1,0))="If finance","Project initiator (if finance), ","")IF(INDEX('MOA role matrix'!$B$2:$D$13,1,MATCH($B168,'MOA role matrix'!$B$1:$D$1,0))="Auto","Project initiator (auto), ","")IF(INDEX('MOA role matrix'!$B$2:$D$13,2,MATCH($B168,'MOA role matrix'!$B$1:$D$1,0))="Fill","MOA signers (client), ","")IF(INDEX('MOA role matrix'!$B$2:$D$13,2,MATCH($B168,'MOA role matrix'!$B$1:$D$1,0))="If finance","MOA signers (client) (if finance), ","")IF(INDEX('MOA role matrix'!$B$2:$D$13,2,MATCH($B168,'MOA role matrix'!$B$1:$D$1,0))="Auto","MOA signers (client) (auto), ","")IF(INDEX('MOA role matrix'!$B$2:$D$13,3,MATCH($B168,'MOA role matrix'!$B$1:$D$1,0))="Fill","CFO / Head of Finance, ","")IF(INDEX('MOA role matrix'!$B$2:$D$13,3,MATCH($B168,'MOA role matrix'!$B$1:$D$1,0))="If finance","CFO / Head of Finance (if finance), ","")IF(INDEX('MOA role matrix'!$B$2:$D$13,3,MATCH($B168,'MOA role matrix'!$B$1:$D$1,0))="Auto","CFO / Head of Finance (auto), ","")IF(INDEX('MOA role matrix'!$B$2:$D$13,4,MATCH($B168,'MOA role matrix'!$B$1:$D$1,0))="Fill","CEO / COO / GM, ","")IF(INDEX('MOA role matrix'!$B$2:$D$13,4,MATCH($B168,'MOA role matrix'!$B$1:$D$1,0))="If finance","CEO / COO / GM (if finance), ","")IF(INDEX('MOA role matrix'!$B$2:$D$13,4,MATCH($B168,'MOA role matrix'!$B$1:$D$1,0))="Auto","CEO / COO / GM (auto), ","")IF(INDEX('MOA role matrix'!$B$2:$D$13,5,MATCH($B168,'MOA role matrix'!$B$1:$D$1,0))="Fill","Board member 1, ","")IF(INDEX('MOA role matrix'!$B$2:$D$13,5,MATCH($B168,'MOA role matrix'!$B$1:$D$1,0))="If finance","Board member 1 (if finance), ","")IF(INDEX('MOA role matrix'!$B$2:$D$13,5,MATCH($B168,'MOA role matrix'!$B$1:$D$1,0))="Auto","Board member 1 (auto), ","")IF(INDEX('MOA role matrix'!$B$2:$D$13,6,MATCH($B168,'MOA role matrix'!$B$1:$D$1,0))="Fill","Board member 2, ","")IF(INDEX('MOA role matrix'!$B$2:$D$13,6,MATCH($B168,'MOA role matrix'!$B$1:$D$1,0))="If finance","Board member 2 (if finance), ","")IF(INDEX('MOA role matrix'!$B$2:$D$13,6,MATCH($B168,'MOA role matrix'!$B$1:$D$1,0))="Auto","Board member 2 (auto), ","")IF(INDEX('MOA role matrix'!$B$2:$D$13,7,MATCH($B168,'MOA role matrix'!$B$1:$D$1,0))="Fill","LOA holder 1, ","")IF(INDEX('MOA role matrix'!$B$2:$D$13,7,MATCH($B168,'MOA role matrix'!$B$1:$D$1,0))="If finance","LOA holder 1 (if finance), ","")IF(INDEX('MOA role matrix'!$B$2:$D$13,7,MATCH($B168,'MOA role matrix'!$B$1:$D$1,0))="Auto","LOA holder 1 (auto), ","")IF(INDEX('MOA role matrix'!$B$2:$D$13,8,MATCH($B168,'MOA role matrix'!$B$1:$D$1,0))="Fill","LOA holder 2, ","")IF(INDEX('MOA role matrix'!$B$2:$D$13,8,MATCH($B168,'MOA role matrix'!$B$1:$D$1,0))="If finance","LOA holder 2 (if finance), ","")IF(INDEX('MOA role matrix'!$B$2:$D$13,8,MATCH($B168,'MOA role matrix'!$B$1:$D$1,0))="Auto","LOA holder 2 (auto), ","")IF(INDEX('MOA role matrix'!$B$2:$D$13,9,MATCH($B168,'MOA role matrix'!$B$1:$D$1,0))="Fill","Senior Manager CoSec, ","")IF(INDEX('MOA role matrix'!$B$2:$D$13,9,MATCH($B168,'MOA role matrix'!$B$1:$D$1,0))="If finance","Senior Manager CoSec (if finance), ","")IF(INDEX('MOA role matrix'!$B$2:$D$13,9,MATCH($B168,'MOA role matrix'!$B$1:$D$1,0))="Auto","Senior Manager CoSec (auto), ","")IF(INDEX('MOA role matrix'!$B$2:$D$13,10,MATCH($B168,'MOA role matrix'!$B$1:$D$1,0))="Fill","Division MOI managers, ","")IF(INDEX('MOA role matrix'!$B$2:$D$13,10,MATCH($B168,'MOA role matrix'!$B$1:$D$1,0))="If finance","Division MOI managers (if finance), ","")IF(INDEX('MOA role matrix'!$B$2:$D$13,10,MATCH($B168,'MOA role matrix'!$B$1:$D$1,0))="Auto","Division MOI managers (auto), ","")IF(INDEX('MOA role matrix'!$B$2:$D$13,11,MATCH($B168,'MOA role matrix'!$B$1:$D$1,0))="Fill","Ms Teh (bank), ","")IF(INDEX('MOA role matrix'!$B$2:$D$13,11,MATCH($B168,'MOA role matrix'!$B$1:$D$1,0))="If finance","Ms Teh (bank) (if finance), ","")IF(INDEX('MOA role matrix'!$B$2:$D$13,11,MATCH($B168,'MOA role matrix'!$B$1:$D$1,0))="Auto","Ms Teh (bank) (auto), ","")IF(INDEX('MOA role matrix'!$B$2:$D$13,12,MATCH($B168,'MOA role matrix'!$B$1:$D$1,0))="Fill","DLCM, ","")IF(INDEX('MOA role matrix'!$B$2:$D$13,12,MATCH($B168,'MOA role matrix'!$B$1:$D$1,0))="If finance","DLCM (if finance), ","")IF(INDEX('MOA role matrix'!$B$2:$D$13,12,MATCH($B168,'MOA role matrix'!$B$1:$D$1,0))="Auto","DLCM (auto), ","")))</f>
        <v/>
      </c>
      <c r="D168" s="5">
        <f>IF($A168="","",IFERROR(INDEX(FILTER('Client contacts'!$B$2:$B$500,('Client contacts'!$A$2:$A$500=$A168)*('Client contacts'!$H$2:$H$500="Y"),""),1),""))</f>
        <v/>
      </c>
      <c r="E168" s="5">
        <f>IF($A168="","",IFERROR(INDEX(FILTER('Client contacts'!$C$2:$C$500,('Client contacts'!$A$2:$A$500=$A168)*('Client contacts'!$H$2:$H$500="Y"),""),1),""))</f>
        <v/>
      </c>
      <c r="F168" s="5">
        <f>IF($A168="","",IFERROR(INDEX(FILTER('Client contacts'!$B$2:$B$500,('Client contacts'!$A$2:$A$500=$A168)*('Client contacts'!$G$2:$G$500="Y"),""),1),""))</f>
        <v/>
      </c>
      <c r="G168" s="5">
        <f>IF($A168="","",IFERROR(INDEX(FILTER('Client contacts'!$C$2:$C$500,('Client contacts'!$A$2:$A$500=$A168)*('Client contacts'!$G$2:$G$500="Y"),""),1),""))</f>
        <v/>
      </c>
      <c r="H168" s="5">
        <f>IF($A168="","",IFERROR(INDEX(FILTER('Client contacts'!$B$2:$B$500,('Client contacts'!$A$2:$A$500=$A168)*('Client contacts'!$G$2:$G$500="Y"),""),2),""))</f>
        <v/>
      </c>
      <c r="I168" s="5">
        <f>IF($A168="","",IFERROR(INDEX(FILTER('Client contacts'!$C$2:$C$500,('Client contacts'!$A$2:$A$500=$A168)*('Client contacts'!$G$2:$G$500="Y"),""),2),""))</f>
        <v/>
      </c>
      <c r="J168" s="8" t="n"/>
      <c r="K168" s="8" t="n"/>
      <c r="L168" s="8" t="n"/>
      <c r="M168" s="8" t="n"/>
      <c r="N168" s="8" t="n"/>
      <c r="O168" s="8" t="n"/>
      <c r="P168" s="8" t="n"/>
      <c r="Q168" s="8" t="n"/>
      <c r="R168" s="5">
        <f>IF($A168="","",IFERROR(INDEX(Companies!$I$2:$I$500,MATCH($A168,Companies!$A$2:$A$500,0)),""))</f>
        <v/>
      </c>
      <c r="S168" s="8" t="n"/>
      <c r="T168" s="8" t="n"/>
      <c r="U168" s="8" t="n"/>
      <c r="V168" s="8" t="n"/>
      <c r="W168" s="8" t="n"/>
    </row>
    <row r="169">
      <c r="C169" s="5">
        <f>IF($B169="","",TRIM(IF(INDEX('MOA role matrix'!$B$2:$D$13,1,MATCH($B169,'MOA role matrix'!$B$1:$D$1,0))="Fill","Project initiator, ","")IF(INDEX('MOA role matrix'!$B$2:$D$13,1,MATCH($B169,'MOA role matrix'!$B$1:$D$1,0))="If finance","Project initiator (if finance), ","")IF(INDEX('MOA role matrix'!$B$2:$D$13,1,MATCH($B169,'MOA role matrix'!$B$1:$D$1,0))="Auto","Project initiator (auto), ","")IF(INDEX('MOA role matrix'!$B$2:$D$13,2,MATCH($B169,'MOA role matrix'!$B$1:$D$1,0))="Fill","MOA signers (client), ","")IF(INDEX('MOA role matrix'!$B$2:$D$13,2,MATCH($B169,'MOA role matrix'!$B$1:$D$1,0))="If finance","MOA signers (client) (if finance), ","")IF(INDEX('MOA role matrix'!$B$2:$D$13,2,MATCH($B169,'MOA role matrix'!$B$1:$D$1,0))="Auto","MOA signers (client) (auto), ","")IF(INDEX('MOA role matrix'!$B$2:$D$13,3,MATCH($B169,'MOA role matrix'!$B$1:$D$1,0))="Fill","CFO / Head of Finance, ","")IF(INDEX('MOA role matrix'!$B$2:$D$13,3,MATCH($B169,'MOA role matrix'!$B$1:$D$1,0))="If finance","CFO / Head of Finance (if finance), ","")IF(INDEX('MOA role matrix'!$B$2:$D$13,3,MATCH($B169,'MOA role matrix'!$B$1:$D$1,0))="Auto","CFO / Head of Finance (auto), ","")IF(INDEX('MOA role matrix'!$B$2:$D$13,4,MATCH($B169,'MOA role matrix'!$B$1:$D$1,0))="Fill","CEO / COO / GM, ","")IF(INDEX('MOA role matrix'!$B$2:$D$13,4,MATCH($B169,'MOA role matrix'!$B$1:$D$1,0))="If finance","CEO / COO / GM (if finance), ","")IF(INDEX('MOA role matrix'!$B$2:$D$13,4,MATCH($B169,'MOA role matrix'!$B$1:$D$1,0))="Auto","CEO / COO / GM (auto), ","")IF(INDEX('MOA role matrix'!$B$2:$D$13,5,MATCH($B169,'MOA role matrix'!$B$1:$D$1,0))="Fill","Board member 1, ","")IF(INDEX('MOA role matrix'!$B$2:$D$13,5,MATCH($B169,'MOA role matrix'!$B$1:$D$1,0))="If finance","Board member 1 (if finance), ","")IF(INDEX('MOA role matrix'!$B$2:$D$13,5,MATCH($B169,'MOA role matrix'!$B$1:$D$1,0))="Auto","Board member 1 (auto), ","")IF(INDEX('MOA role matrix'!$B$2:$D$13,6,MATCH($B169,'MOA role matrix'!$B$1:$D$1,0))="Fill","Board member 2, ","")IF(INDEX('MOA role matrix'!$B$2:$D$13,6,MATCH($B169,'MOA role matrix'!$B$1:$D$1,0))="If finance","Board member 2 (if finance), ","")IF(INDEX('MOA role matrix'!$B$2:$D$13,6,MATCH($B169,'MOA role matrix'!$B$1:$D$1,0))="Auto","Board member 2 (auto), ","")IF(INDEX('MOA role matrix'!$B$2:$D$13,7,MATCH($B169,'MOA role matrix'!$B$1:$D$1,0))="Fill","LOA holder 1, ","")IF(INDEX('MOA role matrix'!$B$2:$D$13,7,MATCH($B169,'MOA role matrix'!$B$1:$D$1,0))="If finance","LOA holder 1 (if finance), ","")IF(INDEX('MOA role matrix'!$B$2:$D$13,7,MATCH($B169,'MOA role matrix'!$B$1:$D$1,0))="Auto","LOA holder 1 (auto), ","")IF(INDEX('MOA role matrix'!$B$2:$D$13,8,MATCH($B169,'MOA role matrix'!$B$1:$D$1,0))="Fill","LOA holder 2, ","")IF(INDEX('MOA role matrix'!$B$2:$D$13,8,MATCH($B169,'MOA role matrix'!$B$1:$D$1,0))="If finance","LOA holder 2 (if finance), ","")IF(INDEX('MOA role matrix'!$B$2:$D$13,8,MATCH($B169,'MOA role matrix'!$B$1:$D$1,0))="Auto","LOA holder 2 (auto), ","")IF(INDEX('MOA role matrix'!$B$2:$D$13,9,MATCH($B169,'MOA role matrix'!$B$1:$D$1,0))="Fill","Senior Manager CoSec, ","")IF(INDEX('MOA role matrix'!$B$2:$D$13,9,MATCH($B169,'MOA role matrix'!$B$1:$D$1,0))="If finance","Senior Manager CoSec (if finance), ","")IF(INDEX('MOA role matrix'!$B$2:$D$13,9,MATCH($B169,'MOA role matrix'!$B$1:$D$1,0))="Auto","Senior Manager CoSec (auto), ","")IF(INDEX('MOA role matrix'!$B$2:$D$13,10,MATCH($B169,'MOA role matrix'!$B$1:$D$1,0))="Fill","Division MOI managers, ","")IF(INDEX('MOA role matrix'!$B$2:$D$13,10,MATCH($B169,'MOA role matrix'!$B$1:$D$1,0))="If finance","Division MOI managers (if finance), ","")IF(INDEX('MOA role matrix'!$B$2:$D$13,10,MATCH($B169,'MOA role matrix'!$B$1:$D$1,0))="Auto","Division MOI managers (auto), ","")IF(INDEX('MOA role matrix'!$B$2:$D$13,11,MATCH($B169,'MOA role matrix'!$B$1:$D$1,0))="Fill","Ms Teh (bank), ","")IF(INDEX('MOA role matrix'!$B$2:$D$13,11,MATCH($B169,'MOA role matrix'!$B$1:$D$1,0))="If finance","Ms Teh (bank) (if finance), ","")IF(INDEX('MOA role matrix'!$B$2:$D$13,11,MATCH($B169,'MOA role matrix'!$B$1:$D$1,0))="Auto","Ms Teh (bank) (auto), ","")IF(INDEX('MOA role matrix'!$B$2:$D$13,12,MATCH($B169,'MOA role matrix'!$B$1:$D$1,0))="Fill","DLCM, ","")IF(INDEX('MOA role matrix'!$B$2:$D$13,12,MATCH($B169,'MOA role matrix'!$B$1:$D$1,0))="If finance","DLCM (if finance), ","")IF(INDEX('MOA role matrix'!$B$2:$D$13,12,MATCH($B169,'MOA role matrix'!$B$1:$D$1,0))="Auto","DLCM (auto), ","")))</f>
        <v/>
      </c>
      <c r="D169" s="5">
        <f>IF($A169="","",IFERROR(INDEX(FILTER('Client contacts'!$B$2:$B$500,('Client contacts'!$A$2:$A$500=$A169)*('Client contacts'!$H$2:$H$500="Y"),""),1),""))</f>
        <v/>
      </c>
      <c r="E169" s="5">
        <f>IF($A169="","",IFERROR(INDEX(FILTER('Client contacts'!$C$2:$C$500,('Client contacts'!$A$2:$A$500=$A169)*('Client contacts'!$H$2:$H$500="Y"),""),1),""))</f>
        <v/>
      </c>
      <c r="F169" s="5">
        <f>IF($A169="","",IFERROR(INDEX(FILTER('Client contacts'!$B$2:$B$500,('Client contacts'!$A$2:$A$500=$A169)*('Client contacts'!$G$2:$G$500="Y"),""),1),""))</f>
        <v/>
      </c>
      <c r="G169" s="5">
        <f>IF($A169="","",IFERROR(INDEX(FILTER('Client contacts'!$C$2:$C$500,('Client contacts'!$A$2:$A$500=$A169)*('Client contacts'!$G$2:$G$500="Y"),""),1),""))</f>
        <v/>
      </c>
      <c r="H169" s="5">
        <f>IF($A169="","",IFERROR(INDEX(FILTER('Client contacts'!$B$2:$B$500,('Client contacts'!$A$2:$A$500=$A169)*('Client contacts'!$G$2:$G$500="Y"),""),2),""))</f>
        <v/>
      </c>
      <c r="I169" s="5">
        <f>IF($A169="","",IFERROR(INDEX(FILTER('Client contacts'!$C$2:$C$500,('Client contacts'!$A$2:$A$500=$A169)*('Client contacts'!$G$2:$G$500="Y"),""),2),""))</f>
        <v/>
      </c>
      <c r="J169" s="8" t="n"/>
      <c r="K169" s="8" t="n"/>
      <c r="L169" s="8" t="n"/>
      <c r="M169" s="8" t="n"/>
      <c r="N169" s="8" t="n"/>
      <c r="O169" s="8" t="n"/>
      <c r="P169" s="8" t="n"/>
      <c r="Q169" s="8" t="n"/>
      <c r="R169" s="5">
        <f>IF($A169="","",IFERROR(INDEX(Companies!$I$2:$I$500,MATCH($A169,Companies!$A$2:$A$500,0)),""))</f>
        <v/>
      </c>
      <c r="S169" s="8" t="n"/>
      <c r="T169" s="8" t="n"/>
      <c r="U169" s="8" t="n"/>
      <c r="V169" s="8" t="n"/>
      <c r="W169" s="8" t="n"/>
    </row>
    <row r="170">
      <c r="C170" s="5">
        <f>IF($B170="","",TRIM(IF(INDEX('MOA role matrix'!$B$2:$D$13,1,MATCH($B170,'MOA role matrix'!$B$1:$D$1,0))="Fill","Project initiator, ","")IF(INDEX('MOA role matrix'!$B$2:$D$13,1,MATCH($B170,'MOA role matrix'!$B$1:$D$1,0))="If finance","Project initiator (if finance), ","")IF(INDEX('MOA role matrix'!$B$2:$D$13,1,MATCH($B170,'MOA role matrix'!$B$1:$D$1,0))="Auto","Project initiator (auto), ","")IF(INDEX('MOA role matrix'!$B$2:$D$13,2,MATCH($B170,'MOA role matrix'!$B$1:$D$1,0))="Fill","MOA signers (client), ","")IF(INDEX('MOA role matrix'!$B$2:$D$13,2,MATCH($B170,'MOA role matrix'!$B$1:$D$1,0))="If finance","MOA signers (client) (if finance), ","")IF(INDEX('MOA role matrix'!$B$2:$D$13,2,MATCH($B170,'MOA role matrix'!$B$1:$D$1,0))="Auto","MOA signers (client) (auto), ","")IF(INDEX('MOA role matrix'!$B$2:$D$13,3,MATCH($B170,'MOA role matrix'!$B$1:$D$1,0))="Fill","CFO / Head of Finance, ","")IF(INDEX('MOA role matrix'!$B$2:$D$13,3,MATCH($B170,'MOA role matrix'!$B$1:$D$1,0))="If finance","CFO / Head of Finance (if finance), ","")IF(INDEX('MOA role matrix'!$B$2:$D$13,3,MATCH($B170,'MOA role matrix'!$B$1:$D$1,0))="Auto","CFO / Head of Finance (auto), ","")IF(INDEX('MOA role matrix'!$B$2:$D$13,4,MATCH($B170,'MOA role matrix'!$B$1:$D$1,0))="Fill","CEO / COO / GM, ","")IF(INDEX('MOA role matrix'!$B$2:$D$13,4,MATCH($B170,'MOA role matrix'!$B$1:$D$1,0))="If finance","CEO / COO / GM (if finance), ","")IF(INDEX('MOA role matrix'!$B$2:$D$13,4,MATCH($B170,'MOA role matrix'!$B$1:$D$1,0))="Auto","CEO / COO / GM (auto), ","")IF(INDEX('MOA role matrix'!$B$2:$D$13,5,MATCH($B170,'MOA role matrix'!$B$1:$D$1,0))="Fill","Board member 1, ","")IF(INDEX('MOA role matrix'!$B$2:$D$13,5,MATCH($B170,'MOA role matrix'!$B$1:$D$1,0))="If finance","Board member 1 (if finance), ","")IF(INDEX('MOA role matrix'!$B$2:$D$13,5,MATCH($B170,'MOA role matrix'!$B$1:$D$1,0))="Auto","Board member 1 (auto), ","")IF(INDEX('MOA role matrix'!$B$2:$D$13,6,MATCH($B170,'MOA role matrix'!$B$1:$D$1,0))="Fill","Board member 2, ","")IF(INDEX('MOA role matrix'!$B$2:$D$13,6,MATCH($B170,'MOA role matrix'!$B$1:$D$1,0))="If finance","Board member 2 (if finance), ","")IF(INDEX('MOA role matrix'!$B$2:$D$13,6,MATCH($B170,'MOA role matrix'!$B$1:$D$1,0))="Auto","Board member 2 (auto), ","")IF(INDEX('MOA role matrix'!$B$2:$D$13,7,MATCH($B170,'MOA role matrix'!$B$1:$D$1,0))="Fill","LOA holder 1, ","")IF(INDEX('MOA role matrix'!$B$2:$D$13,7,MATCH($B170,'MOA role matrix'!$B$1:$D$1,0))="If finance","LOA holder 1 (if finance), ","")IF(INDEX('MOA role matrix'!$B$2:$D$13,7,MATCH($B170,'MOA role matrix'!$B$1:$D$1,0))="Auto","LOA holder 1 (auto), ","")IF(INDEX('MOA role matrix'!$B$2:$D$13,8,MATCH($B170,'MOA role matrix'!$B$1:$D$1,0))="Fill","LOA holder 2, ","")IF(INDEX('MOA role matrix'!$B$2:$D$13,8,MATCH($B170,'MOA role matrix'!$B$1:$D$1,0))="If finance","LOA holder 2 (if finance), ","")IF(INDEX('MOA role matrix'!$B$2:$D$13,8,MATCH($B170,'MOA role matrix'!$B$1:$D$1,0))="Auto","LOA holder 2 (auto), ","")IF(INDEX('MOA role matrix'!$B$2:$D$13,9,MATCH($B170,'MOA role matrix'!$B$1:$D$1,0))="Fill","Senior Manager CoSec, ","")IF(INDEX('MOA role matrix'!$B$2:$D$13,9,MATCH($B170,'MOA role matrix'!$B$1:$D$1,0))="If finance","Senior Manager CoSec (if finance), ","")IF(INDEX('MOA role matrix'!$B$2:$D$13,9,MATCH($B170,'MOA role matrix'!$B$1:$D$1,0))="Auto","Senior Manager CoSec (auto), ","")IF(INDEX('MOA role matrix'!$B$2:$D$13,10,MATCH($B170,'MOA role matrix'!$B$1:$D$1,0))="Fill","Division MOI managers, ","")IF(INDEX('MOA role matrix'!$B$2:$D$13,10,MATCH($B170,'MOA role matrix'!$B$1:$D$1,0))="If finance","Division MOI managers (if finance), ","")IF(INDEX('MOA role matrix'!$B$2:$D$13,10,MATCH($B170,'MOA role matrix'!$B$1:$D$1,0))="Auto","Division MOI managers (auto), ","")IF(INDEX('MOA role matrix'!$B$2:$D$13,11,MATCH($B170,'MOA role matrix'!$B$1:$D$1,0))="Fill","Ms Teh (bank), ","")IF(INDEX('MOA role matrix'!$B$2:$D$13,11,MATCH($B170,'MOA role matrix'!$B$1:$D$1,0))="If finance","Ms Teh (bank) (if finance), ","")IF(INDEX('MOA role matrix'!$B$2:$D$13,11,MATCH($B170,'MOA role matrix'!$B$1:$D$1,0))="Auto","Ms Teh (bank) (auto), ","")IF(INDEX('MOA role matrix'!$B$2:$D$13,12,MATCH($B170,'MOA role matrix'!$B$1:$D$1,0))="Fill","DLCM, ","")IF(INDEX('MOA role matrix'!$B$2:$D$13,12,MATCH($B170,'MOA role matrix'!$B$1:$D$1,0))="If finance","DLCM (if finance), ","")IF(INDEX('MOA role matrix'!$B$2:$D$13,12,MATCH($B170,'MOA role matrix'!$B$1:$D$1,0))="Auto","DLCM (auto), ","")))</f>
        <v/>
      </c>
      <c r="D170" s="5">
        <f>IF($A170="","",IFERROR(INDEX(FILTER('Client contacts'!$B$2:$B$500,('Client contacts'!$A$2:$A$500=$A170)*('Client contacts'!$H$2:$H$500="Y"),""),1),""))</f>
        <v/>
      </c>
      <c r="E170" s="5">
        <f>IF($A170="","",IFERROR(INDEX(FILTER('Client contacts'!$C$2:$C$500,('Client contacts'!$A$2:$A$500=$A170)*('Client contacts'!$H$2:$H$500="Y"),""),1),""))</f>
        <v/>
      </c>
      <c r="F170" s="5">
        <f>IF($A170="","",IFERROR(INDEX(FILTER('Client contacts'!$B$2:$B$500,('Client contacts'!$A$2:$A$500=$A170)*('Client contacts'!$G$2:$G$500="Y"),""),1),""))</f>
        <v/>
      </c>
      <c r="G170" s="5">
        <f>IF($A170="","",IFERROR(INDEX(FILTER('Client contacts'!$C$2:$C$500,('Client contacts'!$A$2:$A$500=$A170)*('Client contacts'!$G$2:$G$500="Y"),""),1),""))</f>
        <v/>
      </c>
      <c r="H170" s="5">
        <f>IF($A170="","",IFERROR(INDEX(FILTER('Client contacts'!$B$2:$B$500,('Client contacts'!$A$2:$A$500=$A170)*('Client contacts'!$G$2:$G$500="Y"),""),2),""))</f>
        <v/>
      </c>
      <c r="I170" s="5">
        <f>IF($A170="","",IFERROR(INDEX(FILTER('Client contacts'!$C$2:$C$500,('Client contacts'!$A$2:$A$500=$A170)*('Client contacts'!$G$2:$G$500="Y"),""),2),""))</f>
        <v/>
      </c>
      <c r="J170" s="8" t="n"/>
      <c r="K170" s="8" t="n"/>
      <c r="L170" s="8" t="n"/>
      <c r="M170" s="8" t="n"/>
      <c r="N170" s="8" t="n"/>
      <c r="O170" s="8" t="n"/>
      <c r="P170" s="8" t="n"/>
      <c r="Q170" s="8" t="n"/>
      <c r="R170" s="5">
        <f>IF($A170="","",IFERROR(INDEX(Companies!$I$2:$I$500,MATCH($A170,Companies!$A$2:$A$500,0)),""))</f>
        <v/>
      </c>
      <c r="S170" s="8" t="n"/>
      <c r="T170" s="8" t="n"/>
      <c r="U170" s="8" t="n"/>
      <c r="V170" s="8" t="n"/>
      <c r="W170" s="8" t="n"/>
    </row>
    <row r="171">
      <c r="C171" s="5">
        <f>IF($B171="","",TRIM(IF(INDEX('MOA role matrix'!$B$2:$D$13,1,MATCH($B171,'MOA role matrix'!$B$1:$D$1,0))="Fill","Project initiator, ","")IF(INDEX('MOA role matrix'!$B$2:$D$13,1,MATCH($B171,'MOA role matrix'!$B$1:$D$1,0))="If finance","Project initiator (if finance), ","")IF(INDEX('MOA role matrix'!$B$2:$D$13,1,MATCH($B171,'MOA role matrix'!$B$1:$D$1,0))="Auto","Project initiator (auto), ","")IF(INDEX('MOA role matrix'!$B$2:$D$13,2,MATCH($B171,'MOA role matrix'!$B$1:$D$1,0))="Fill","MOA signers (client), ","")IF(INDEX('MOA role matrix'!$B$2:$D$13,2,MATCH($B171,'MOA role matrix'!$B$1:$D$1,0))="If finance","MOA signers (client) (if finance), ","")IF(INDEX('MOA role matrix'!$B$2:$D$13,2,MATCH($B171,'MOA role matrix'!$B$1:$D$1,0))="Auto","MOA signers (client) (auto), ","")IF(INDEX('MOA role matrix'!$B$2:$D$13,3,MATCH($B171,'MOA role matrix'!$B$1:$D$1,0))="Fill","CFO / Head of Finance, ","")IF(INDEX('MOA role matrix'!$B$2:$D$13,3,MATCH($B171,'MOA role matrix'!$B$1:$D$1,0))="If finance","CFO / Head of Finance (if finance), ","")IF(INDEX('MOA role matrix'!$B$2:$D$13,3,MATCH($B171,'MOA role matrix'!$B$1:$D$1,0))="Auto","CFO / Head of Finance (auto), ","")IF(INDEX('MOA role matrix'!$B$2:$D$13,4,MATCH($B171,'MOA role matrix'!$B$1:$D$1,0))="Fill","CEO / COO / GM, ","")IF(INDEX('MOA role matrix'!$B$2:$D$13,4,MATCH($B171,'MOA role matrix'!$B$1:$D$1,0))="If finance","CEO / COO / GM (if finance), ","")IF(INDEX('MOA role matrix'!$B$2:$D$13,4,MATCH($B171,'MOA role matrix'!$B$1:$D$1,0))="Auto","CEO / COO / GM (auto), ","")IF(INDEX('MOA role matrix'!$B$2:$D$13,5,MATCH($B171,'MOA role matrix'!$B$1:$D$1,0))="Fill","Board member 1, ","")IF(INDEX('MOA role matrix'!$B$2:$D$13,5,MATCH($B171,'MOA role matrix'!$B$1:$D$1,0))="If finance","Board member 1 (if finance), ","")IF(INDEX('MOA role matrix'!$B$2:$D$13,5,MATCH($B171,'MOA role matrix'!$B$1:$D$1,0))="Auto","Board member 1 (auto), ","")IF(INDEX('MOA role matrix'!$B$2:$D$13,6,MATCH($B171,'MOA role matrix'!$B$1:$D$1,0))="Fill","Board member 2, ","")IF(INDEX('MOA role matrix'!$B$2:$D$13,6,MATCH($B171,'MOA role matrix'!$B$1:$D$1,0))="If finance","Board member 2 (if finance), ","")IF(INDEX('MOA role matrix'!$B$2:$D$13,6,MATCH($B171,'MOA role matrix'!$B$1:$D$1,0))="Auto","Board member 2 (auto), ","")IF(INDEX('MOA role matrix'!$B$2:$D$13,7,MATCH($B171,'MOA role matrix'!$B$1:$D$1,0))="Fill","LOA holder 1, ","")IF(INDEX('MOA role matrix'!$B$2:$D$13,7,MATCH($B171,'MOA role matrix'!$B$1:$D$1,0))="If finance","LOA holder 1 (if finance), ","")IF(INDEX('MOA role matrix'!$B$2:$D$13,7,MATCH($B171,'MOA role matrix'!$B$1:$D$1,0))="Auto","LOA holder 1 (auto), ","")IF(INDEX('MOA role matrix'!$B$2:$D$13,8,MATCH($B171,'MOA role matrix'!$B$1:$D$1,0))="Fill","LOA holder 2, ","")IF(INDEX('MOA role matrix'!$B$2:$D$13,8,MATCH($B171,'MOA role matrix'!$B$1:$D$1,0))="If finance","LOA holder 2 (if finance), ","")IF(INDEX('MOA role matrix'!$B$2:$D$13,8,MATCH($B171,'MOA role matrix'!$B$1:$D$1,0))="Auto","LOA holder 2 (auto), ","")IF(INDEX('MOA role matrix'!$B$2:$D$13,9,MATCH($B171,'MOA role matrix'!$B$1:$D$1,0))="Fill","Senior Manager CoSec, ","")IF(INDEX('MOA role matrix'!$B$2:$D$13,9,MATCH($B171,'MOA role matrix'!$B$1:$D$1,0))="If finance","Senior Manager CoSec (if finance), ","")IF(INDEX('MOA role matrix'!$B$2:$D$13,9,MATCH($B171,'MOA role matrix'!$B$1:$D$1,0))="Auto","Senior Manager CoSec (auto), ","")IF(INDEX('MOA role matrix'!$B$2:$D$13,10,MATCH($B171,'MOA role matrix'!$B$1:$D$1,0))="Fill","Division MOI managers, ","")IF(INDEX('MOA role matrix'!$B$2:$D$13,10,MATCH($B171,'MOA role matrix'!$B$1:$D$1,0))="If finance","Division MOI managers (if finance), ","")IF(INDEX('MOA role matrix'!$B$2:$D$13,10,MATCH($B171,'MOA role matrix'!$B$1:$D$1,0))="Auto","Division MOI managers (auto), ","")IF(INDEX('MOA role matrix'!$B$2:$D$13,11,MATCH($B171,'MOA role matrix'!$B$1:$D$1,0))="Fill","Ms Teh (bank), ","")IF(INDEX('MOA role matrix'!$B$2:$D$13,11,MATCH($B171,'MOA role matrix'!$B$1:$D$1,0))="If finance","Ms Teh (bank) (if finance), ","")IF(INDEX('MOA role matrix'!$B$2:$D$13,11,MATCH($B171,'MOA role matrix'!$B$1:$D$1,0))="Auto","Ms Teh (bank) (auto), ","")IF(INDEX('MOA role matrix'!$B$2:$D$13,12,MATCH($B171,'MOA role matrix'!$B$1:$D$1,0))="Fill","DLCM, ","")IF(INDEX('MOA role matrix'!$B$2:$D$13,12,MATCH($B171,'MOA role matrix'!$B$1:$D$1,0))="If finance","DLCM (if finance), ","")IF(INDEX('MOA role matrix'!$B$2:$D$13,12,MATCH($B171,'MOA role matrix'!$B$1:$D$1,0))="Auto","DLCM (auto), ","")))</f>
        <v/>
      </c>
      <c r="D171" s="5">
        <f>IF($A171="","",IFERROR(INDEX(FILTER('Client contacts'!$B$2:$B$500,('Client contacts'!$A$2:$A$500=$A171)*('Client contacts'!$H$2:$H$500="Y"),""),1),""))</f>
        <v/>
      </c>
      <c r="E171" s="5">
        <f>IF($A171="","",IFERROR(INDEX(FILTER('Client contacts'!$C$2:$C$500,('Client contacts'!$A$2:$A$500=$A171)*('Client contacts'!$H$2:$H$500="Y"),""),1),""))</f>
        <v/>
      </c>
      <c r="F171" s="5">
        <f>IF($A171="","",IFERROR(INDEX(FILTER('Client contacts'!$B$2:$B$500,('Client contacts'!$A$2:$A$500=$A171)*('Client contacts'!$G$2:$G$500="Y"),""),1),""))</f>
        <v/>
      </c>
      <c r="G171" s="5">
        <f>IF($A171="","",IFERROR(INDEX(FILTER('Client contacts'!$C$2:$C$500,('Client contacts'!$A$2:$A$500=$A171)*('Client contacts'!$G$2:$G$500="Y"),""),1),""))</f>
        <v/>
      </c>
      <c r="H171" s="5">
        <f>IF($A171="","",IFERROR(INDEX(FILTER('Client contacts'!$B$2:$B$500,('Client contacts'!$A$2:$A$500=$A171)*('Client contacts'!$G$2:$G$500="Y"),""),2),""))</f>
        <v/>
      </c>
      <c r="I171" s="5">
        <f>IF($A171="","",IFERROR(INDEX(FILTER('Client contacts'!$C$2:$C$500,('Client contacts'!$A$2:$A$500=$A171)*('Client contacts'!$G$2:$G$500="Y"),""),2),""))</f>
        <v/>
      </c>
      <c r="J171" s="8" t="n"/>
      <c r="K171" s="8" t="n"/>
      <c r="L171" s="8" t="n"/>
      <c r="M171" s="8" t="n"/>
      <c r="N171" s="8" t="n"/>
      <c r="O171" s="8" t="n"/>
      <c r="P171" s="8" t="n"/>
      <c r="Q171" s="8" t="n"/>
      <c r="R171" s="5">
        <f>IF($A171="","",IFERROR(INDEX(Companies!$I$2:$I$500,MATCH($A171,Companies!$A$2:$A$500,0)),""))</f>
        <v/>
      </c>
      <c r="S171" s="8" t="n"/>
      <c r="T171" s="8" t="n"/>
      <c r="U171" s="8" t="n"/>
      <c r="V171" s="8" t="n"/>
      <c r="W171" s="8" t="n"/>
    </row>
    <row r="172">
      <c r="C172" s="5">
        <f>IF($B172="","",TRIM(IF(INDEX('MOA role matrix'!$B$2:$D$13,1,MATCH($B172,'MOA role matrix'!$B$1:$D$1,0))="Fill","Project initiator, ","")IF(INDEX('MOA role matrix'!$B$2:$D$13,1,MATCH($B172,'MOA role matrix'!$B$1:$D$1,0))="If finance","Project initiator (if finance), ","")IF(INDEX('MOA role matrix'!$B$2:$D$13,1,MATCH($B172,'MOA role matrix'!$B$1:$D$1,0))="Auto","Project initiator (auto), ","")IF(INDEX('MOA role matrix'!$B$2:$D$13,2,MATCH($B172,'MOA role matrix'!$B$1:$D$1,0))="Fill","MOA signers (client), ","")IF(INDEX('MOA role matrix'!$B$2:$D$13,2,MATCH($B172,'MOA role matrix'!$B$1:$D$1,0))="If finance","MOA signers (client) (if finance), ","")IF(INDEX('MOA role matrix'!$B$2:$D$13,2,MATCH($B172,'MOA role matrix'!$B$1:$D$1,0))="Auto","MOA signers (client) (auto), ","")IF(INDEX('MOA role matrix'!$B$2:$D$13,3,MATCH($B172,'MOA role matrix'!$B$1:$D$1,0))="Fill","CFO / Head of Finance, ","")IF(INDEX('MOA role matrix'!$B$2:$D$13,3,MATCH($B172,'MOA role matrix'!$B$1:$D$1,0))="If finance","CFO / Head of Finance (if finance), ","")IF(INDEX('MOA role matrix'!$B$2:$D$13,3,MATCH($B172,'MOA role matrix'!$B$1:$D$1,0))="Auto","CFO / Head of Finance (auto), ","")IF(INDEX('MOA role matrix'!$B$2:$D$13,4,MATCH($B172,'MOA role matrix'!$B$1:$D$1,0))="Fill","CEO / COO / GM, ","")IF(INDEX('MOA role matrix'!$B$2:$D$13,4,MATCH($B172,'MOA role matrix'!$B$1:$D$1,0))="If finance","CEO / COO / GM (if finance), ","")IF(INDEX('MOA role matrix'!$B$2:$D$13,4,MATCH($B172,'MOA role matrix'!$B$1:$D$1,0))="Auto","CEO / COO / GM (auto), ","")IF(INDEX('MOA role matrix'!$B$2:$D$13,5,MATCH($B172,'MOA role matrix'!$B$1:$D$1,0))="Fill","Board member 1, ","")IF(INDEX('MOA role matrix'!$B$2:$D$13,5,MATCH($B172,'MOA role matrix'!$B$1:$D$1,0))="If finance","Board member 1 (if finance), ","")IF(INDEX('MOA role matrix'!$B$2:$D$13,5,MATCH($B172,'MOA role matrix'!$B$1:$D$1,0))="Auto","Board member 1 (auto), ","")IF(INDEX('MOA role matrix'!$B$2:$D$13,6,MATCH($B172,'MOA role matrix'!$B$1:$D$1,0))="Fill","Board member 2, ","")IF(INDEX('MOA role matrix'!$B$2:$D$13,6,MATCH($B172,'MOA role matrix'!$B$1:$D$1,0))="If finance","Board member 2 (if finance), ","")IF(INDEX('MOA role matrix'!$B$2:$D$13,6,MATCH($B172,'MOA role matrix'!$B$1:$D$1,0))="Auto","Board member 2 (auto), ","")IF(INDEX('MOA role matrix'!$B$2:$D$13,7,MATCH($B172,'MOA role matrix'!$B$1:$D$1,0))="Fill","LOA holder 1, ","")IF(INDEX('MOA role matrix'!$B$2:$D$13,7,MATCH($B172,'MOA role matrix'!$B$1:$D$1,0))="If finance","LOA holder 1 (if finance), ","")IF(INDEX('MOA role matrix'!$B$2:$D$13,7,MATCH($B172,'MOA role matrix'!$B$1:$D$1,0))="Auto","LOA holder 1 (auto), ","")IF(INDEX('MOA role matrix'!$B$2:$D$13,8,MATCH($B172,'MOA role matrix'!$B$1:$D$1,0))="Fill","LOA holder 2, ","")IF(INDEX('MOA role matrix'!$B$2:$D$13,8,MATCH($B172,'MOA role matrix'!$B$1:$D$1,0))="If finance","LOA holder 2 (if finance), ","")IF(INDEX('MOA role matrix'!$B$2:$D$13,8,MATCH($B172,'MOA role matrix'!$B$1:$D$1,0))="Auto","LOA holder 2 (auto), ","")IF(INDEX('MOA role matrix'!$B$2:$D$13,9,MATCH($B172,'MOA role matrix'!$B$1:$D$1,0))="Fill","Senior Manager CoSec, ","")IF(INDEX('MOA role matrix'!$B$2:$D$13,9,MATCH($B172,'MOA role matrix'!$B$1:$D$1,0))="If finance","Senior Manager CoSec (if finance), ","")IF(INDEX('MOA role matrix'!$B$2:$D$13,9,MATCH($B172,'MOA role matrix'!$B$1:$D$1,0))="Auto","Senior Manager CoSec (auto), ","")IF(INDEX('MOA role matrix'!$B$2:$D$13,10,MATCH($B172,'MOA role matrix'!$B$1:$D$1,0))="Fill","Division MOI managers, ","")IF(INDEX('MOA role matrix'!$B$2:$D$13,10,MATCH($B172,'MOA role matrix'!$B$1:$D$1,0))="If finance","Division MOI managers (if finance), ","")IF(INDEX('MOA role matrix'!$B$2:$D$13,10,MATCH($B172,'MOA role matrix'!$B$1:$D$1,0))="Auto","Division MOI managers (auto), ","")IF(INDEX('MOA role matrix'!$B$2:$D$13,11,MATCH($B172,'MOA role matrix'!$B$1:$D$1,0))="Fill","Ms Teh (bank), ","")IF(INDEX('MOA role matrix'!$B$2:$D$13,11,MATCH($B172,'MOA role matrix'!$B$1:$D$1,0))="If finance","Ms Teh (bank) (if finance), ","")IF(INDEX('MOA role matrix'!$B$2:$D$13,11,MATCH($B172,'MOA role matrix'!$B$1:$D$1,0))="Auto","Ms Teh (bank) (auto), ","")IF(INDEX('MOA role matrix'!$B$2:$D$13,12,MATCH($B172,'MOA role matrix'!$B$1:$D$1,0))="Fill","DLCM, ","")IF(INDEX('MOA role matrix'!$B$2:$D$13,12,MATCH($B172,'MOA role matrix'!$B$1:$D$1,0))="If finance","DLCM (if finance), ","")IF(INDEX('MOA role matrix'!$B$2:$D$13,12,MATCH($B172,'MOA role matrix'!$B$1:$D$1,0))="Auto","DLCM (auto), ","")))</f>
        <v/>
      </c>
      <c r="D172" s="5">
        <f>IF($A172="","",IFERROR(INDEX(FILTER('Client contacts'!$B$2:$B$500,('Client contacts'!$A$2:$A$500=$A172)*('Client contacts'!$H$2:$H$500="Y"),""),1),""))</f>
        <v/>
      </c>
      <c r="E172" s="5">
        <f>IF($A172="","",IFERROR(INDEX(FILTER('Client contacts'!$C$2:$C$500,('Client contacts'!$A$2:$A$500=$A172)*('Client contacts'!$H$2:$H$500="Y"),""),1),""))</f>
        <v/>
      </c>
      <c r="F172" s="5">
        <f>IF($A172="","",IFERROR(INDEX(FILTER('Client contacts'!$B$2:$B$500,('Client contacts'!$A$2:$A$500=$A172)*('Client contacts'!$G$2:$G$500="Y"),""),1),""))</f>
        <v/>
      </c>
      <c r="G172" s="5">
        <f>IF($A172="","",IFERROR(INDEX(FILTER('Client contacts'!$C$2:$C$500,('Client contacts'!$A$2:$A$500=$A172)*('Client contacts'!$G$2:$G$500="Y"),""),1),""))</f>
        <v/>
      </c>
      <c r="H172" s="5">
        <f>IF($A172="","",IFERROR(INDEX(FILTER('Client contacts'!$B$2:$B$500,('Client contacts'!$A$2:$A$500=$A172)*('Client contacts'!$G$2:$G$500="Y"),""),2),""))</f>
        <v/>
      </c>
      <c r="I172" s="5">
        <f>IF($A172="","",IFERROR(INDEX(FILTER('Client contacts'!$C$2:$C$500,('Client contacts'!$A$2:$A$500=$A172)*('Client contacts'!$G$2:$G$500="Y"),""),2),""))</f>
        <v/>
      </c>
      <c r="J172" s="8" t="n"/>
      <c r="K172" s="8" t="n"/>
      <c r="L172" s="8" t="n"/>
      <c r="M172" s="8" t="n"/>
      <c r="N172" s="8" t="n"/>
      <c r="O172" s="8" t="n"/>
      <c r="P172" s="8" t="n"/>
      <c r="Q172" s="8" t="n"/>
      <c r="R172" s="5">
        <f>IF($A172="","",IFERROR(INDEX(Companies!$I$2:$I$500,MATCH($A172,Companies!$A$2:$A$500,0)),""))</f>
        <v/>
      </c>
      <c r="S172" s="8" t="n"/>
      <c r="T172" s="8" t="n"/>
      <c r="U172" s="8" t="n"/>
      <c r="V172" s="8" t="n"/>
      <c r="W172" s="8" t="n"/>
    </row>
    <row r="173">
      <c r="C173" s="5">
        <f>IF($B173="","",TRIM(IF(INDEX('MOA role matrix'!$B$2:$D$13,1,MATCH($B173,'MOA role matrix'!$B$1:$D$1,0))="Fill","Project initiator, ","")IF(INDEX('MOA role matrix'!$B$2:$D$13,1,MATCH($B173,'MOA role matrix'!$B$1:$D$1,0))="If finance","Project initiator (if finance), ","")IF(INDEX('MOA role matrix'!$B$2:$D$13,1,MATCH($B173,'MOA role matrix'!$B$1:$D$1,0))="Auto","Project initiator (auto), ","")IF(INDEX('MOA role matrix'!$B$2:$D$13,2,MATCH($B173,'MOA role matrix'!$B$1:$D$1,0))="Fill","MOA signers (client), ","")IF(INDEX('MOA role matrix'!$B$2:$D$13,2,MATCH($B173,'MOA role matrix'!$B$1:$D$1,0))="If finance","MOA signers (client) (if finance), ","")IF(INDEX('MOA role matrix'!$B$2:$D$13,2,MATCH($B173,'MOA role matrix'!$B$1:$D$1,0))="Auto","MOA signers (client) (auto), ","")IF(INDEX('MOA role matrix'!$B$2:$D$13,3,MATCH($B173,'MOA role matrix'!$B$1:$D$1,0))="Fill","CFO / Head of Finance, ","")IF(INDEX('MOA role matrix'!$B$2:$D$13,3,MATCH($B173,'MOA role matrix'!$B$1:$D$1,0))="If finance","CFO / Head of Finance (if finance), ","")IF(INDEX('MOA role matrix'!$B$2:$D$13,3,MATCH($B173,'MOA role matrix'!$B$1:$D$1,0))="Auto","CFO / Head of Finance (auto), ","")IF(INDEX('MOA role matrix'!$B$2:$D$13,4,MATCH($B173,'MOA role matrix'!$B$1:$D$1,0))="Fill","CEO / COO / GM, ","")IF(INDEX('MOA role matrix'!$B$2:$D$13,4,MATCH($B173,'MOA role matrix'!$B$1:$D$1,0))="If finance","CEO / COO / GM (if finance), ","")IF(INDEX('MOA role matrix'!$B$2:$D$13,4,MATCH($B173,'MOA role matrix'!$B$1:$D$1,0))="Auto","CEO / COO / GM (auto), ","")IF(INDEX('MOA role matrix'!$B$2:$D$13,5,MATCH($B173,'MOA role matrix'!$B$1:$D$1,0))="Fill","Board member 1, ","")IF(INDEX('MOA role matrix'!$B$2:$D$13,5,MATCH($B173,'MOA role matrix'!$B$1:$D$1,0))="If finance","Board member 1 (if finance), ","")IF(INDEX('MOA role matrix'!$B$2:$D$13,5,MATCH($B173,'MOA role matrix'!$B$1:$D$1,0))="Auto","Board member 1 (auto), ","")IF(INDEX('MOA role matrix'!$B$2:$D$13,6,MATCH($B173,'MOA role matrix'!$B$1:$D$1,0))="Fill","Board member 2, ","")IF(INDEX('MOA role matrix'!$B$2:$D$13,6,MATCH($B173,'MOA role matrix'!$B$1:$D$1,0))="If finance","Board member 2 (if finance), ","")IF(INDEX('MOA role matrix'!$B$2:$D$13,6,MATCH($B173,'MOA role matrix'!$B$1:$D$1,0))="Auto","Board member 2 (auto), ","")IF(INDEX('MOA role matrix'!$B$2:$D$13,7,MATCH($B173,'MOA role matrix'!$B$1:$D$1,0))="Fill","LOA holder 1, ","")IF(INDEX('MOA role matrix'!$B$2:$D$13,7,MATCH($B173,'MOA role matrix'!$B$1:$D$1,0))="If finance","LOA holder 1 (if finance), ","")IF(INDEX('MOA role matrix'!$B$2:$D$13,7,MATCH($B173,'MOA role matrix'!$B$1:$D$1,0))="Auto","LOA holder 1 (auto), ","")IF(INDEX('MOA role matrix'!$B$2:$D$13,8,MATCH($B173,'MOA role matrix'!$B$1:$D$1,0))="Fill","LOA holder 2, ","")IF(INDEX('MOA role matrix'!$B$2:$D$13,8,MATCH($B173,'MOA role matrix'!$B$1:$D$1,0))="If finance","LOA holder 2 (if finance), ","")IF(INDEX('MOA role matrix'!$B$2:$D$13,8,MATCH($B173,'MOA role matrix'!$B$1:$D$1,0))="Auto","LOA holder 2 (auto), ","")IF(INDEX('MOA role matrix'!$B$2:$D$13,9,MATCH($B173,'MOA role matrix'!$B$1:$D$1,0))="Fill","Senior Manager CoSec, ","")IF(INDEX('MOA role matrix'!$B$2:$D$13,9,MATCH($B173,'MOA role matrix'!$B$1:$D$1,0))="If finance","Senior Manager CoSec (if finance), ","")IF(INDEX('MOA role matrix'!$B$2:$D$13,9,MATCH($B173,'MOA role matrix'!$B$1:$D$1,0))="Auto","Senior Manager CoSec (auto), ","")IF(INDEX('MOA role matrix'!$B$2:$D$13,10,MATCH($B173,'MOA role matrix'!$B$1:$D$1,0))="Fill","Division MOI managers, ","")IF(INDEX('MOA role matrix'!$B$2:$D$13,10,MATCH($B173,'MOA role matrix'!$B$1:$D$1,0))="If finance","Division MOI managers (if finance), ","")IF(INDEX('MOA role matrix'!$B$2:$D$13,10,MATCH($B173,'MOA role matrix'!$B$1:$D$1,0))="Auto","Division MOI managers (auto), ","")IF(INDEX('MOA role matrix'!$B$2:$D$13,11,MATCH($B173,'MOA role matrix'!$B$1:$D$1,0))="Fill","Ms Teh (bank), ","")IF(INDEX('MOA role matrix'!$B$2:$D$13,11,MATCH($B173,'MOA role matrix'!$B$1:$D$1,0))="If finance","Ms Teh (bank) (if finance), ","")IF(INDEX('MOA role matrix'!$B$2:$D$13,11,MATCH($B173,'MOA role matrix'!$B$1:$D$1,0))="Auto","Ms Teh (bank) (auto), ","")IF(INDEX('MOA role matrix'!$B$2:$D$13,12,MATCH($B173,'MOA role matrix'!$B$1:$D$1,0))="Fill","DLCM, ","")IF(INDEX('MOA role matrix'!$B$2:$D$13,12,MATCH($B173,'MOA role matrix'!$B$1:$D$1,0))="If finance","DLCM (if finance), ","")IF(INDEX('MOA role matrix'!$B$2:$D$13,12,MATCH($B173,'MOA role matrix'!$B$1:$D$1,0))="Auto","DLCM (auto), ","")))</f>
        <v/>
      </c>
      <c r="D173" s="5">
        <f>IF($A173="","",IFERROR(INDEX(FILTER('Client contacts'!$B$2:$B$500,('Client contacts'!$A$2:$A$500=$A173)*('Client contacts'!$H$2:$H$500="Y"),""),1),""))</f>
        <v/>
      </c>
      <c r="E173" s="5">
        <f>IF($A173="","",IFERROR(INDEX(FILTER('Client contacts'!$C$2:$C$500,('Client contacts'!$A$2:$A$500=$A173)*('Client contacts'!$H$2:$H$500="Y"),""),1),""))</f>
        <v/>
      </c>
      <c r="F173" s="5">
        <f>IF($A173="","",IFERROR(INDEX(FILTER('Client contacts'!$B$2:$B$500,('Client contacts'!$A$2:$A$500=$A173)*('Client contacts'!$G$2:$G$500="Y"),""),1),""))</f>
        <v/>
      </c>
      <c r="G173" s="5">
        <f>IF($A173="","",IFERROR(INDEX(FILTER('Client contacts'!$C$2:$C$500,('Client contacts'!$A$2:$A$500=$A173)*('Client contacts'!$G$2:$G$500="Y"),""),1),""))</f>
        <v/>
      </c>
      <c r="H173" s="5">
        <f>IF($A173="","",IFERROR(INDEX(FILTER('Client contacts'!$B$2:$B$500,('Client contacts'!$A$2:$A$500=$A173)*('Client contacts'!$G$2:$G$500="Y"),""),2),""))</f>
        <v/>
      </c>
      <c r="I173" s="5">
        <f>IF($A173="","",IFERROR(INDEX(FILTER('Client contacts'!$C$2:$C$500,('Client contacts'!$A$2:$A$500=$A173)*('Client contacts'!$G$2:$G$500="Y"),""),2),""))</f>
        <v/>
      </c>
      <c r="J173" s="8" t="n"/>
      <c r="K173" s="8" t="n"/>
      <c r="L173" s="8" t="n"/>
      <c r="M173" s="8" t="n"/>
      <c r="N173" s="8" t="n"/>
      <c r="O173" s="8" t="n"/>
      <c r="P173" s="8" t="n"/>
      <c r="Q173" s="8" t="n"/>
      <c r="R173" s="5">
        <f>IF($A173="","",IFERROR(INDEX(Companies!$I$2:$I$500,MATCH($A173,Companies!$A$2:$A$500,0)),""))</f>
        <v/>
      </c>
      <c r="S173" s="8" t="n"/>
      <c r="T173" s="8" t="n"/>
      <c r="U173" s="8" t="n"/>
      <c r="V173" s="8" t="n"/>
      <c r="W173" s="8" t="n"/>
    </row>
    <row r="174">
      <c r="C174" s="5">
        <f>IF($B174="","",TRIM(IF(INDEX('MOA role matrix'!$B$2:$D$13,1,MATCH($B174,'MOA role matrix'!$B$1:$D$1,0))="Fill","Project initiator, ","")IF(INDEX('MOA role matrix'!$B$2:$D$13,1,MATCH($B174,'MOA role matrix'!$B$1:$D$1,0))="If finance","Project initiator (if finance), ","")IF(INDEX('MOA role matrix'!$B$2:$D$13,1,MATCH($B174,'MOA role matrix'!$B$1:$D$1,0))="Auto","Project initiator (auto), ","")IF(INDEX('MOA role matrix'!$B$2:$D$13,2,MATCH($B174,'MOA role matrix'!$B$1:$D$1,0))="Fill","MOA signers (client), ","")IF(INDEX('MOA role matrix'!$B$2:$D$13,2,MATCH($B174,'MOA role matrix'!$B$1:$D$1,0))="If finance","MOA signers (client) (if finance), ","")IF(INDEX('MOA role matrix'!$B$2:$D$13,2,MATCH($B174,'MOA role matrix'!$B$1:$D$1,0))="Auto","MOA signers (client) (auto), ","")IF(INDEX('MOA role matrix'!$B$2:$D$13,3,MATCH($B174,'MOA role matrix'!$B$1:$D$1,0))="Fill","CFO / Head of Finance, ","")IF(INDEX('MOA role matrix'!$B$2:$D$13,3,MATCH($B174,'MOA role matrix'!$B$1:$D$1,0))="If finance","CFO / Head of Finance (if finance), ","")IF(INDEX('MOA role matrix'!$B$2:$D$13,3,MATCH($B174,'MOA role matrix'!$B$1:$D$1,0))="Auto","CFO / Head of Finance (auto), ","")IF(INDEX('MOA role matrix'!$B$2:$D$13,4,MATCH($B174,'MOA role matrix'!$B$1:$D$1,0))="Fill","CEO / COO / GM, ","")IF(INDEX('MOA role matrix'!$B$2:$D$13,4,MATCH($B174,'MOA role matrix'!$B$1:$D$1,0))="If finance","CEO / COO / GM (if finance), ","")IF(INDEX('MOA role matrix'!$B$2:$D$13,4,MATCH($B174,'MOA role matrix'!$B$1:$D$1,0))="Auto","CEO / COO / GM (auto), ","")IF(INDEX('MOA role matrix'!$B$2:$D$13,5,MATCH($B174,'MOA role matrix'!$B$1:$D$1,0))="Fill","Board member 1, ","")IF(INDEX('MOA role matrix'!$B$2:$D$13,5,MATCH($B174,'MOA role matrix'!$B$1:$D$1,0))="If finance","Board member 1 (if finance), ","")IF(INDEX('MOA role matrix'!$B$2:$D$13,5,MATCH($B174,'MOA role matrix'!$B$1:$D$1,0))="Auto","Board member 1 (auto), ","")IF(INDEX('MOA role matrix'!$B$2:$D$13,6,MATCH($B174,'MOA role matrix'!$B$1:$D$1,0))="Fill","Board member 2, ","")IF(INDEX('MOA role matrix'!$B$2:$D$13,6,MATCH($B174,'MOA role matrix'!$B$1:$D$1,0))="If finance","Board member 2 (if finance), ","")IF(INDEX('MOA role matrix'!$B$2:$D$13,6,MATCH($B174,'MOA role matrix'!$B$1:$D$1,0))="Auto","Board member 2 (auto), ","")IF(INDEX('MOA role matrix'!$B$2:$D$13,7,MATCH($B174,'MOA role matrix'!$B$1:$D$1,0))="Fill","LOA holder 1, ","")IF(INDEX('MOA role matrix'!$B$2:$D$13,7,MATCH($B174,'MOA role matrix'!$B$1:$D$1,0))="If finance","LOA holder 1 (if finance), ","")IF(INDEX('MOA role matrix'!$B$2:$D$13,7,MATCH($B174,'MOA role matrix'!$B$1:$D$1,0))="Auto","LOA holder 1 (auto), ","")IF(INDEX('MOA role matrix'!$B$2:$D$13,8,MATCH($B174,'MOA role matrix'!$B$1:$D$1,0))="Fill","LOA holder 2, ","")IF(INDEX('MOA role matrix'!$B$2:$D$13,8,MATCH($B174,'MOA role matrix'!$B$1:$D$1,0))="If finance","LOA holder 2 (if finance), ","")IF(INDEX('MOA role matrix'!$B$2:$D$13,8,MATCH($B174,'MOA role matrix'!$B$1:$D$1,0))="Auto","LOA holder 2 (auto), ","")IF(INDEX('MOA role matrix'!$B$2:$D$13,9,MATCH($B174,'MOA role matrix'!$B$1:$D$1,0))="Fill","Senior Manager CoSec, ","")IF(INDEX('MOA role matrix'!$B$2:$D$13,9,MATCH($B174,'MOA role matrix'!$B$1:$D$1,0))="If finance","Senior Manager CoSec (if finance), ","")IF(INDEX('MOA role matrix'!$B$2:$D$13,9,MATCH($B174,'MOA role matrix'!$B$1:$D$1,0))="Auto","Senior Manager CoSec (auto), ","")IF(INDEX('MOA role matrix'!$B$2:$D$13,10,MATCH($B174,'MOA role matrix'!$B$1:$D$1,0))="Fill","Division MOI managers, ","")IF(INDEX('MOA role matrix'!$B$2:$D$13,10,MATCH($B174,'MOA role matrix'!$B$1:$D$1,0))="If finance","Division MOI managers (if finance), ","")IF(INDEX('MOA role matrix'!$B$2:$D$13,10,MATCH($B174,'MOA role matrix'!$B$1:$D$1,0))="Auto","Division MOI managers (auto), ","")IF(INDEX('MOA role matrix'!$B$2:$D$13,11,MATCH($B174,'MOA role matrix'!$B$1:$D$1,0))="Fill","Ms Teh (bank), ","")IF(INDEX('MOA role matrix'!$B$2:$D$13,11,MATCH($B174,'MOA role matrix'!$B$1:$D$1,0))="If finance","Ms Teh (bank) (if finance), ","")IF(INDEX('MOA role matrix'!$B$2:$D$13,11,MATCH($B174,'MOA role matrix'!$B$1:$D$1,0))="Auto","Ms Teh (bank) (auto), ","")IF(INDEX('MOA role matrix'!$B$2:$D$13,12,MATCH($B174,'MOA role matrix'!$B$1:$D$1,0))="Fill","DLCM, ","")IF(INDEX('MOA role matrix'!$B$2:$D$13,12,MATCH($B174,'MOA role matrix'!$B$1:$D$1,0))="If finance","DLCM (if finance), ","")IF(INDEX('MOA role matrix'!$B$2:$D$13,12,MATCH($B174,'MOA role matrix'!$B$1:$D$1,0))="Auto","DLCM (auto), ","")))</f>
        <v/>
      </c>
      <c r="D174" s="5">
        <f>IF($A174="","",IFERROR(INDEX(FILTER('Client contacts'!$B$2:$B$500,('Client contacts'!$A$2:$A$500=$A174)*('Client contacts'!$H$2:$H$500="Y"),""),1),""))</f>
        <v/>
      </c>
      <c r="E174" s="5">
        <f>IF($A174="","",IFERROR(INDEX(FILTER('Client contacts'!$C$2:$C$500,('Client contacts'!$A$2:$A$500=$A174)*('Client contacts'!$H$2:$H$500="Y"),""),1),""))</f>
        <v/>
      </c>
      <c r="F174" s="5">
        <f>IF($A174="","",IFERROR(INDEX(FILTER('Client contacts'!$B$2:$B$500,('Client contacts'!$A$2:$A$500=$A174)*('Client contacts'!$G$2:$G$500="Y"),""),1),""))</f>
        <v/>
      </c>
      <c r="G174" s="5">
        <f>IF($A174="","",IFERROR(INDEX(FILTER('Client contacts'!$C$2:$C$500,('Client contacts'!$A$2:$A$500=$A174)*('Client contacts'!$G$2:$G$500="Y"),""),1),""))</f>
        <v/>
      </c>
      <c r="H174" s="5">
        <f>IF($A174="","",IFERROR(INDEX(FILTER('Client contacts'!$B$2:$B$500,('Client contacts'!$A$2:$A$500=$A174)*('Client contacts'!$G$2:$G$500="Y"),""),2),""))</f>
        <v/>
      </c>
      <c r="I174" s="5">
        <f>IF($A174="","",IFERROR(INDEX(FILTER('Client contacts'!$C$2:$C$500,('Client contacts'!$A$2:$A$500=$A174)*('Client contacts'!$G$2:$G$500="Y"),""),2),""))</f>
        <v/>
      </c>
      <c r="J174" s="8" t="n"/>
      <c r="K174" s="8" t="n"/>
      <c r="L174" s="8" t="n"/>
      <c r="M174" s="8" t="n"/>
      <c r="N174" s="8" t="n"/>
      <c r="O174" s="8" t="n"/>
      <c r="P174" s="8" t="n"/>
      <c r="Q174" s="8" t="n"/>
      <c r="R174" s="5">
        <f>IF($A174="","",IFERROR(INDEX(Companies!$I$2:$I$500,MATCH($A174,Companies!$A$2:$A$500,0)),""))</f>
        <v/>
      </c>
      <c r="S174" s="8" t="n"/>
      <c r="T174" s="8" t="n"/>
      <c r="U174" s="8" t="n"/>
      <c r="V174" s="8" t="n"/>
      <c r="W174" s="8" t="n"/>
    </row>
    <row r="175">
      <c r="C175" s="5">
        <f>IF($B175="","",TRIM(IF(INDEX('MOA role matrix'!$B$2:$D$13,1,MATCH($B175,'MOA role matrix'!$B$1:$D$1,0))="Fill","Project initiator, ","")IF(INDEX('MOA role matrix'!$B$2:$D$13,1,MATCH($B175,'MOA role matrix'!$B$1:$D$1,0))="If finance","Project initiator (if finance), ","")IF(INDEX('MOA role matrix'!$B$2:$D$13,1,MATCH($B175,'MOA role matrix'!$B$1:$D$1,0))="Auto","Project initiator (auto), ","")IF(INDEX('MOA role matrix'!$B$2:$D$13,2,MATCH($B175,'MOA role matrix'!$B$1:$D$1,0))="Fill","MOA signers (client), ","")IF(INDEX('MOA role matrix'!$B$2:$D$13,2,MATCH($B175,'MOA role matrix'!$B$1:$D$1,0))="If finance","MOA signers (client) (if finance), ","")IF(INDEX('MOA role matrix'!$B$2:$D$13,2,MATCH($B175,'MOA role matrix'!$B$1:$D$1,0))="Auto","MOA signers (client) (auto), ","")IF(INDEX('MOA role matrix'!$B$2:$D$13,3,MATCH($B175,'MOA role matrix'!$B$1:$D$1,0))="Fill","CFO / Head of Finance, ","")IF(INDEX('MOA role matrix'!$B$2:$D$13,3,MATCH($B175,'MOA role matrix'!$B$1:$D$1,0))="If finance","CFO / Head of Finance (if finance), ","")IF(INDEX('MOA role matrix'!$B$2:$D$13,3,MATCH($B175,'MOA role matrix'!$B$1:$D$1,0))="Auto","CFO / Head of Finance (auto), ","")IF(INDEX('MOA role matrix'!$B$2:$D$13,4,MATCH($B175,'MOA role matrix'!$B$1:$D$1,0))="Fill","CEO / COO / GM, ","")IF(INDEX('MOA role matrix'!$B$2:$D$13,4,MATCH($B175,'MOA role matrix'!$B$1:$D$1,0))="If finance","CEO / COO / GM (if finance), ","")IF(INDEX('MOA role matrix'!$B$2:$D$13,4,MATCH($B175,'MOA role matrix'!$B$1:$D$1,0))="Auto","CEO / COO / GM (auto), ","")IF(INDEX('MOA role matrix'!$B$2:$D$13,5,MATCH($B175,'MOA role matrix'!$B$1:$D$1,0))="Fill","Board member 1, ","")IF(INDEX('MOA role matrix'!$B$2:$D$13,5,MATCH($B175,'MOA role matrix'!$B$1:$D$1,0))="If finance","Board member 1 (if finance), ","")IF(INDEX('MOA role matrix'!$B$2:$D$13,5,MATCH($B175,'MOA role matrix'!$B$1:$D$1,0))="Auto","Board member 1 (auto), ","")IF(INDEX('MOA role matrix'!$B$2:$D$13,6,MATCH($B175,'MOA role matrix'!$B$1:$D$1,0))="Fill","Board member 2, ","")IF(INDEX('MOA role matrix'!$B$2:$D$13,6,MATCH($B175,'MOA role matrix'!$B$1:$D$1,0))="If finance","Board member 2 (if finance), ","")IF(INDEX('MOA role matrix'!$B$2:$D$13,6,MATCH($B175,'MOA role matrix'!$B$1:$D$1,0))="Auto","Board member 2 (auto), ","")IF(INDEX('MOA role matrix'!$B$2:$D$13,7,MATCH($B175,'MOA role matrix'!$B$1:$D$1,0))="Fill","LOA holder 1, ","")IF(INDEX('MOA role matrix'!$B$2:$D$13,7,MATCH($B175,'MOA role matrix'!$B$1:$D$1,0))="If finance","LOA holder 1 (if finance), ","")IF(INDEX('MOA role matrix'!$B$2:$D$13,7,MATCH($B175,'MOA role matrix'!$B$1:$D$1,0))="Auto","LOA holder 1 (auto), ","")IF(INDEX('MOA role matrix'!$B$2:$D$13,8,MATCH($B175,'MOA role matrix'!$B$1:$D$1,0))="Fill","LOA holder 2, ","")IF(INDEX('MOA role matrix'!$B$2:$D$13,8,MATCH($B175,'MOA role matrix'!$B$1:$D$1,0))="If finance","LOA holder 2 (if finance), ","")IF(INDEX('MOA role matrix'!$B$2:$D$13,8,MATCH($B175,'MOA role matrix'!$B$1:$D$1,0))="Auto","LOA holder 2 (auto), ","")IF(INDEX('MOA role matrix'!$B$2:$D$13,9,MATCH($B175,'MOA role matrix'!$B$1:$D$1,0))="Fill","Senior Manager CoSec, ","")IF(INDEX('MOA role matrix'!$B$2:$D$13,9,MATCH($B175,'MOA role matrix'!$B$1:$D$1,0))="If finance","Senior Manager CoSec (if finance), ","")IF(INDEX('MOA role matrix'!$B$2:$D$13,9,MATCH($B175,'MOA role matrix'!$B$1:$D$1,0))="Auto","Senior Manager CoSec (auto), ","")IF(INDEX('MOA role matrix'!$B$2:$D$13,10,MATCH($B175,'MOA role matrix'!$B$1:$D$1,0))="Fill","Division MOI managers, ","")IF(INDEX('MOA role matrix'!$B$2:$D$13,10,MATCH($B175,'MOA role matrix'!$B$1:$D$1,0))="If finance","Division MOI managers (if finance), ","")IF(INDEX('MOA role matrix'!$B$2:$D$13,10,MATCH($B175,'MOA role matrix'!$B$1:$D$1,0))="Auto","Division MOI managers (auto), ","")IF(INDEX('MOA role matrix'!$B$2:$D$13,11,MATCH($B175,'MOA role matrix'!$B$1:$D$1,0))="Fill","Ms Teh (bank), ","")IF(INDEX('MOA role matrix'!$B$2:$D$13,11,MATCH($B175,'MOA role matrix'!$B$1:$D$1,0))="If finance","Ms Teh (bank) (if finance), ","")IF(INDEX('MOA role matrix'!$B$2:$D$13,11,MATCH($B175,'MOA role matrix'!$B$1:$D$1,0))="Auto","Ms Teh (bank) (auto), ","")IF(INDEX('MOA role matrix'!$B$2:$D$13,12,MATCH($B175,'MOA role matrix'!$B$1:$D$1,0))="Fill","DLCM, ","")IF(INDEX('MOA role matrix'!$B$2:$D$13,12,MATCH($B175,'MOA role matrix'!$B$1:$D$1,0))="If finance","DLCM (if finance), ","")IF(INDEX('MOA role matrix'!$B$2:$D$13,12,MATCH($B175,'MOA role matrix'!$B$1:$D$1,0))="Auto","DLCM (auto), ","")))</f>
        <v/>
      </c>
      <c r="D175" s="5">
        <f>IF($A175="","",IFERROR(INDEX(FILTER('Client contacts'!$B$2:$B$500,('Client contacts'!$A$2:$A$500=$A175)*('Client contacts'!$H$2:$H$500="Y"),""),1),""))</f>
        <v/>
      </c>
      <c r="E175" s="5">
        <f>IF($A175="","",IFERROR(INDEX(FILTER('Client contacts'!$C$2:$C$500,('Client contacts'!$A$2:$A$500=$A175)*('Client contacts'!$H$2:$H$500="Y"),""),1),""))</f>
        <v/>
      </c>
      <c r="F175" s="5">
        <f>IF($A175="","",IFERROR(INDEX(FILTER('Client contacts'!$B$2:$B$500,('Client contacts'!$A$2:$A$500=$A175)*('Client contacts'!$G$2:$G$500="Y"),""),1),""))</f>
        <v/>
      </c>
      <c r="G175" s="5">
        <f>IF($A175="","",IFERROR(INDEX(FILTER('Client contacts'!$C$2:$C$500,('Client contacts'!$A$2:$A$500=$A175)*('Client contacts'!$G$2:$G$500="Y"),""),1),""))</f>
        <v/>
      </c>
      <c r="H175" s="5">
        <f>IF($A175="","",IFERROR(INDEX(FILTER('Client contacts'!$B$2:$B$500,('Client contacts'!$A$2:$A$500=$A175)*('Client contacts'!$G$2:$G$500="Y"),""),2),""))</f>
        <v/>
      </c>
      <c r="I175" s="5">
        <f>IF($A175="","",IFERROR(INDEX(FILTER('Client contacts'!$C$2:$C$500,('Client contacts'!$A$2:$A$500=$A175)*('Client contacts'!$G$2:$G$500="Y"),""),2),""))</f>
        <v/>
      </c>
      <c r="J175" s="8" t="n"/>
      <c r="K175" s="8" t="n"/>
      <c r="L175" s="8" t="n"/>
      <c r="M175" s="8" t="n"/>
      <c r="N175" s="8" t="n"/>
      <c r="O175" s="8" t="n"/>
      <c r="P175" s="8" t="n"/>
      <c r="Q175" s="8" t="n"/>
      <c r="R175" s="5">
        <f>IF($A175="","",IFERROR(INDEX(Companies!$I$2:$I$500,MATCH($A175,Companies!$A$2:$A$500,0)),""))</f>
        <v/>
      </c>
      <c r="S175" s="8" t="n"/>
      <c r="T175" s="8" t="n"/>
      <c r="U175" s="8" t="n"/>
      <c r="V175" s="8" t="n"/>
      <c r="W175" s="8" t="n"/>
    </row>
    <row r="176">
      <c r="C176" s="5">
        <f>IF($B176="","",TRIM(IF(INDEX('MOA role matrix'!$B$2:$D$13,1,MATCH($B176,'MOA role matrix'!$B$1:$D$1,0))="Fill","Project initiator, ","")IF(INDEX('MOA role matrix'!$B$2:$D$13,1,MATCH($B176,'MOA role matrix'!$B$1:$D$1,0))="If finance","Project initiator (if finance), ","")IF(INDEX('MOA role matrix'!$B$2:$D$13,1,MATCH($B176,'MOA role matrix'!$B$1:$D$1,0))="Auto","Project initiator (auto), ","")IF(INDEX('MOA role matrix'!$B$2:$D$13,2,MATCH($B176,'MOA role matrix'!$B$1:$D$1,0))="Fill","MOA signers (client), ","")IF(INDEX('MOA role matrix'!$B$2:$D$13,2,MATCH($B176,'MOA role matrix'!$B$1:$D$1,0))="If finance","MOA signers (client) (if finance), ","")IF(INDEX('MOA role matrix'!$B$2:$D$13,2,MATCH($B176,'MOA role matrix'!$B$1:$D$1,0))="Auto","MOA signers (client) (auto), ","")IF(INDEX('MOA role matrix'!$B$2:$D$13,3,MATCH($B176,'MOA role matrix'!$B$1:$D$1,0))="Fill","CFO / Head of Finance, ","")IF(INDEX('MOA role matrix'!$B$2:$D$13,3,MATCH($B176,'MOA role matrix'!$B$1:$D$1,0))="If finance","CFO / Head of Finance (if finance), ","")IF(INDEX('MOA role matrix'!$B$2:$D$13,3,MATCH($B176,'MOA role matrix'!$B$1:$D$1,0))="Auto","CFO / Head of Finance (auto), ","")IF(INDEX('MOA role matrix'!$B$2:$D$13,4,MATCH($B176,'MOA role matrix'!$B$1:$D$1,0))="Fill","CEO / COO / GM, ","")IF(INDEX('MOA role matrix'!$B$2:$D$13,4,MATCH($B176,'MOA role matrix'!$B$1:$D$1,0))="If finance","CEO / COO / GM (if finance), ","")IF(INDEX('MOA role matrix'!$B$2:$D$13,4,MATCH($B176,'MOA role matrix'!$B$1:$D$1,0))="Auto","CEO / COO / GM (auto), ","")IF(INDEX('MOA role matrix'!$B$2:$D$13,5,MATCH($B176,'MOA role matrix'!$B$1:$D$1,0))="Fill","Board member 1, ","")IF(INDEX('MOA role matrix'!$B$2:$D$13,5,MATCH($B176,'MOA role matrix'!$B$1:$D$1,0))="If finance","Board member 1 (if finance), ","")IF(INDEX('MOA role matrix'!$B$2:$D$13,5,MATCH($B176,'MOA role matrix'!$B$1:$D$1,0))="Auto","Board member 1 (auto), ","")IF(INDEX('MOA role matrix'!$B$2:$D$13,6,MATCH($B176,'MOA role matrix'!$B$1:$D$1,0))="Fill","Board member 2, ","")IF(INDEX('MOA role matrix'!$B$2:$D$13,6,MATCH($B176,'MOA role matrix'!$B$1:$D$1,0))="If finance","Board member 2 (if finance), ","")IF(INDEX('MOA role matrix'!$B$2:$D$13,6,MATCH($B176,'MOA role matrix'!$B$1:$D$1,0))="Auto","Board member 2 (auto), ","")IF(INDEX('MOA role matrix'!$B$2:$D$13,7,MATCH($B176,'MOA role matrix'!$B$1:$D$1,0))="Fill","LOA holder 1, ","")IF(INDEX('MOA role matrix'!$B$2:$D$13,7,MATCH($B176,'MOA role matrix'!$B$1:$D$1,0))="If finance","LOA holder 1 (if finance), ","")IF(INDEX('MOA role matrix'!$B$2:$D$13,7,MATCH($B176,'MOA role matrix'!$B$1:$D$1,0))="Auto","LOA holder 1 (auto), ","")IF(INDEX('MOA role matrix'!$B$2:$D$13,8,MATCH($B176,'MOA role matrix'!$B$1:$D$1,0))="Fill","LOA holder 2, ","")IF(INDEX('MOA role matrix'!$B$2:$D$13,8,MATCH($B176,'MOA role matrix'!$B$1:$D$1,0))="If finance","LOA holder 2 (if finance), ","")IF(INDEX('MOA role matrix'!$B$2:$D$13,8,MATCH($B176,'MOA role matrix'!$B$1:$D$1,0))="Auto","LOA holder 2 (auto), ","")IF(INDEX('MOA role matrix'!$B$2:$D$13,9,MATCH($B176,'MOA role matrix'!$B$1:$D$1,0))="Fill","Senior Manager CoSec, ","")IF(INDEX('MOA role matrix'!$B$2:$D$13,9,MATCH($B176,'MOA role matrix'!$B$1:$D$1,0))="If finance","Senior Manager CoSec (if finance), ","")IF(INDEX('MOA role matrix'!$B$2:$D$13,9,MATCH($B176,'MOA role matrix'!$B$1:$D$1,0))="Auto","Senior Manager CoSec (auto), ","")IF(INDEX('MOA role matrix'!$B$2:$D$13,10,MATCH($B176,'MOA role matrix'!$B$1:$D$1,0))="Fill","Division MOI managers, ","")IF(INDEX('MOA role matrix'!$B$2:$D$13,10,MATCH($B176,'MOA role matrix'!$B$1:$D$1,0))="If finance","Division MOI managers (if finance), ","")IF(INDEX('MOA role matrix'!$B$2:$D$13,10,MATCH($B176,'MOA role matrix'!$B$1:$D$1,0))="Auto","Division MOI managers (auto), ","")IF(INDEX('MOA role matrix'!$B$2:$D$13,11,MATCH($B176,'MOA role matrix'!$B$1:$D$1,0))="Fill","Ms Teh (bank), ","")IF(INDEX('MOA role matrix'!$B$2:$D$13,11,MATCH($B176,'MOA role matrix'!$B$1:$D$1,0))="If finance","Ms Teh (bank) (if finance), ","")IF(INDEX('MOA role matrix'!$B$2:$D$13,11,MATCH($B176,'MOA role matrix'!$B$1:$D$1,0))="Auto","Ms Teh (bank) (auto), ","")IF(INDEX('MOA role matrix'!$B$2:$D$13,12,MATCH($B176,'MOA role matrix'!$B$1:$D$1,0))="Fill","DLCM, ","")IF(INDEX('MOA role matrix'!$B$2:$D$13,12,MATCH($B176,'MOA role matrix'!$B$1:$D$1,0))="If finance","DLCM (if finance), ","")IF(INDEX('MOA role matrix'!$B$2:$D$13,12,MATCH($B176,'MOA role matrix'!$B$1:$D$1,0))="Auto","DLCM (auto), ","")))</f>
        <v/>
      </c>
      <c r="D176" s="5">
        <f>IF($A176="","",IFERROR(INDEX(FILTER('Client contacts'!$B$2:$B$500,('Client contacts'!$A$2:$A$500=$A176)*('Client contacts'!$H$2:$H$500="Y"),""),1),""))</f>
        <v/>
      </c>
      <c r="E176" s="5">
        <f>IF($A176="","",IFERROR(INDEX(FILTER('Client contacts'!$C$2:$C$500,('Client contacts'!$A$2:$A$500=$A176)*('Client contacts'!$H$2:$H$500="Y"),""),1),""))</f>
        <v/>
      </c>
      <c r="F176" s="5">
        <f>IF($A176="","",IFERROR(INDEX(FILTER('Client contacts'!$B$2:$B$500,('Client contacts'!$A$2:$A$500=$A176)*('Client contacts'!$G$2:$G$500="Y"),""),1),""))</f>
        <v/>
      </c>
      <c r="G176" s="5">
        <f>IF($A176="","",IFERROR(INDEX(FILTER('Client contacts'!$C$2:$C$500,('Client contacts'!$A$2:$A$500=$A176)*('Client contacts'!$G$2:$G$500="Y"),""),1),""))</f>
        <v/>
      </c>
      <c r="H176" s="5">
        <f>IF($A176="","",IFERROR(INDEX(FILTER('Client contacts'!$B$2:$B$500,('Client contacts'!$A$2:$A$500=$A176)*('Client contacts'!$G$2:$G$500="Y"),""),2),""))</f>
        <v/>
      </c>
      <c r="I176" s="5">
        <f>IF($A176="","",IFERROR(INDEX(FILTER('Client contacts'!$C$2:$C$500,('Client contacts'!$A$2:$A$500=$A176)*('Client contacts'!$G$2:$G$500="Y"),""),2),""))</f>
        <v/>
      </c>
      <c r="J176" s="8" t="n"/>
      <c r="K176" s="8" t="n"/>
      <c r="L176" s="8" t="n"/>
      <c r="M176" s="8" t="n"/>
      <c r="N176" s="8" t="n"/>
      <c r="O176" s="8" t="n"/>
      <c r="P176" s="8" t="n"/>
      <c r="Q176" s="8" t="n"/>
      <c r="R176" s="5">
        <f>IF($A176="","",IFERROR(INDEX(Companies!$I$2:$I$500,MATCH($A176,Companies!$A$2:$A$500,0)),""))</f>
        <v/>
      </c>
      <c r="S176" s="8" t="n"/>
      <c r="T176" s="8" t="n"/>
      <c r="U176" s="8" t="n"/>
      <c r="V176" s="8" t="n"/>
      <c r="W176" s="8" t="n"/>
    </row>
    <row r="177">
      <c r="C177" s="5">
        <f>IF($B177="","",TRIM(IF(INDEX('MOA role matrix'!$B$2:$D$13,1,MATCH($B177,'MOA role matrix'!$B$1:$D$1,0))="Fill","Project initiator, ","")IF(INDEX('MOA role matrix'!$B$2:$D$13,1,MATCH($B177,'MOA role matrix'!$B$1:$D$1,0))="If finance","Project initiator (if finance), ","")IF(INDEX('MOA role matrix'!$B$2:$D$13,1,MATCH($B177,'MOA role matrix'!$B$1:$D$1,0))="Auto","Project initiator (auto), ","")IF(INDEX('MOA role matrix'!$B$2:$D$13,2,MATCH($B177,'MOA role matrix'!$B$1:$D$1,0))="Fill","MOA signers (client), ","")IF(INDEX('MOA role matrix'!$B$2:$D$13,2,MATCH($B177,'MOA role matrix'!$B$1:$D$1,0))="If finance","MOA signers (client) (if finance), ","")IF(INDEX('MOA role matrix'!$B$2:$D$13,2,MATCH($B177,'MOA role matrix'!$B$1:$D$1,0))="Auto","MOA signers (client) (auto), ","")IF(INDEX('MOA role matrix'!$B$2:$D$13,3,MATCH($B177,'MOA role matrix'!$B$1:$D$1,0))="Fill","CFO / Head of Finance, ","")IF(INDEX('MOA role matrix'!$B$2:$D$13,3,MATCH($B177,'MOA role matrix'!$B$1:$D$1,0))="If finance","CFO / Head of Finance (if finance), ","")IF(INDEX('MOA role matrix'!$B$2:$D$13,3,MATCH($B177,'MOA role matrix'!$B$1:$D$1,0))="Auto","CFO / Head of Finance (auto), ","")IF(INDEX('MOA role matrix'!$B$2:$D$13,4,MATCH($B177,'MOA role matrix'!$B$1:$D$1,0))="Fill","CEO / COO / GM, ","")IF(INDEX('MOA role matrix'!$B$2:$D$13,4,MATCH($B177,'MOA role matrix'!$B$1:$D$1,0))="If finance","CEO / COO / GM (if finance), ","")IF(INDEX('MOA role matrix'!$B$2:$D$13,4,MATCH($B177,'MOA role matrix'!$B$1:$D$1,0))="Auto","CEO / COO / GM (auto), ","")IF(INDEX('MOA role matrix'!$B$2:$D$13,5,MATCH($B177,'MOA role matrix'!$B$1:$D$1,0))="Fill","Board member 1, ","")IF(INDEX('MOA role matrix'!$B$2:$D$13,5,MATCH($B177,'MOA role matrix'!$B$1:$D$1,0))="If finance","Board member 1 (if finance), ","")IF(INDEX('MOA role matrix'!$B$2:$D$13,5,MATCH($B177,'MOA role matrix'!$B$1:$D$1,0))="Auto","Board member 1 (auto), ","")IF(INDEX('MOA role matrix'!$B$2:$D$13,6,MATCH($B177,'MOA role matrix'!$B$1:$D$1,0))="Fill","Board member 2, ","")IF(INDEX('MOA role matrix'!$B$2:$D$13,6,MATCH($B177,'MOA role matrix'!$B$1:$D$1,0))="If finance","Board member 2 (if finance), ","")IF(INDEX('MOA role matrix'!$B$2:$D$13,6,MATCH($B177,'MOA role matrix'!$B$1:$D$1,0))="Auto","Board member 2 (auto), ","")IF(INDEX('MOA role matrix'!$B$2:$D$13,7,MATCH($B177,'MOA role matrix'!$B$1:$D$1,0))="Fill","LOA holder 1, ","")IF(INDEX('MOA role matrix'!$B$2:$D$13,7,MATCH($B177,'MOA role matrix'!$B$1:$D$1,0))="If finance","LOA holder 1 (if finance), ","")IF(INDEX('MOA role matrix'!$B$2:$D$13,7,MATCH($B177,'MOA role matrix'!$B$1:$D$1,0))="Auto","LOA holder 1 (auto), ","")IF(INDEX('MOA role matrix'!$B$2:$D$13,8,MATCH($B177,'MOA role matrix'!$B$1:$D$1,0))="Fill","LOA holder 2, ","")IF(INDEX('MOA role matrix'!$B$2:$D$13,8,MATCH($B177,'MOA role matrix'!$B$1:$D$1,0))="If finance","LOA holder 2 (if finance), ","")IF(INDEX('MOA role matrix'!$B$2:$D$13,8,MATCH($B177,'MOA role matrix'!$B$1:$D$1,0))="Auto","LOA holder 2 (auto), ","")IF(INDEX('MOA role matrix'!$B$2:$D$13,9,MATCH($B177,'MOA role matrix'!$B$1:$D$1,0))="Fill","Senior Manager CoSec, ","")IF(INDEX('MOA role matrix'!$B$2:$D$13,9,MATCH($B177,'MOA role matrix'!$B$1:$D$1,0))="If finance","Senior Manager CoSec (if finance), ","")IF(INDEX('MOA role matrix'!$B$2:$D$13,9,MATCH($B177,'MOA role matrix'!$B$1:$D$1,0))="Auto","Senior Manager CoSec (auto), ","")IF(INDEX('MOA role matrix'!$B$2:$D$13,10,MATCH($B177,'MOA role matrix'!$B$1:$D$1,0))="Fill","Division MOI managers, ","")IF(INDEX('MOA role matrix'!$B$2:$D$13,10,MATCH($B177,'MOA role matrix'!$B$1:$D$1,0))="If finance","Division MOI managers (if finance), ","")IF(INDEX('MOA role matrix'!$B$2:$D$13,10,MATCH($B177,'MOA role matrix'!$B$1:$D$1,0))="Auto","Division MOI managers (auto), ","")IF(INDEX('MOA role matrix'!$B$2:$D$13,11,MATCH($B177,'MOA role matrix'!$B$1:$D$1,0))="Fill","Ms Teh (bank), ","")IF(INDEX('MOA role matrix'!$B$2:$D$13,11,MATCH($B177,'MOA role matrix'!$B$1:$D$1,0))="If finance","Ms Teh (bank) (if finance), ","")IF(INDEX('MOA role matrix'!$B$2:$D$13,11,MATCH($B177,'MOA role matrix'!$B$1:$D$1,0))="Auto","Ms Teh (bank) (auto), ","")IF(INDEX('MOA role matrix'!$B$2:$D$13,12,MATCH($B177,'MOA role matrix'!$B$1:$D$1,0))="Fill","DLCM, ","")IF(INDEX('MOA role matrix'!$B$2:$D$13,12,MATCH($B177,'MOA role matrix'!$B$1:$D$1,0))="If finance","DLCM (if finance), ","")IF(INDEX('MOA role matrix'!$B$2:$D$13,12,MATCH($B177,'MOA role matrix'!$B$1:$D$1,0))="Auto","DLCM (auto), ","")))</f>
        <v/>
      </c>
      <c r="D177" s="5">
        <f>IF($A177="","",IFERROR(INDEX(FILTER('Client contacts'!$B$2:$B$500,('Client contacts'!$A$2:$A$500=$A177)*('Client contacts'!$H$2:$H$500="Y"),""),1),""))</f>
        <v/>
      </c>
      <c r="E177" s="5">
        <f>IF($A177="","",IFERROR(INDEX(FILTER('Client contacts'!$C$2:$C$500,('Client contacts'!$A$2:$A$500=$A177)*('Client contacts'!$H$2:$H$500="Y"),""),1),""))</f>
        <v/>
      </c>
      <c r="F177" s="5">
        <f>IF($A177="","",IFERROR(INDEX(FILTER('Client contacts'!$B$2:$B$500,('Client contacts'!$A$2:$A$500=$A177)*('Client contacts'!$G$2:$G$500="Y"),""),1),""))</f>
        <v/>
      </c>
      <c r="G177" s="5">
        <f>IF($A177="","",IFERROR(INDEX(FILTER('Client contacts'!$C$2:$C$500,('Client contacts'!$A$2:$A$500=$A177)*('Client contacts'!$G$2:$G$500="Y"),""),1),""))</f>
        <v/>
      </c>
      <c r="H177" s="5">
        <f>IF($A177="","",IFERROR(INDEX(FILTER('Client contacts'!$B$2:$B$500,('Client contacts'!$A$2:$A$500=$A177)*('Client contacts'!$G$2:$G$500="Y"),""),2),""))</f>
        <v/>
      </c>
      <c r="I177" s="5">
        <f>IF($A177="","",IFERROR(INDEX(FILTER('Client contacts'!$C$2:$C$500,('Client contacts'!$A$2:$A$500=$A177)*('Client contacts'!$G$2:$G$500="Y"),""),2),""))</f>
        <v/>
      </c>
      <c r="J177" s="8" t="n"/>
      <c r="K177" s="8" t="n"/>
      <c r="L177" s="8" t="n"/>
      <c r="M177" s="8" t="n"/>
      <c r="N177" s="8" t="n"/>
      <c r="O177" s="8" t="n"/>
      <c r="P177" s="8" t="n"/>
      <c r="Q177" s="8" t="n"/>
      <c r="R177" s="5">
        <f>IF($A177="","",IFERROR(INDEX(Companies!$I$2:$I$500,MATCH($A177,Companies!$A$2:$A$500,0)),""))</f>
        <v/>
      </c>
      <c r="S177" s="8" t="n"/>
      <c r="T177" s="8" t="n"/>
      <c r="U177" s="8" t="n"/>
      <c r="V177" s="8" t="n"/>
      <c r="W177" s="8" t="n"/>
    </row>
    <row r="178">
      <c r="C178" s="5">
        <f>IF($B178="","",TRIM(IF(INDEX('MOA role matrix'!$B$2:$D$13,1,MATCH($B178,'MOA role matrix'!$B$1:$D$1,0))="Fill","Project initiator, ","")IF(INDEX('MOA role matrix'!$B$2:$D$13,1,MATCH($B178,'MOA role matrix'!$B$1:$D$1,0))="If finance","Project initiator (if finance), ","")IF(INDEX('MOA role matrix'!$B$2:$D$13,1,MATCH($B178,'MOA role matrix'!$B$1:$D$1,0))="Auto","Project initiator (auto), ","")IF(INDEX('MOA role matrix'!$B$2:$D$13,2,MATCH($B178,'MOA role matrix'!$B$1:$D$1,0))="Fill","MOA signers (client), ","")IF(INDEX('MOA role matrix'!$B$2:$D$13,2,MATCH($B178,'MOA role matrix'!$B$1:$D$1,0))="If finance","MOA signers (client) (if finance), ","")IF(INDEX('MOA role matrix'!$B$2:$D$13,2,MATCH($B178,'MOA role matrix'!$B$1:$D$1,0))="Auto","MOA signers (client) (auto), ","")IF(INDEX('MOA role matrix'!$B$2:$D$13,3,MATCH($B178,'MOA role matrix'!$B$1:$D$1,0))="Fill","CFO / Head of Finance, ","")IF(INDEX('MOA role matrix'!$B$2:$D$13,3,MATCH($B178,'MOA role matrix'!$B$1:$D$1,0))="If finance","CFO / Head of Finance (if finance), ","")IF(INDEX('MOA role matrix'!$B$2:$D$13,3,MATCH($B178,'MOA role matrix'!$B$1:$D$1,0))="Auto","CFO / Head of Finance (auto), ","")IF(INDEX('MOA role matrix'!$B$2:$D$13,4,MATCH($B178,'MOA role matrix'!$B$1:$D$1,0))="Fill","CEO / COO / GM, ","")IF(INDEX('MOA role matrix'!$B$2:$D$13,4,MATCH($B178,'MOA role matrix'!$B$1:$D$1,0))="If finance","CEO / COO / GM (if finance), ","")IF(INDEX('MOA role matrix'!$B$2:$D$13,4,MATCH($B178,'MOA role matrix'!$B$1:$D$1,0))="Auto","CEO / COO / GM (auto), ","")IF(INDEX('MOA role matrix'!$B$2:$D$13,5,MATCH($B178,'MOA role matrix'!$B$1:$D$1,0))="Fill","Board member 1, ","")IF(INDEX('MOA role matrix'!$B$2:$D$13,5,MATCH($B178,'MOA role matrix'!$B$1:$D$1,0))="If finance","Board member 1 (if finance), ","")IF(INDEX('MOA role matrix'!$B$2:$D$13,5,MATCH($B178,'MOA role matrix'!$B$1:$D$1,0))="Auto","Board member 1 (auto), ","")IF(INDEX('MOA role matrix'!$B$2:$D$13,6,MATCH($B178,'MOA role matrix'!$B$1:$D$1,0))="Fill","Board member 2, ","")IF(INDEX('MOA role matrix'!$B$2:$D$13,6,MATCH($B178,'MOA role matrix'!$B$1:$D$1,0))="If finance","Board member 2 (if finance), ","")IF(INDEX('MOA role matrix'!$B$2:$D$13,6,MATCH($B178,'MOA role matrix'!$B$1:$D$1,0))="Auto","Board member 2 (auto), ","")IF(INDEX('MOA role matrix'!$B$2:$D$13,7,MATCH($B178,'MOA role matrix'!$B$1:$D$1,0))="Fill","LOA holder 1, ","")IF(INDEX('MOA role matrix'!$B$2:$D$13,7,MATCH($B178,'MOA role matrix'!$B$1:$D$1,0))="If finance","LOA holder 1 (if finance), ","")IF(INDEX('MOA role matrix'!$B$2:$D$13,7,MATCH($B178,'MOA role matrix'!$B$1:$D$1,0))="Auto","LOA holder 1 (auto), ","")IF(INDEX('MOA role matrix'!$B$2:$D$13,8,MATCH($B178,'MOA role matrix'!$B$1:$D$1,0))="Fill","LOA holder 2, ","")IF(INDEX('MOA role matrix'!$B$2:$D$13,8,MATCH($B178,'MOA role matrix'!$B$1:$D$1,0))="If finance","LOA holder 2 (if finance), ","")IF(INDEX('MOA role matrix'!$B$2:$D$13,8,MATCH($B178,'MOA role matrix'!$B$1:$D$1,0))="Auto","LOA holder 2 (auto), ","")IF(INDEX('MOA role matrix'!$B$2:$D$13,9,MATCH($B178,'MOA role matrix'!$B$1:$D$1,0))="Fill","Senior Manager CoSec, ","")IF(INDEX('MOA role matrix'!$B$2:$D$13,9,MATCH($B178,'MOA role matrix'!$B$1:$D$1,0))="If finance","Senior Manager CoSec (if finance), ","")IF(INDEX('MOA role matrix'!$B$2:$D$13,9,MATCH($B178,'MOA role matrix'!$B$1:$D$1,0))="Auto","Senior Manager CoSec (auto), ","")IF(INDEX('MOA role matrix'!$B$2:$D$13,10,MATCH($B178,'MOA role matrix'!$B$1:$D$1,0))="Fill","Division MOI managers, ","")IF(INDEX('MOA role matrix'!$B$2:$D$13,10,MATCH($B178,'MOA role matrix'!$B$1:$D$1,0))="If finance","Division MOI managers (if finance), ","")IF(INDEX('MOA role matrix'!$B$2:$D$13,10,MATCH($B178,'MOA role matrix'!$B$1:$D$1,0))="Auto","Division MOI managers (auto), ","")IF(INDEX('MOA role matrix'!$B$2:$D$13,11,MATCH($B178,'MOA role matrix'!$B$1:$D$1,0))="Fill","Ms Teh (bank), ","")IF(INDEX('MOA role matrix'!$B$2:$D$13,11,MATCH($B178,'MOA role matrix'!$B$1:$D$1,0))="If finance","Ms Teh (bank) (if finance), ","")IF(INDEX('MOA role matrix'!$B$2:$D$13,11,MATCH($B178,'MOA role matrix'!$B$1:$D$1,0))="Auto","Ms Teh (bank) (auto), ","")IF(INDEX('MOA role matrix'!$B$2:$D$13,12,MATCH($B178,'MOA role matrix'!$B$1:$D$1,0))="Fill","DLCM, ","")IF(INDEX('MOA role matrix'!$B$2:$D$13,12,MATCH($B178,'MOA role matrix'!$B$1:$D$1,0))="If finance","DLCM (if finance), ","")IF(INDEX('MOA role matrix'!$B$2:$D$13,12,MATCH($B178,'MOA role matrix'!$B$1:$D$1,0))="Auto","DLCM (auto), ","")))</f>
        <v/>
      </c>
      <c r="D178" s="5">
        <f>IF($A178="","",IFERROR(INDEX(FILTER('Client contacts'!$B$2:$B$500,('Client contacts'!$A$2:$A$500=$A178)*('Client contacts'!$H$2:$H$500="Y"),""),1),""))</f>
        <v/>
      </c>
      <c r="E178" s="5">
        <f>IF($A178="","",IFERROR(INDEX(FILTER('Client contacts'!$C$2:$C$500,('Client contacts'!$A$2:$A$500=$A178)*('Client contacts'!$H$2:$H$500="Y"),""),1),""))</f>
        <v/>
      </c>
      <c r="F178" s="5">
        <f>IF($A178="","",IFERROR(INDEX(FILTER('Client contacts'!$B$2:$B$500,('Client contacts'!$A$2:$A$500=$A178)*('Client contacts'!$G$2:$G$500="Y"),""),1),""))</f>
        <v/>
      </c>
      <c r="G178" s="5">
        <f>IF($A178="","",IFERROR(INDEX(FILTER('Client contacts'!$C$2:$C$500,('Client contacts'!$A$2:$A$500=$A178)*('Client contacts'!$G$2:$G$500="Y"),""),1),""))</f>
        <v/>
      </c>
      <c r="H178" s="5">
        <f>IF($A178="","",IFERROR(INDEX(FILTER('Client contacts'!$B$2:$B$500,('Client contacts'!$A$2:$A$500=$A178)*('Client contacts'!$G$2:$G$500="Y"),""),2),""))</f>
        <v/>
      </c>
      <c r="I178" s="5">
        <f>IF($A178="","",IFERROR(INDEX(FILTER('Client contacts'!$C$2:$C$500,('Client contacts'!$A$2:$A$500=$A178)*('Client contacts'!$G$2:$G$500="Y"),""),2),""))</f>
        <v/>
      </c>
      <c r="J178" s="8" t="n"/>
      <c r="K178" s="8" t="n"/>
      <c r="L178" s="8" t="n"/>
      <c r="M178" s="8" t="n"/>
      <c r="N178" s="8" t="n"/>
      <c r="O178" s="8" t="n"/>
      <c r="P178" s="8" t="n"/>
      <c r="Q178" s="8" t="n"/>
      <c r="R178" s="5">
        <f>IF($A178="","",IFERROR(INDEX(Companies!$I$2:$I$500,MATCH($A178,Companies!$A$2:$A$500,0)),""))</f>
        <v/>
      </c>
      <c r="S178" s="8" t="n"/>
      <c r="T178" s="8" t="n"/>
      <c r="U178" s="8" t="n"/>
      <c r="V178" s="8" t="n"/>
      <c r="W178" s="8" t="n"/>
    </row>
    <row r="179">
      <c r="C179" s="5">
        <f>IF($B179="","",TRIM(IF(INDEX('MOA role matrix'!$B$2:$D$13,1,MATCH($B179,'MOA role matrix'!$B$1:$D$1,0))="Fill","Project initiator, ","")IF(INDEX('MOA role matrix'!$B$2:$D$13,1,MATCH($B179,'MOA role matrix'!$B$1:$D$1,0))="If finance","Project initiator (if finance), ","")IF(INDEX('MOA role matrix'!$B$2:$D$13,1,MATCH($B179,'MOA role matrix'!$B$1:$D$1,0))="Auto","Project initiator (auto), ","")IF(INDEX('MOA role matrix'!$B$2:$D$13,2,MATCH($B179,'MOA role matrix'!$B$1:$D$1,0))="Fill","MOA signers (client), ","")IF(INDEX('MOA role matrix'!$B$2:$D$13,2,MATCH($B179,'MOA role matrix'!$B$1:$D$1,0))="If finance","MOA signers (client) (if finance), ","")IF(INDEX('MOA role matrix'!$B$2:$D$13,2,MATCH($B179,'MOA role matrix'!$B$1:$D$1,0))="Auto","MOA signers (client) (auto), ","")IF(INDEX('MOA role matrix'!$B$2:$D$13,3,MATCH($B179,'MOA role matrix'!$B$1:$D$1,0))="Fill","CFO / Head of Finance, ","")IF(INDEX('MOA role matrix'!$B$2:$D$13,3,MATCH($B179,'MOA role matrix'!$B$1:$D$1,0))="If finance","CFO / Head of Finance (if finance), ","")IF(INDEX('MOA role matrix'!$B$2:$D$13,3,MATCH($B179,'MOA role matrix'!$B$1:$D$1,0))="Auto","CFO / Head of Finance (auto), ","")IF(INDEX('MOA role matrix'!$B$2:$D$13,4,MATCH($B179,'MOA role matrix'!$B$1:$D$1,0))="Fill","CEO / COO / GM, ","")IF(INDEX('MOA role matrix'!$B$2:$D$13,4,MATCH($B179,'MOA role matrix'!$B$1:$D$1,0))="If finance","CEO / COO / GM (if finance), ","")IF(INDEX('MOA role matrix'!$B$2:$D$13,4,MATCH($B179,'MOA role matrix'!$B$1:$D$1,0))="Auto","CEO / COO / GM (auto), ","")IF(INDEX('MOA role matrix'!$B$2:$D$13,5,MATCH($B179,'MOA role matrix'!$B$1:$D$1,0))="Fill","Board member 1, ","")IF(INDEX('MOA role matrix'!$B$2:$D$13,5,MATCH($B179,'MOA role matrix'!$B$1:$D$1,0))="If finance","Board member 1 (if finance), ","")IF(INDEX('MOA role matrix'!$B$2:$D$13,5,MATCH($B179,'MOA role matrix'!$B$1:$D$1,0))="Auto","Board member 1 (auto), ","")IF(INDEX('MOA role matrix'!$B$2:$D$13,6,MATCH($B179,'MOA role matrix'!$B$1:$D$1,0))="Fill","Board member 2, ","")IF(INDEX('MOA role matrix'!$B$2:$D$13,6,MATCH($B179,'MOA role matrix'!$B$1:$D$1,0))="If finance","Board member 2 (if finance), ","")IF(INDEX('MOA role matrix'!$B$2:$D$13,6,MATCH($B179,'MOA role matrix'!$B$1:$D$1,0))="Auto","Board member 2 (auto), ","")IF(INDEX('MOA role matrix'!$B$2:$D$13,7,MATCH($B179,'MOA role matrix'!$B$1:$D$1,0))="Fill","LOA holder 1, ","")IF(INDEX('MOA role matrix'!$B$2:$D$13,7,MATCH($B179,'MOA role matrix'!$B$1:$D$1,0))="If finance","LOA holder 1 (if finance), ","")IF(INDEX('MOA role matrix'!$B$2:$D$13,7,MATCH($B179,'MOA role matrix'!$B$1:$D$1,0))="Auto","LOA holder 1 (auto), ","")IF(INDEX('MOA role matrix'!$B$2:$D$13,8,MATCH($B179,'MOA role matrix'!$B$1:$D$1,0))="Fill","LOA holder 2, ","")IF(INDEX('MOA role matrix'!$B$2:$D$13,8,MATCH($B179,'MOA role matrix'!$B$1:$D$1,0))="If finance","LOA holder 2 (if finance), ","")IF(INDEX('MOA role matrix'!$B$2:$D$13,8,MATCH($B179,'MOA role matrix'!$B$1:$D$1,0))="Auto","LOA holder 2 (auto), ","")IF(INDEX('MOA role matrix'!$B$2:$D$13,9,MATCH($B179,'MOA role matrix'!$B$1:$D$1,0))="Fill","Senior Manager CoSec, ","")IF(INDEX('MOA role matrix'!$B$2:$D$13,9,MATCH($B179,'MOA role matrix'!$B$1:$D$1,0))="If finance","Senior Manager CoSec (if finance), ","")IF(INDEX('MOA role matrix'!$B$2:$D$13,9,MATCH($B179,'MOA role matrix'!$B$1:$D$1,0))="Auto","Senior Manager CoSec (auto), ","")IF(INDEX('MOA role matrix'!$B$2:$D$13,10,MATCH($B179,'MOA role matrix'!$B$1:$D$1,0))="Fill","Division MOI managers, ","")IF(INDEX('MOA role matrix'!$B$2:$D$13,10,MATCH($B179,'MOA role matrix'!$B$1:$D$1,0))="If finance","Division MOI managers (if finance), ","")IF(INDEX('MOA role matrix'!$B$2:$D$13,10,MATCH($B179,'MOA role matrix'!$B$1:$D$1,0))="Auto","Division MOI managers (auto), ","")IF(INDEX('MOA role matrix'!$B$2:$D$13,11,MATCH($B179,'MOA role matrix'!$B$1:$D$1,0))="Fill","Ms Teh (bank), ","")IF(INDEX('MOA role matrix'!$B$2:$D$13,11,MATCH($B179,'MOA role matrix'!$B$1:$D$1,0))="If finance","Ms Teh (bank) (if finance), ","")IF(INDEX('MOA role matrix'!$B$2:$D$13,11,MATCH($B179,'MOA role matrix'!$B$1:$D$1,0))="Auto","Ms Teh (bank) (auto), ","")IF(INDEX('MOA role matrix'!$B$2:$D$13,12,MATCH($B179,'MOA role matrix'!$B$1:$D$1,0))="Fill","DLCM, ","")IF(INDEX('MOA role matrix'!$B$2:$D$13,12,MATCH($B179,'MOA role matrix'!$B$1:$D$1,0))="If finance","DLCM (if finance), ","")IF(INDEX('MOA role matrix'!$B$2:$D$13,12,MATCH($B179,'MOA role matrix'!$B$1:$D$1,0))="Auto","DLCM (auto), ","")))</f>
        <v/>
      </c>
      <c r="D179" s="5">
        <f>IF($A179="","",IFERROR(INDEX(FILTER('Client contacts'!$B$2:$B$500,('Client contacts'!$A$2:$A$500=$A179)*('Client contacts'!$H$2:$H$500="Y"),""),1),""))</f>
        <v/>
      </c>
      <c r="E179" s="5">
        <f>IF($A179="","",IFERROR(INDEX(FILTER('Client contacts'!$C$2:$C$500,('Client contacts'!$A$2:$A$500=$A179)*('Client contacts'!$H$2:$H$500="Y"),""),1),""))</f>
        <v/>
      </c>
      <c r="F179" s="5">
        <f>IF($A179="","",IFERROR(INDEX(FILTER('Client contacts'!$B$2:$B$500,('Client contacts'!$A$2:$A$500=$A179)*('Client contacts'!$G$2:$G$500="Y"),""),1),""))</f>
        <v/>
      </c>
      <c r="G179" s="5">
        <f>IF($A179="","",IFERROR(INDEX(FILTER('Client contacts'!$C$2:$C$500,('Client contacts'!$A$2:$A$500=$A179)*('Client contacts'!$G$2:$G$500="Y"),""),1),""))</f>
        <v/>
      </c>
      <c r="H179" s="5">
        <f>IF($A179="","",IFERROR(INDEX(FILTER('Client contacts'!$B$2:$B$500,('Client contacts'!$A$2:$A$500=$A179)*('Client contacts'!$G$2:$G$500="Y"),""),2),""))</f>
        <v/>
      </c>
      <c r="I179" s="5">
        <f>IF($A179="","",IFERROR(INDEX(FILTER('Client contacts'!$C$2:$C$500,('Client contacts'!$A$2:$A$500=$A179)*('Client contacts'!$G$2:$G$500="Y"),""),2),""))</f>
        <v/>
      </c>
      <c r="J179" s="8" t="n"/>
      <c r="K179" s="8" t="n"/>
      <c r="L179" s="8" t="n"/>
      <c r="M179" s="8" t="n"/>
      <c r="N179" s="8" t="n"/>
      <c r="O179" s="8" t="n"/>
      <c r="P179" s="8" t="n"/>
      <c r="Q179" s="8" t="n"/>
      <c r="R179" s="5">
        <f>IF($A179="","",IFERROR(INDEX(Companies!$I$2:$I$500,MATCH($A179,Companies!$A$2:$A$500,0)),""))</f>
        <v/>
      </c>
      <c r="S179" s="8" t="n"/>
      <c r="T179" s="8" t="n"/>
      <c r="U179" s="8" t="n"/>
      <c r="V179" s="8" t="n"/>
      <c r="W179" s="8" t="n"/>
    </row>
    <row r="180">
      <c r="C180" s="5">
        <f>IF($B180="","",TRIM(IF(INDEX('MOA role matrix'!$B$2:$D$13,1,MATCH($B180,'MOA role matrix'!$B$1:$D$1,0))="Fill","Project initiator, ","")IF(INDEX('MOA role matrix'!$B$2:$D$13,1,MATCH($B180,'MOA role matrix'!$B$1:$D$1,0))="If finance","Project initiator (if finance), ","")IF(INDEX('MOA role matrix'!$B$2:$D$13,1,MATCH($B180,'MOA role matrix'!$B$1:$D$1,0))="Auto","Project initiator (auto), ","")IF(INDEX('MOA role matrix'!$B$2:$D$13,2,MATCH($B180,'MOA role matrix'!$B$1:$D$1,0))="Fill","MOA signers (client), ","")IF(INDEX('MOA role matrix'!$B$2:$D$13,2,MATCH($B180,'MOA role matrix'!$B$1:$D$1,0))="If finance","MOA signers (client) (if finance), ","")IF(INDEX('MOA role matrix'!$B$2:$D$13,2,MATCH($B180,'MOA role matrix'!$B$1:$D$1,0))="Auto","MOA signers (client) (auto), ","")IF(INDEX('MOA role matrix'!$B$2:$D$13,3,MATCH($B180,'MOA role matrix'!$B$1:$D$1,0))="Fill","CFO / Head of Finance, ","")IF(INDEX('MOA role matrix'!$B$2:$D$13,3,MATCH($B180,'MOA role matrix'!$B$1:$D$1,0))="If finance","CFO / Head of Finance (if finance), ","")IF(INDEX('MOA role matrix'!$B$2:$D$13,3,MATCH($B180,'MOA role matrix'!$B$1:$D$1,0))="Auto","CFO / Head of Finance (auto), ","")IF(INDEX('MOA role matrix'!$B$2:$D$13,4,MATCH($B180,'MOA role matrix'!$B$1:$D$1,0))="Fill","CEO / COO / GM, ","")IF(INDEX('MOA role matrix'!$B$2:$D$13,4,MATCH($B180,'MOA role matrix'!$B$1:$D$1,0))="If finance","CEO / COO / GM (if finance), ","")IF(INDEX('MOA role matrix'!$B$2:$D$13,4,MATCH($B180,'MOA role matrix'!$B$1:$D$1,0))="Auto","CEO / COO / GM (auto), ","")IF(INDEX('MOA role matrix'!$B$2:$D$13,5,MATCH($B180,'MOA role matrix'!$B$1:$D$1,0))="Fill","Board member 1, ","")IF(INDEX('MOA role matrix'!$B$2:$D$13,5,MATCH($B180,'MOA role matrix'!$B$1:$D$1,0))="If finance","Board member 1 (if finance), ","")IF(INDEX('MOA role matrix'!$B$2:$D$13,5,MATCH($B180,'MOA role matrix'!$B$1:$D$1,0))="Auto","Board member 1 (auto), ","")IF(INDEX('MOA role matrix'!$B$2:$D$13,6,MATCH($B180,'MOA role matrix'!$B$1:$D$1,0))="Fill","Board member 2, ","")IF(INDEX('MOA role matrix'!$B$2:$D$13,6,MATCH($B180,'MOA role matrix'!$B$1:$D$1,0))="If finance","Board member 2 (if finance), ","")IF(INDEX('MOA role matrix'!$B$2:$D$13,6,MATCH($B180,'MOA role matrix'!$B$1:$D$1,0))="Auto","Board member 2 (auto), ","")IF(INDEX('MOA role matrix'!$B$2:$D$13,7,MATCH($B180,'MOA role matrix'!$B$1:$D$1,0))="Fill","LOA holder 1, ","")IF(INDEX('MOA role matrix'!$B$2:$D$13,7,MATCH($B180,'MOA role matrix'!$B$1:$D$1,0))="If finance","LOA holder 1 (if finance), ","")IF(INDEX('MOA role matrix'!$B$2:$D$13,7,MATCH($B180,'MOA role matrix'!$B$1:$D$1,0))="Auto","LOA holder 1 (auto), ","")IF(INDEX('MOA role matrix'!$B$2:$D$13,8,MATCH($B180,'MOA role matrix'!$B$1:$D$1,0))="Fill","LOA holder 2, ","")IF(INDEX('MOA role matrix'!$B$2:$D$13,8,MATCH($B180,'MOA role matrix'!$B$1:$D$1,0))="If finance","LOA holder 2 (if finance), ","")IF(INDEX('MOA role matrix'!$B$2:$D$13,8,MATCH($B180,'MOA role matrix'!$B$1:$D$1,0))="Auto","LOA holder 2 (auto), ","")IF(INDEX('MOA role matrix'!$B$2:$D$13,9,MATCH($B180,'MOA role matrix'!$B$1:$D$1,0))="Fill","Senior Manager CoSec, ","")IF(INDEX('MOA role matrix'!$B$2:$D$13,9,MATCH($B180,'MOA role matrix'!$B$1:$D$1,0))="If finance","Senior Manager CoSec (if finance), ","")IF(INDEX('MOA role matrix'!$B$2:$D$13,9,MATCH($B180,'MOA role matrix'!$B$1:$D$1,0))="Auto","Senior Manager CoSec (auto), ","")IF(INDEX('MOA role matrix'!$B$2:$D$13,10,MATCH($B180,'MOA role matrix'!$B$1:$D$1,0))="Fill","Division MOI managers, ","")IF(INDEX('MOA role matrix'!$B$2:$D$13,10,MATCH($B180,'MOA role matrix'!$B$1:$D$1,0))="If finance","Division MOI managers (if finance), ","")IF(INDEX('MOA role matrix'!$B$2:$D$13,10,MATCH($B180,'MOA role matrix'!$B$1:$D$1,0))="Auto","Division MOI managers (auto), ","")IF(INDEX('MOA role matrix'!$B$2:$D$13,11,MATCH($B180,'MOA role matrix'!$B$1:$D$1,0))="Fill","Ms Teh (bank), ","")IF(INDEX('MOA role matrix'!$B$2:$D$13,11,MATCH($B180,'MOA role matrix'!$B$1:$D$1,0))="If finance","Ms Teh (bank) (if finance), ","")IF(INDEX('MOA role matrix'!$B$2:$D$13,11,MATCH($B180,'MOA role matrix'!$B$1:$D$1,0))="Auto","Ms Teh (bank) (auto), ","")IF(INDEX('MOA role matrix'!$B$2:$D$13,12,MATCH($B180,'MOA role matrix'!$B$1:$D$1,0))="Fill","DLCM, ","")IF(INDEX('MOA role matrix'!$B$2:$D$13,12,MATCH($B180,'MOA role matrix'!$B$1:$D$1,0))="If finance","DLCM (if finance), ","")IF(INDEX('MOA role matrix'!$B$2:$D$13,12,MATCH($B180,'MOA role matrix'!$B$1:$D$1,0))="Auto","DLCM (auto), ","")))</f>
        <v/>
      </c>
      <c r="D180" s="5">
        <f>IF($A180="","",IFERROR(INDEX(FILTER('Client contacts'!$B$2:$B$500,('Client contacts'!$A$2:$A$500=$A180)*('Client contacts'!$H$2:$H$500="Y"),""),1),""))</f>
        <v/>
      </c>
      <c r="E180" s="5">
        <f>IF($A180="","",IFERROR(INDEX(FILTER('Client contacts'!$C$2:$C$500,('Client contacts'!$A$2:$A$500=$A180)*('Client contacts'!$H$2:$H$500="Y"),""),1),""))</f>
        <v/>
      </c>
      <c r="F180" s="5">
        <f>IF($A180="","",IFERROR(INDEX(FILTER('Client contacts'!$B$2:$B$500,('Client contacts'!$A$2:$A$500=$A180)*('Client contacts'!$G$2:$G$500="Y"),""),1),""))</f>
        <v/>
      </c>
      <c r="G180" s="5">
        <f>IF($A180="","",IFERROR(INDEX(FILTER('Client contacts'!$C$2:$C$500,('Client contacts'!$A$2:$A$500=$A180)*('Client contacts'!$G$2:$G$500="Y"),""),1),""))</f>
        <v/>
      </c>
      <c r="H180" s="5">
        <f>IF($A180="","",IFERROR(INDEX(FILTER('Client contacts'!$B$2:$B$500,('Client contacts'!$A$2:$A$500=$A180)*('Client contacts'!$G$2:$G$500="Y"),""),2),""))</f>
        <v/>
      </c>
      <c r="I180" s="5">
        <f>IF($A180="","",IFERROR(INDEX(FILTER('Client contacts'!$C$2:$C$500,('Client contacts'!$A$2:$A$500=$A180)*('Client contacts'!$G$2:$G$500="Y"),""),2),""))</f>
        <v/>
      </c>
      <c r="J180" s="8" t="n"/>
      <c r="K180" s="8" t="n"/>
      <c r="L180" s="8" t="n"/>
      <c r="M180" s="8" t="n"/>
      <c r="N180" s="8" t="n"/>
      <c r="O180" s="8" t="n"/>
      <c r="P180" s="8" t="n"/>
      <c r="Q180" s="8" t="n"/>
      <c r="R180" s="5">
        <f>IF($A180="","",IFERROR(INDEX(Companies!$I$2:$I$500,MATCH($A180,Companies!$A$2:$A$500,0)),""))</f>
        <v/>
      </c>
      <c r="S180" s="8" t="n"/>
      <c r="T180" s="8" t="n"/>
      <c r="U180" s="8" t="n"/>
      <c r="V180" s="8" t="n"/>
      <c r="W180" s="8" t="n"/>
    </row>
    <row r="181">
      <c r="C181" s="5">
        <f>IF($B181="","",TRIM(IF(INDEX('MOA role matrix'!$B$2:$D$13,1,MATCH($B181,'MOA role matrix'!$B$1:$D$1,0))="Fill","Project initiator, ","")IF(INDEX('MOA role matrix'!$B$2:$D$13,1,MATCH($B181,'MOA role matrix'!$B$1:$D$1,0))="If finance","Project initiator (if finance), ","")IF(INDEX('MOA role matrix'!$B$2:$D$13,1,MATCH($B181,'MOA role matrix'!$B$1:$D$1,0))="Auto","Project initiator (auto), ","")IF(INDEX('MOA role matrix'!$B$2:$D$13,2,MATCH($B181,'MOA role matrix'!$B$1:$D$1,0))="Fill","MOA signers (client), ","")IF(INDEX('MOA role matrix'!$B$2:$D$13,2,MATCH($B181,'MOA role matrix'!$B$1:$D$1,0))="If finance","MOA signers (client) (if finance), ","")IF(INDEX('MOA role matrix'!$B$2:$D$13,2,MATCH($B181,'MOA role matrix'!$B$1:$D$1,0))="Auto","MOA signers (client) (auto), ","")IF(INDEX('MOA role matrix'!$B$2:$D$13,3,MATCH($B181,'MOA role matrix'!$B$1:$D$1,0))="Fill","CFO / Head of Finance, ","")IF(INDEX('MOA role matrix'!$B$2:$D$13,3,MATCH($B181,'MOA role matrix'!$B$1:$D$1,0))="If finance","CFO / Head of Finance (if finance), ","")IF(INDEX('MOA role matrix'!$B$2:$D$13,3,MATCH($B181,'MOA role matrix'!$B$1:$D$1,0))="Auto","CFO / Head of Finance (auto), ","")IF(INDEX('MOA role matrix'!$B$2:$D$13,4,MATCH($B181,'MOA role matrix'!$B$1:$D$1,0))="Fill","CEO / COO / GM, ","")IF(INDEX('MOA role matrix'!$B$2:$D$13,4,MATCH($B181,'MOA role matrix'!$B$1:$D$1,0))="If finance","CEO / COO / GM (if finance), ","")IF(INDEX('MOA role matrix'!$B$2:$D$13,4,MATCH($B181,'MOA role matrix'!$B$1:$D$1,0))="Auto","CEO / COO / GM (auto), ","")IF(INDEX('MOA role matrix'!$B$2:$D$13,5,MATCH($B181,'MOA role matrix'!$B$1:$D$1,0))="Fill","Board member 1, ","")IF(INDEX('MOA role matrix'!$B$2:$D$13,5,MATCH($B181,'MOA role matrix'!$B$1:$D$1,0))="If finance","Board member 1 (if finance), ","")IF(INDEX('MOA role matrix'!$B$2:$D$13,5,MATCH($B181,'MOA role matrix'!$B$1:$D$1,0))="Auto","Board member 1 (auto), ","")IF(INDEX('MOA role matrix'!$B$2:$D$13,6,MATCH($B181,'MOA role matrix'!$B$1:$D$1,0))="Fill","Board member 2, ","")IF(INDEX('MOA role matrix'!$B$2:$D$13,6,MATCH($B181,'MOA role matrix'!$B$1:$D$1,0))="If finance","Board member 2 (if finance), ","")IF(INDEX('MOA role matrix'!$B$2:$D$13,6,MATCH($B181,'MOA role matrix'!$B$1:$D$1,0))="Auto","Board member 2 (auto), ","")IF(INDEX('MOA role matrix'!$B$2:$D$13,7,MATCH($B181,'MOA role matrix'!$B$1:$D$1,0))="Fill","LOA holder 1, ","")IF(INDEX('MOA role matrix'!$B$2:$D$13,7,MATCH($B181,'MOA role matrix'!$B$1:$D$1,0))="If finance","LOA holder 1 (if finance), ","")IF(INDEX('MOA role matrix'!$B$2:$D$13,7,MATCH($B181,'MOA role matrix'!$B$1:$D$1,0))="Auto","LOA holder 1 (auto), ","")IF(INDEX('MOA role matrix'!$B$2:$D$13,8,MATCH($B181,'MOA role matrix'!$B$1:$D$1,0))="Fill","LOA holder 2, ","")IF(INDEX('MOA role matrix'!$B$2:$D$13,8,MATCH($B181,'MOA role matrix'!$B$1:$D$1,0))="If finance","LOA holder 2 (if finance), ","")IF(INDEX('MOA role matrix'!$B$2:$D$13,8,MATCH($B181,'MOA role matrix'!$B$1:$D$1,0))="Auto","LOA holder 2 (auto), ","")IF(INDEX('MOA role matrix'!$B$2:$D$13,9,MATCH($B181,'MOA role matrix'!$B$1:$D$1,0))="Fill","Senior Manager CoSec, ","")IF(INDEX('MOA role matrix'!$B$2:$D$13,9,MATCH($B181,'MOA role matrix'!$B$1:$D$1,0))="If finance","Senior Manager CoSec (if finance), ","")IF(INDEX('MOA role matrix'!$B$2:$D$13,9,MATCH($B181,'MOA role matrix'!$B$1:$D$1,0))="Auto","Senior Manager CoSec (auto), ","")IF(INDEX('MOA role matrix'!$B$2:$D$13,10,MATCH($B181,'MOA role matrix'!$B$1:$D$1,0))="Fill","Division MOI managers, ","")IF(INDEX('MOA role matrix'!$B$2:$D$13,10,MATCH($B181,'MOA role matrix'!$B$1:$D$1,0))="If finance","Division MOI managers (if finance), ","")IF(INDEX('MOA role matrix'!$B$2:$D$13,10,MATCH($B181,'MOA role matrix'!$B$1:$D$1,0))="Auto","Division MOI managers (auto), ","")IF(INDEX('MOA role matrix'!$B$2:$D$13,11,MATCH($B181,'MOA role matrix'!$B$1:$D$1,0))="Fill","Ms Teh (bank), ","")IF(INDEX('MOA role matrix'!$B$2:$D$13,11,MATCH($B181,'MOA role matrix'!$B$1:$D$1,0))="If finance","Ms Teh (bank) (if finance), ","")IF(INDEX('MOA role matrix'!$B$2:$D$13,11,MATCH($B181,'MOA role matrix'!$B$1:$D$1,0))="Auto","Ms Teh (bank) (auto), ","")IF(INDEX('MOA role matrix'!$B$2:$D$13,12,MATCH($B181,'MOA role matrix'!$B$1:$D$1,0))="Fill","DLCM, ","")IF(INDEX('MOA role matrix'!$B$2:$D$13,12,MATCH($B181,'MOA role matrix'!$B$1:$D$1,0))="If finance","DLCM (if finance), ","")IF(INDEX('MOA role matrix'!$B$2:$D$13,12,MATCH($B181,'MOA role matrix'!$B$1:$D$1,0))="Auto","DLCM (auto), ","")))</f>
        <v/>
      </c>
      <c r="D181" s="5">
        <f>IF($A181="","",IFERROR(INDEX(FILTER('Client contacts'!$B$2:$B$500,('Client contacts'!$A$2:$A$500=$A181)*('Client contacts'!$H$2:$H$500="Y"),""),1),""))</f>
        <v/>
      </c>
      <c r="E181" s="5">
        <f>IF($A181="","",IFERROR(INDEX(FILTER('Client contacts'!$C$2:$C$500,('Client contacts'!$A$2:$A$500=$A181)*('Client contacts'!$H$2:$H$500="Y"),""),1),""))</f>
        <v/>
      </c>
      <c r="F181" s="5">
        <f>IF($A181="","",IFERROR(INDEX(FILTER('Client contacts'!$B$2:$B$500,('Client contacts'!$A$2:$A$500=$A181)*('Client contacts'!$G$2:$G$500="Y"),""),1),""))</f>
        <v/>
      </c>
      <c r="G181" s="5">
        <f>IF($A181="","",IFERROR(INDEX(FILTER('Client contacts'!$C$2:$C$500,('Client contacts'!$A$2:$A$500=$A181)*('Client contacts'!$G$2:$G$500="Y"),""),1),""))</f>
        <v/>
      </c>
      <c r="H181" s="5">
        <f>IF($A181="","",IFERROR(INDEX(FILTER('Client contacts'!$B$2:$B$500,('Client contacts'!$A$2:$A$500=$A181)*('Client contacts'!$G$2:$G$500="Y"),""),2),""))</f>
        <v/>
      </c>
      <c r="I181" s="5">
        <f>IF($A181="","",IFERROR(INDEX(FILTER('Client contacts'!$C$2:$C$500,('Client contacts'!$A$2:$A$500=$A181)*('Client contacts'!$G$2:$G$500="Y"),""),2),""))</f>
        <v/>
      </c>
      <c r="J181" s="8" t="n"/>
      <c r="K181" s="8" t="n"/>
      <c r="L181" s="8" t="n"/>
      <c r="M181" s="8" t="n"/>
      <c r="N181" s="8" t="n"/>
      <c r="O181" s="8" t="n"/>
      <c r="P181" s="8" t="n"/>
      <c r="Q181" s="8" t="n"/>
      <c r="R181" s="5">
        <f>IF($A181="","",IFERROR(INDEX(Companies!$I$2:$I$500,MATCH($A181,Companies!$A$2:$A$500,0)),""))</f>
        <v/>
      </c>
      <c r="S181" s="8" t="n"/>
      <c r="T181" s="8" t="n"/>
      <c r="U181" s="8" t="n"/>
      <c r="V181" s="8" t="n"/>
      <c r="W181" s="8" t="n"/>
    </row>
    <row r="182">
      <c r="C182" s="5">
        <f>IF($B182="","",TRIM(IF(INDEX('MOA role matrix'!$B$2:$D$13,1,MATCH($B182,'MOA role matrix'!$B$1:$D$1,0))="Fill","Project initiator, ","")IF(INDEX('MOA role matrix'!$B$2:$D$13,1,MATCH($B182,'MOA role matrix'!$B$1:$D$1,0))="If finance","Project initiator (if finance), ","")IF(INDEX('MOA role matrix'!$B$2:$D$13,1,MATCH($B182,'MOA role matrix'!$B$1:$D$1,0))="Auto","Project initiator (auto), ","")IF(INDEX('MOA role matrix'!$B$2:$D$13,2,MATCH($B182,'MOA role matrix'!$B$1:$D$1,0))="Fill","MOA signers (client), ","")IF(INDEX('MOA role matrix'!$B$2:$D$13,2,MATCH($B182,'MOA role matrix'!$B$1:$D$1,0))="If finance","MOA signers (client) (if finance), ","")IF(INDEX('MOA role matrix'!$B$2:$D$13,2,MATCH($B182,'MOA role matrix'!$B$1:$D$1,0))="Auto","MOA signers (client) (auto), ","")IF(INDEX('MOA role matrix'!$B$2:$D$13,3,MATCH($B182,'MOA role matrix'!$B$1:$D$1,0))="Fill","CFO / Head of Finance, ","")IF(INDEX('MOA role matrix'!$B$2:$D$13,3,MATCH($B182,'MOA role matrix'!$B$1:$D$1,0))="If finance","CFO / Head of Finance (if finance), ","")IF(INDEX('MOA role matrix'!$B$2:$D$13,3,MATCH($B182,'MOA role matrix'!$B$1:$D$1,0))="Auto","CFO / Head of Finance (auto), ","")IF(INDEX('MOA role matrix'!$B$2:$D$13,4,MATCH($B182,'MOA role matrix'!$B$1:$D$1,0))="Fill","CEO / COO / GM, ","")IF(INDEX('MOA role matrix'!$B$2:$D$13,4,MATCH($B182,'MOA role matrix'!$B$1:$D$1,0))="If finance","CEO / COO / GM (if finance), ","")IF(INDEX('MOA role matrix'!$B$2:$D$13,4,MATCH($B182,'MOA role matrix'!$B$1:$D$1,0))="Auto","CEO / COO / GM (auto), ","")IF(INDEX('MOA role matrix'!$B$2:$D$13,5,MATCH($B182,'MOA role matrix'!$B$1:$D$1,0))="Fill","Board member 1, ","")IF(INDEX('MOA role matrix'!$B$2:$D$13,5,MATCH($B182,'MOA role matrix'!$B$1:$D$1,0))="If finance","Board member 1 (if finance), ","")IF(INDEX('MOA role matrix'!$B$2:$D$13,5,MATCH($B182,'MOA role matrix'!$B$1:$D$1,0))="Auto","Board member 1 (auto), ","")IF(INDEX('MOA role matrix'!$B$2:$D$13,6,MATCH($B182,'MOA role matrix'!$B$1:$D$1,0))="Fill","Board member 2, ","")IF(INDEX('MOA role matrix'!$B$2:$D$13,6,MATCH($B182,'MOA role matrix'!$B$1:$D$1,0))="If finance","Board member 2 (if finance), ","")IF(INDEX('MOA role matrix'!$B$2:$D$13,6,MATCH($B182,'MOA role matrix'!$B$1:$D$1,0))="Auto","Board member 2 (auto), ","")IF(INDEX('MOA role matrix'!$B$2:$D$13,7,MATCH($B182,'MOA role matrix'!$B$1:$D$1,0))="Fill","LOA holder 1, ","")IF(INDEX('MOA role matrix'!$B$2:$D$13,7,MATCH($B182,'MOA role matrix'!$B$1:$D$1,0))="If finance","LOA holder 1 (if finance), ","")IF(INDEX('MOA role matrix'!$B$2:$D$13,7,MATCH($B182,'MOA role matrix'!$B$1:$D$1,0))="Auto","LOA holder 1 (auto), ","")IF(INDEX('MOA role matrix'!$B$2:$D$13,8,MATCH($B182,'MOA role matrix'!$B$1:$D$1,0))="Fill","LOA holder 2, ","")IF(INDEX('MOA role matrix'!$B$2:$D$13,8,MATCH($B182,'MOA role matrix'!$B$1:$D$1,0))="If finance","LOA holder 2 (if finance), ","")IF(INDEX('MOA role matrix'!$B$2:$D$13,8,MATCH($B182,'MOA role matrix'!$B$1:$D$1,0))="Auto","LOA holder 2 (auto), ","")IF(INDEX('MOA role matrix'!$B$2:$D$13,9,MATCH($B182,'MOA role matrix'!$B$1:$D$1,0))="Fill","Senior Manager CoSec, ","")IF(INDEX('MOA role matrix'!$B$2:$D$13,9,MATCH($B182,'MOA role matrix'!$B$1:$D$1,0))="If finance","Senior Manager CoSec (if finance), ","")IF(INDEX('MOA role matrix'!$B$2:$D$13,9,MATCH($B182,'MOA role matrix'!$B$1:$D$1,0))="Auto","Senior Manager CoSec (auto), ","")IF(INDEX('MOA role matrix'!$B$2:$D$13,10,MATCH($B182,'MOA role matrix'!$B$1:$D$1,0))="Fill","Division MOI managers, ","")IF(INDEX('MOA role matrix'!$B$2:$D$13,10,MATCH($B182,'MOA role matrix'!$B$1:$D$1,0))="If finance","Division MOI managers (if finance), ","")IF(INDEX('MOA role matrix'!$B$2:$D$13,10,MATCH($B182,'MOA role matrix'!$B$1:$D$1,0))="Auto","Division MOI managers (auto), ","")IF(INDEX('MOA role matrix'!$B$2:$D$13,11,MATCH($B182,'MOA role matrix'!$B$1:$D$1,0))="Fill","Ms Teh (bank), ","")IF(INDEX('MOA role matrix'!$B$2:$D$13,11,MATCH($B182,'MOA role matrix'!$B$1:$D$1,0))="If finance","Ms Teh (bank) (if finance), ","")IF(INDEX('MOA role matrix'!$B$2:$D$13,11,MATCH($B182,'MOA role matrix'!$B$1:$D$1,0))="Auto","Ms Teh (bank) (auto), ","")IF(INDEX('MOA role matrix'!$B$2:$D$13,12,MATCH($B182,'MOA role matrix'!$B$1:$D$1,0))="Fill","DLCM, ","")IF(INDEX('MOA role matrix'!$B$2:$D$13,12,MATCH($B182,'MOA role matrix'!$B$1:$D$1,0))="If finance","DLCM (if finance), ","")IF(INDEX('MOA role matrix'!$B$2:$D$13,12,MATCH($B182,'MOA role matrix'!$B$1:$D$1,0))="Auto","DLCM (auto), ","")))</f>
        <v/>
      </c>
      <c r="D182" s="5">
        <f>IF($A182="","",IFERROR(INDEX(FILTER('Client contacts'!$B$2:$B$500,('Client contacts'!$A$2:$A$500=$A182)*('Client contacts'!$H$2:$H$500="Y"),""),1),""))</f>
        <v/>
      </c>
      <c r="E182" s="5">
        <f>IF($A182="","",IFERROR(INDEX(FILTER('Client contacts'!$C$2:$C$500,('Client contacts'!$A$2:$A$500=$A182)*('Client contacts'!$H$2:$H$500="Y"),""),1),""))</f>
        <v/>
      </c>
      <c r="F182" s="5">
        <f>IF($A182="","",IFERROR(INDEX(FILTER('Client contacts'!$B$2:$B$500,('Client contacts'!$A$2:$A$500=$A182)*('Client contacts'!$G$2:$G$500="Y"),""),1),""))</f>
        <v/>
      </c>
      <c r="G182" s="5">
        <f>IF($A182="","",IFERROR(INDEX(FILTER('Client contacts'!$C$2:$C$500,('Client contacts'!$A$2:$A$500=$A182)*('Client contacts'!$G$2:$G$500="Y"),""),1),""))</f>
        <v/>
      </c>
      <c r="H182" s="5">
        <f>IF($A182="","",IFERROR(INDEX(FILTER('Client contacts'!$B$2:$B$500,('Client contacts'!$A$2:$A$500=$A182)*('Client contacts'!$G$2:$G$500="Y"),""),2),""))</f>
        <v/>
      </c>
      <c r="I182" s="5">
        <f>IF($A182="","",IFERROR(INDEX(FILTER('Client contacts'!$C$2:$C$500,('Client contacts'!$A$2:$A$500=$A182)*('Client contacts'!$G$2:$G$500="Y"),""),2),""))</f>
        <v/>
      </c>
      <c r="J182" s="8" t="n"/>
      <c r="K182" s="8" t="n"/>
      <c r="L182" s="8" t="n"/>
      <c r="M182" s="8" t="n"/>
      <c r="N182" s="8" t="n"/>
      <c r="O182" s="8" t="n"/>
      <c r="P182" s="8" t="n"/>
      <c r="Q182" s="8" t="n"/>
      <c r="R182" s="5">
        <f>IF($A182="","",IFERROR(INDEX(Companies!$I$2:$I$500,MATCH($A182,Companies!$A$2:$A$500,0)),""))</f>
        <v/>
      </c>
      <c r="S182" s="8" t="n"/>
      <c r="T182" s="8" t="n"/>
      <c r="U182" s="8" t="n"/>
      <c r="V182" s="8" t="n"/>
      <c r="W182" s="8" t="n"/>
    </row>
    <row r="183">
      <c r="C183" s="5">
        <f>IF($B183="","",TRIM(IF(INDEX('MOA role matrix'!$B$2:$D$13,1,MATCH($B183,'MOA role matrix'!$B$1:$D$1,0))="Fill","Project initiator, ","")IF(INDEX('MOA role matrix'!$B$2:$D$13,1,MATCH($B183,'MOA role matrix'!$B$1:$D$1,0))="If finance","Project initiator (if finance), ","")IF(INDEX('MOA role matrix'!$B$2:$D$13,1,MATCH($B183,'MOA role matrix'!$B$1:$D$1,0))="Auto","Project initiator (auto), ","")IF(INDEX('MOA role matrix'!$B$2:$D$13,2,MATCH($B183,'MOA role matrix'!$B$1:$D$1,0))="Fill","MOA signers (client), ","")IF(INDEX('MOA role matrix'!$B$2:$D$13,2,MATCH($B183,'MOA role matrix'!$B$1:$D$1,0))="If finance","MOA signers (client) (if finance), ","")IF(INDEX('MOA role matrix'!$B$2:$D$13,2,MATCH($B183,'MOA role matrix'!$B$1:$D$1,0))="Auto","MOA signers (client) (auto), ","")IF(INDEX('MOA role matrix'!$B$2:$D$13,3,MATCH($B183,'MOA role matrix'!$B$1:$D$1,0))="Fill","CFO / Head of Finance, ","")IF(INDEX('MOA role matrix'!$B$2:$D$13,3,MATCH($B183,'MOA role matrix'!$B$1:$D$1,0))="If finance","CFO / Head of Finance (if finance), ","")IF(INDEX('MOA role matrix'!$B$2:$D$13,3,MATCH($B183,'MOA role matrix'!$B$1:$D$1,0))="Auto","CFO / Head of Finance (auto), ","")IF(INDEX('MOA role matrix'!$B$2:$D$13,4,MATCH($B183,'MOA role matrix'!$B$1:$D$1,0))="Fill","CEO / COO / GM, ","")IF(INDEX('MOA role matrix'!$B$2:$D$13,4,MATCH($B183,'MOA role matrix'!$B$1:$D$1,0))="If finance","CEO / COO / GM (if finance), ","")IF(INDEX('MOA role matrix'!$B$2:$D$13,4,MATCH($B183,'MOA role matrix'!$B$1:$D$1,0))="Auto","CEO / COO / GM (auto), ","")IF(INDEX('MOA role matrix'!$B$2:$D$13,5,MATCH($B183,'MOA role matrix'!$B$1:$D$1,0))="Fill","Board member 1, ","")IF(INDEX('MOA role matrix'!$B$2:$D$13,5,MATCH($B183,'MOA role matrix'!$B$1:$D$1,0))="If finance","Board member 1 (if finance), ","")IF(INDEX('MOA role matrix'!$B$2:$D$13,5,MATCH($B183,'MOA role matrix'!$B$1:$D$1,0))="Auto","Board member 1 (auto), ","")IF(INDEX('MOA role matrix'!$B$2:$D$13,6,MATCH($B183,'MOA role matrix'!$B$1:$D$1,0))="Fill","Board member 2, ","")IF(INDEX('MOA role matrix'!$B$2:$D$13,6,MATCH($B183,'MOA role matrix'!$B$1:$D$1,0))="If finance","Board member 2 (if finance), ","")IF(INDEX('MOA role matrix'!$B$2:$D$13,6,MATCH($B183,'MOA role matrix'!$B$1:$D$1,0))="Auto","Board member 2 (auto), ","")IF(INDEX('MOA role matrix'!$B$2:$D$13,7,MATCH($B183,'MOA role matrix'!$B$1:$D$1,0))="Fill","LOA holder 1, ","")IF(INDEX('MOA role matrix'!$B$2:$D$13,7,MATCH($B183,'MOA role matrix'!$B$1:$D$1,0))="If finance","LOA holder 1 (if finance), ","")IF(INDEX('MOA role matrix'!$B$2:$D$13,7,MATCH($B183,'MOA role matrix'!$B$1:$D$1,0))="Auto","LOA holder 1 (auto), ","")IF(INDEX('MOA role matrix'!$B$2:$D$13,8,MATCH($B183,'MOA role matrix'!$B$1:$D$1,0))="Fill","LOA holder 2, ","")IF(INDEX('MOA role matrix'!$B$2:$D$13,8,MATCH($B183,'MOA role matrix'!$B$1:$D$1,0))="If finance","LOA holder 2 (if finance), ","")IF(INDEX('MOA role matrix'!$B$2:$D$13,8,MATCH($B183,'MOA role matrix'!$B$1:$D$1,0))="Auto","LOA holder 2 (auto), ","")IF(INDEX('MOA role matrix'!$B$2:$D$13,9,MATCH($B183,'MOA role matrix'!$B$1:$D$1,0))="Fill","Senior Manager CoSec, ","")IF(INDEX('MOA role matrix'!$B$2:$D$13,9,MATCH($B183,'MOA role matrix'!$B$1:$D$1,0))="If finance","Senior Manager CoSec (if finance), ","")IF(INDEX('MOA role matrix'!$B$2:$D$13,9,MATCH($B183,'MOA role matrix'!$B$1:$D$1,0))="Auto","Senior Manager CoSec (auto), ","")IF(INDEX('MOA role matrix'!$B$2:$D$13,10,MATCH($B183,'MOA role matrix'!$B$1:$D$1,0))="Fill","Division MOI managers, ","")IF(INDEX('MOA role matrix'!$B$2:$D$13,10,MATCH($B183,'MOA role matrix'!$B$1:$D$1,0))="If finance","Division MOI managers (if finance), ","")IF(INDEX('MOA role matrix'!$B$2:$D$13,10,MATCH($B183,'MOA role matrix'!$B$1:$D$1,0))="Auto","Division MOI managers (auto), ","")IF(INDEX('MOA role matrix'!$B$2:$D$13,11,MATCH($B183,'MOA role matrix'!$B$1:$D$1,0))="Fill","Ms Teh (bank), ","")IF(INDEX('MOA role matrix'!$B$2:$D$13,11,MATCH($B183,'MOA role matrix'!$B$1:$D$1,0))="If finance","Ms Teh (bank) (if finance), ","")IF(INDEX('MOA role matrix'!$B$2:$D$13,11,MATCH($B183,'MOA role matrix'!$B$1:$D$1,0))="Auto","Ms Teh (bank) (auto), ","")IF(INDEX('MOA role matrix'!$B$2:$D$13,12,MATCH($B183,'MOA role matrix'!$B$1:$D$1,0))="Fill","DLCM, ","")IF(INDEX('MOA role matrix'!$B$2:$D$13,12,MATCH($B183,'MOA role matrix'!$B$1:$D$1,0))="If finance","DLCM (if finance), ","")IF(INDEX('MOA role matrix'!$B$2:$D$13,12,MATCH($B183,'MOA role matrix'!$B$1:$D$1,0))="Auto","DLCM (auto), ","")))</f>
        <v/>
      </c>
      <c r="D183" s="5">
        <f>IF($A183="","",IFERROR(INDEX(FILTER('Client contacts'!$B$2:$B$500,('Client contacts'!$A$2:$A$500=$A183)*('Client contacts'!$H$2:$H$500="Y"),""),1),""))</f>
        <v/>
      </c>
      <c r="E183" s="5">
        <f>IF($A183="","",IFERROR(INDEX(FILTER('Client contacts'!$C$2:$C$500,('Client contacts'!$A$2:$A$500=$A183)*('Client contacts'!$H$2:$H$500="Y"),""),1),""))</f>
        <v/>
      </c>
      <c r="F183" s="5">
        <f>IF($A183="","",IFERROR(INDEX(FILTER('Client contacts'!$B$2:$B$500,('Client contacts'!$A$2:$A$500=$A183)*('Client contacts'!$G$2:$G$500="Y"),""),1),""))</f>
        <v/>
      </c>
      <c r="G183" s="5">
        <f>IF($A183="","",IFERROR(INDEX(FILTER('Client contacts'!$C$2:$C$500,('Client contacts'!$A$2:$A$500=$A183)*('Client contacts'!$G$2:$G$500="Y"),""),1),""))</f>
        <v/>
      </c>
      <c r="H183" s="5">
        <f>IF($A183="","",IFERROR(INDEX(FILTER('Client contacts'!$B$2:$B$500,('Client contacts'!$A$2:$A$500=$A183)*('Client contacts'!$G$2:$G$500="Y"),""),2),""))</f>
        <v/>
      </c>
      <c r="I183" s="5">
        <f>IF($A183="","",IFERROR(INDEX(FILTER('Client contacts'!$C$2:$C$500,('Client contacts'!$A$2:$A$500=$A183)*('Client contacts'!$G$2:$G$500="Y"),""),2),""))</f>
        <v/>
      </c>
      <c r="J183" s="8" t="n"/>
      <c r="K183" s="8" t="n"/>
      <c r="L183" s="8" t="n"/>
      <c r="M183" s="8" t="n"/>
      <c r="N183" s="8" t="n"/>
      <c r="O183" s="8" t="n"/>
      <c r="P183" s="8" t="n"/>
      <c r="Q183" s="8" t="n"/>
      <c r="R183" s="5">
        <f>IF($A183="","",IFERROR(INDEX(Companies!$I$2:$I$500,MATCH($A183,Companies!$A$2:$A$500,0)),""))</f>
        <v/>
      </c>
      <c r="S183" s="8" t="n"/>
      <c r="T183" s="8" t="n"/>
      <c r="U183" s="8" t="n"/>
      <c r="V183" s="8" t="n"/>
      <c r="W183" s="8" t="n"/>
    </row>
    <row r="184">
      <c r="C184" s="5">
        <f>IF($B184="","",TRIM(IF(INDEX('MOA role matrix'!$B$2:$D$13,1,MATCH($B184,'MOA role matrix'!$B$1:$D$1,0))="Fill","Project initiator, ","")IF(INDEX('MOA role matrix'!$B$2:$D$13,1,MATCH($B184,'MOA role matrix'!$B$1:$D$1,0))="If finance","Project initiator (if finance), ","")IF(INDEX('MOA role matrix'!$B$2:$D$13,1,MATCH($B184,'MOA role matrix'!$B$1:$D$1,0))="Auto","Project initiator (auto), ","")IF(INDEX('MOA role matrix'!$B$2:$D$13,2,MATCH($B184,'MOA role matrix'!$B$1:$D$1,0))="Fill","MOA signers (client), ","")IF(INDEX('MOA role matrix'!$B$2:$D$13,2,MATCH($B184,'MOA role matrix'!$B$1:$D$1,0))="If finance","MOA signers (client) (if finance), ","")IF(INDEX('MOA role matrix'!$B$2:$D$13,2,MATCH($B184,'MOA role matrix'!$B$1:$D$1,0))="Auto","MOA signers (client) (auto), ","")IF(INDEX('MOA role matrix'!$B$2:$D$13,3,MATCH($B184,'MOA role matrix'!$B$1:$D$1,0))="Fill","CFO / Head of Finance, ","")IF(INDEX('MOA role matrix'!$B$2:$D$13,3,MATCH($B184,'MOA role matrix'!$B$1:$D$1,0))="If finance","CFO / Head of Finance (if finance), ","")IF(INDEX('MOA role matrix'!$B$2:$D$13,3,MATCH($B184,'MOA role matrix'!$B$1:$D$1,0))="Auto","CFO / Head of Finance (auto), ","")IF(INDEX('MOA role matrix'!$B$2:$D$13,4,MATCH($B184,'MOA role matrix'!$B$1:$D$1,0))="Fill","CEO / COO / GM, ","")IF(INDEX('MOA role matrix'!$B$2:$D$13,4,MATCH($B184,'MOA role matrix'!$B$1:$D$1,0))="If finance","CEO / COO / GM (if finance), ","")IF(INDEX('MOA role matrix'!$B$2:$D$13,4,MATCH($B184,'MOA role matrix'!$B$1:$D$1,0))="Auto","CEO / COO / GM (auto), ","")IF(INDEX('MOA role matrix'!$B$2:$D$13,5,MATCH($B184,'MOA role matrix'!$B$1:$D$1,0))="Fill","Board member 1, ","")IF(INDEX('MOA role matrix'!$B$2:$D$13,5,MATCH($B184,'MOA role matrix'!$B$1:$D$1,0))="If finance","Board member 1 (if finance), ","")IF(INDEX('MOA role matrix'!$B$2:$D$13,5,MATCH($B184,'MOA role matrix'!$B$1:$D$1,0))="Auto","Board member 1 (auto), ","")IF(INDEX('MOA role matrix'!$B$2:$D$13,6,MATCH($B184,'MOA role matrix'!$B$1:$D$1,0))="Fill","Board member 2, ","")IF(INDEX('MOA role matrix'!$B$2:$D$13,6,MATCH($B184,'MOA role matrix'!$B$1:$D$1,0))="If finance","Board member 2 (if finance), ","")IF(INDEX('MOA role matrix'!$B$2:$D$13,6,MATCH($B184,'MOA role matrix'!$B$1:$D$1,0))="Auto","Board member 2 (auto), ","")IF(INDEX('MOA role matrix'!$B$2:$D$13,7,MATCH($B184,'MOA role matrix'!$B$1:$D$1,0))="Fill","LOA holder 1, ","")IF(INDEX('MOA role matrix'!$B$2:$D$13,7,MATCH($B184,'MOA role matrix'!$B$1:$D$1,0))="If finance","LOA holder 1 (if finance), ","")IF(INDEX('MOA role matrix'!$B$2:$D$13,7,MATCH($B184,'MOA role matrix'!$B$1:$D$1,0))="Auto","LOA holder 1 (auto), ","")IF(INDEX('MOA role matrix'!$B$2:$D$13,8,MATCH($B184,'MOA role matrix'!$B$1:$D$1,0))="Fill","LOA holder 2, ","")IF(INDEX('MOA role matrix'!$B$2:$D$13,8,MATCH($B184,'MOA role matrix'!$B$1:$D$1,0))="If finance","LOA holder 2 (if finance), ","")IF(INDEX('MOA role matrix'!$B$2:$D$13,8,MATCH($B184,'MOA role matrix'!$B$1:$D$1,0))="Auto","LOA holder 2 (auto), ","")IF(INDEX('MOA role matrix'!$B$2:$D$13,9,MATCH($B184,'MOA role matrix'!$B$1:$D$1,0))="Fill","Senior Manager CoSec, ","")IF(INDEX('MOA role matrix'!$B$2:$D$13,9,MATCH($B184,'MOA role matrix'!$B$1:$D$1,0))="If finance","Senior Manager CoSec (if finance), ","")IF(INDEX('MOA role matrix'!$B$2:$D$13,9,MATCH($B184,'MOA role matrix'!$B$1:$D$1,0))="Auto","Senior Manager CoSec (auto), ","")IF(INDEX('MOA role matrix'!$B$2:$D$13,10,MATCH($B184,'MOA role matrix'!$B$1:$D$1,0))="Fill","Division MOI managers, ","")IF(INDEX('MOA role matrix'!$B$2:$D$13,10,MATCH($B184,'MOA role matrix'!$B$1:$D$1,0))="If finance","Division MOI managers (if finance), ","")IF(INDEX('MOA role matrix'!$B$2:$D$13,10,MATCH($B184,'MOA role matrix'!$B$1:$D$1,0))="Auto","Division MOI managers (auto), ","")IF(INDEX('MOA role matrix'!$B$2:$D$13,11,MATCH($B184,'MOA role matrix'!$B$1:$D$1,0))="Fill","Ms Teh (bank), ","")IF(INDEX('MOA role matrix'!$B$2:$D$13,11,MATCH($B184,'MOA role matrix'!$B$1:$D$1,0))="If finance","Ms Teh (bank) (if finance), ","")IF(INDEX('MOA role matrix'!$B$2:$D$13,11,MATCH($B184,'MOA role matrix'!$B$1:$D$1,0))="Auto","Ms Teh (bank) (auto), ","")IF(INDEX('MOA role matrix'!$B$2:$D$13,12,MATCH($B184,'MOA role matrix'!$B$1:$D$1,0))="Fill","DLCM, ","")IF(INDEX('MOA role matrix'!$B$2:$D$13,12,MATCH($B184,'MOA role matrix'!$B$1:$D$1,0))="If finance","DLCM (if finance), ","")IF(INDEX('MOA role matrix'!$B$2:$D$13,12,MATCH($B184,'MOA role matrix'!$B$1:$D$1,0))="Auto","DLCM (auto), ","")))</f>
        <v/>
      </c>
      <c r="D184" s="5">
        <f>IF($A184="","",IFERROR(INDEX(FILTER('Client contacts'!$B$2:$B$500,('Client contacts'!$A$2:$A$500=$A184)*('Client contacts'!$H$2:$H$500="Y"),""),1),""))</f>
        <v/>
      </c>
      <c r="E184" s="5">
        <f>IF($A184="","",IFERROR(INDEX(FILTER('Client contacts'!$C$2:$C$500,('Client contacts'!$A$2:$A$500=$A184)*('Client contacts'!$H$2:$H$500="Y"),""),1),""))</f>
        <v/>
      </c>
      <c r="F184" s="5">
        <f>IF($A184="","",IFERROR(INDEX(FILTER('Client contacts'!$B$2:$B$500,('Client contacts'!$A$2:$A$500=$A184)*('Client contacts'!$G$2:$G$500="Y"),""),1),""))</f>
        <v/>
      </c>
      <c r="G184" s="5">
        <f>IF($A184="","",IFERROR(INDEX(FILTER('Client contacts'!$C$2:$C$500,('Client contacts'!$A$2:$A$500=$A184)*('Client contacts'!$G$2:$G$500="Y"),""),1),""))</f>
        <v/>
      </c>
      <c r="H184" s="5">
        <f>IF($A184="","",IFERROR(INDEX(FILTER('Client contacts'!$B$2:$B$500,('Client contacts'!$A$2:$A$500=$A184)*('Client contacts'!$G$2:$G$500="Y"),""),2),""))</f>
        <v/>
      </c>
      <c r="I184" s="5">
        <f>IF($A184="","",IFERROR(INDEX(FILTER('Client contacts'!$C$2:$C$500,('Client contacts'!$A$2:$A$500=$A184)*('Client contacts'!$G$2:$G$500="Y"),""),2),""))</f>
        <v/>
      </c>
      <c r="J184" s="8" t="n"/>
      <c r="K184" s="8" t="n"/>
      <c r="L184" s="8" t="n"/>
      <c r="M184" s="8" t="n"/>
      <c r="N184" s="8" t="n"/>
      <c r="O184" s="8" t="n"/>
      <c r="P184" s="8" t="n"/>
      <c r="Q184" s="8" t="n"/>
      <c r="R184" s="5">
        <f>IF($A184="","",IFERROR(INDEX(Companies!$I$2:$I$500,MATCH($A184,Companies!$A$2:$A$500,0)),""))</f>
        <v/>
      </c>
      <c r="S184" s="8" t="n"/>
      <c r="T184" s="8" t="n"/>
      <c r="U184" s="8" t="n"/>
      <c r="V184" s="8" t="n"/>
      <c r="W184" s="8" t="n"/>
    </row>
    <row r="185">
      <c r="C185" s="5">
        <f>IF($B185="","",TRIM(IF(INDEX('MOA role matrix'!$B$2:$D$13,1,MATCH($B185,'MOA role matrix'!$B$1:$D$1,0))="Fill","Project initiator, ","")IF(INDEX('MOA role matrix'!$B$2:$D$13,1,MATCH($B185,'MOA role matrix'!$B$1:$D$1,0))="If finance","Project initiator (if finance), ","")IF(INDEX('MOA role matrix'!$B$2:$D$13,1,MATCH($B185,'MOA role matrix'!$B$1:$D$1,0))="Auto","Project initiator (auto), ","")IF(INDEX('MOA role matrix'!$B$2:$D$13,2,MATCH($B185,'MOA role matrix'!$B$1:$D$1,0))="Fill","MOA signers (client), ","")IF(INDEX('MOA role matrix'!$B$2:$D$13,2,MATCH($B185,'MOA role matrix'!$B$1:$D$1,0))="If finance","MOA signers (client) (if finance), ","")IF(INDEX('MOA role matrix'!$B$2:$D$13,2,MATCH($B185,'MOA role matrix'!$B$1:$D$1,0))="Auto","MOA signers (client) (auto), ","")IF(INDEX('MOA role matrix'!$B$2:$D$13,3,MATCH($B185,'MOA role matrix'!$B$1:$D$1,0))="Fill","CFO / Head of Finance, ","")IF(INDEX('MOA role matrix'!$B$2:$D$13,3,MATCH($B185,'MOA role matrix'!$B$1:$D$1,0))="If finance","CFO / Head of Finance (if finance), ","")IF(INDEX('MOA role matrix'!$B$2:$D$13,3,MATCH($B185,'MOA role matrix'!$B$1:$D$1,0))="Auto","CFO / Head of Finance (auto), ","")IF(INDEX('MOA role matrix'!$B$2:$D$13,4,MATCH($B185,'MOA role matrix'!$B$1:$D$1,0))="Fill","CEO / COO / GM, ","")IF(INDEX('MOA role matrix'!$B$2:$D$13,4,MATCH($B185,'MOA role matrix'!$B$1:$D$1,0))="If finance","CEO / COO / GM (if finance), ","")IF(INDEX('MOA role matrix'!$B$2:$D$13,4,MATCH($B185,'MOA role matrix'!$B$1:$D$1,0))="Auto","CEO / COO / GM (auto), ","")IF(INDEX('MOA role matrix'!$B$2:$D$13,5,MATCH($B185,'MOA role matrix'!$B$1:$D$1,0))="Fill","Board member 1, ","")IF(INDEX('MOA role matrix'!$B$2:$D$13,5,MATCH($B185,'MOA role matrix'!$B$1:$D$1,0))="If finance","Board member 1 (if finance), ","")IF(INDEX('MOA role matrix'!$B$2:$D$13,5,MATCH($B185,'MOA role matrix'!$B$1:$D$1,0))="Auto","Board member 1 (auto), ","")IF(INDEX('MOA role matrix'!$B$2:$D$13,6,MATCH($B185,'MOA role matrix'!$B$1:$D$1,0))="Fill","Board member 2, ","")IF(INDEX('MOA role matrix'!$B$2:$D$13,6,MATCH($B185,'MOA role matrix'!$B$1:$D$1,0))="If finance","Board member 2 (if finance), ","")IF(INDEX('MOA role matrix'!$B$2:$D$13,6,MATCH($B185,'MOA role matrix'!$B$1:$D$1,0))="Auto","Board member 2 (auto), ","")IF(INDEX('MOA role matrix'!$B$2:$D$13,7,MATCH($B185,'MOA role matrix'!$B$1:$D$1,0))="Fill","LOA holder 1, ","")IF(INDEX('MOA role matrix'!$B$2:$D$13,7,MATCH($B185,'MOA role matrix'!$B$1:$D$1,0))="If finance","LOA holder 1 (if finance), ","")IF(INDEX('MOA role matrix'!$B$2:$D$13,7,MATCH($B185,'MOA role matrix'!$B$1:$D$1,0))="Auto","LOA holder 1 (auto), ","")IF(INDEX('MOA role matrix'!$B$2:$D$13,8,MATCH($B185,'MOA role matrix'!$B$1:$D$1,0))="Fill","LOA holder 2, ","")IF(INDEX('MOA role matrix'!$B$2:$D$13,8,MATCH($B185,'MOA role matrix'!$B$1:$D$1,0))="If finance","LOA holder 2 (if finance), ","")IF(INDEX('MOA role matrix'!$B$2:$D$13,8,MATCH($B185,'MOA role matrix'!$B$1:$D$1,0))="Auto","LOA holder 2 (auto), ","")IF(INDEX('MOA role matrix'!$B$2:$D$13,9,MATCH($B185,'MOA role matrix'!$B$1:$D$1,0))="Fill","Senior Manager CoSec, ","")IF(INDEX('MOA role matrix'!$B$2:$D$13,9,MATCH($B185,'MOA role matrix'!$B$1:$D$1,0))="If finance","Senior Manager CoSec (if finance), ","")IF(INDEX('MOA role matrix'!$B$2:$D$13,9,MATCH($B185,'MOA role matrix'!$B$1:$D$1,0))="Auto","Senior Manager CoSec (auto), ","")IF(INDEX('MOA role matrix'!$B$2:$D$13,10,MATCH($B185,'MOA role matrix'!$B$1:$D$1,0))="Fill","Division MOI managers, ","")IF(INDEX('MOA role matrix'!$B$2:$D$13,10,MATCH($B185,'MOA role matrix'!$B$1:$D$1,0))="If finance","Division MOI managers (if finance), ","")IF(INDEX('MOA role matrix'!$B$2:$D$13,10,MATCH($B185,'MOA role matrix'!$B$1:$D$1,0))="Auto","Division MOI managers (auto), ","")IF(INDEX('MOA role matrix'!$B$2:$D$13,11,MATCH($B185,'MOA role matrix'!$B$1:$D$1,0))="Fill","Ms Teh (bank), ","")IF(INDEX('MOA role matrix'!$B$2:$D$13,11,MATCH($B185,'MOA role matrix'!$B$1:$D$1,0))="If finance","Ms Teh (bank) (if finance), ","")IF(INDEX('MOA role matrix'!$B$2:$D$13,11,MATCH($B185,'MOA role matrix'!$B$1:$D$1,0))="Auto","Ms Teh (bank) (auto), ","")IF(INDEX('MOA role matrix'!$B$2:$D$13,12,MATCH($B185,'MOA role matrix'!$B$1:$D$1,0))="Fill","DLCM, ","")IF(INDEX('MOA role matrix'!$B$2:$D$13,12,MATCH($B185,'MOA role matrix'!$B$1:$D$1,0))="If finance","DLCM (if finance), ","")IF(INDEX('MOA role matrix'!$B$2:$D$13,12,MATCH($B185,'MOA role matrix'!$B$1:$D$1,0))="Auto","DLCM (auto), ","")))</f>
        <v/>
      </c>
      <c r="D185" s="5">
        <f>IF($A185="","",IFERROR(INDEX(FILTER('Client contacts'!$B$2:$B$500,('Client contacts'!$A$2:$A$500=$A185)*('Client contacts'!$H$2:$H$500="Y"),""),1),""))</f>
        <v/>
      </c>
      <c r="E185" s="5">
        <f>IF($A185="","",IFERROR(INDEX(FILTER('Client contacts'!$C$2:$C$500,('Client contacts'!$A$2:$A$500=$A185)*('Client contacts'!$H$2:$H$500="Y"),""),1),""))</f>
        <v/>
      </c>
      <c r="F185" s="5">
        <f>IF($A185="","",IFERROR(INDEX(FILTER('Client contacts'!$B$2:$B$500,('Client contacts'!$A$2:$A$500=$A185)*('Client contacts'!$G$2:$G$500="Y"),""),1),""))</f>
        <v/>
      </c>
      <c r="G185" s="5">
        <f>IF($A185="","",IFERROR(INDEX(FILTER('Client contacts'!$C$2:$C$500,('Client contacts'!$A$2:$A$500=$A185)*('Client contacts'!$G$2:$G$500="Y"),""),1),""))</f>
        <v/>
      </c>
      <c r="H185" s="5">
        <f>IF($A185="","",IFERROR(INDEX(FILTER('Client contacts'!$B$2:$B$500,('Client contacts'!$A$2:$A$500=$A185)*('Client contacts'!$G$2:$G$500="Y"),""),2),""))</f>
        <v/>
      </c>
      <c r="I185" s="5">
        <f>IF($A185="","",IFERROR(INDEX(FILTER('Client contacts'!$C$2:$C$500,('Client contacts'!$A$2:$A$500=$A185)*('Client contacts'!$G$2:$G$500="Y"),""),2),""))</f>
        <v/>
      </c>
      <c r="J185" s="8" t="n"/>
      <c r="K185" s="8" t="n"/>
      <c r="L185" s="8" t="n"/>
      <c r="M185" s="8" t="n"/>
      <c r="N185" s="8" t="n"/>
      <c r="O185" s="8" t="n"/>
      <c r="P185" s="8" t="n"/>
      <c r="Q185" s="8" t="n"/>
      <c r="R185" s="5">
        <f>IF($A185="","",IFERROR(INDEX(Companies!$I$2:$I$500,MATCH($A185,Companies!$A$2:$A$500,0)),""))</f>
        <v/>
      </c>
      <c r="S185" s="8" t="n"/>
      <c r="T185" s="8" t="n"/>
      <c r="U185" s="8" t="n"/>
      <c r="V185" s="8" t="n"/>
      <c r="W185" s="8" t="n"/>
    </row>
    <row r="186">
      <c r="C186" s="5">
        <f>IF($B186="","",TRIM(IF(INDEX('MOA role matrix'!$B$2:$D$13,1,MATCH($B186,'MOA role matrix'!$B$1:$D$1,0))="Fill","Project initiator, ","")IF(INDEX('MOA role matrix'!$B$2:$D$13,1,MATCH($B186,'MOA role matrix'!$B$1:$D$1,0))="If finance","Project initiator (if finance), ","")IF(INDEX('MOA role matrix'!$B$2:$D$13,1,MATCH($B186,'MOA role matrix'!$B$1:$D$1,0))="Auto","Project initiator (auto), ","")IF(INDEX('MOA role matrix'!$B$2:$D$13,2,MATCH($B186,'MOA role matrix'!$B$1:$D$1,0))="Fill","MOA signers (client), ","")IF(INDEX('MOA role matrix'!$B$2:$D$13,2,MATCH($B186,'MOA role matrix'!$B$1:$D$1,0))="If finance","MOA signers (client) (if finance), ","")IF(INDEX('MOA role matrix'!$B$2:$D$13,2,MATCH($B186,'MOA role matrix'!$B$1:$D$1,0))="Auto","MOA signers (client) (auto), ","")IF(INDEX('MOA role matrix'!$B$2:$D$13,3,MATCH($B186,'MOA role matrix'!$B$1:$D$1,0))="Fill","CFO / Head of Finance, ","")IF(INDEX('MOA role matrix'!$B$2:$D$13,3,MATCH($B186,'MOA role matrix'!$B$1:$D$1,0))="If finance","CFO / Head of Finance (if finance), ","")IF(INDEX('MOA role matrix'!$B$2:$D$13,3,MATCH($B186,'MOA role matrix'!$B$1:$D$1,0))="Auto","CFO / Head of Finance (auto), ","")IF(INDEX('MOA role matrix'!$B$2:$D$13,4,MATCH($B186,'MOA role matrix'!$B$1:$D$1,0))="Fill","CEO / COO / GM, ","")IF(INDEX('MOA role matrix'!$B$2:$D$13,4,MATCH($B186,'MOA role matrix'!$B$1:$D$1,0))="If finance","CEO / COO / GM (if finance), ","")IF(INDEX('MOA role matrix'!$B$2:$D$13,4,MATCH($B186,'MOA role matrix'!$B$1:$D$1,0))="Auto","CEO / COO / GM (auto), ","")IF(INDEX('MOA role matrix'!$B$2:$D$13,5,MATCH($B186,'MOA role matrix'!$B$1:$D$1,0))="Fill","Board member 1, ","")IF(INDEX('MOA role matrix'!$B$2:$D$13,5,MATCH($B186,'MOA role matrix'!$B$1:$D$1,0))="If finance","Board member 1 (if finance), ","")IF(INDEX('MOA role matrix'!$B$2:$D$13,5,MATCH($B186,'MOA role matrix'!$B$1:$D$1,0))="Auto","Board member 1 (auto), ","")IF(INDEX('MOA role matrix'!$B$2:$D$13,6,MATCH($B186,'MOA role matrix'!$B$1:$D$1,0))="Fill","Board member 2, ","")IF(INDEX('MOA role matrix'!$B$2:$D$13,6,MATCH($B186,'MOA role matrix'!$B$1:$D$1,0))="If finance","Board member 2 (if finance), ","")IF(INDEX('MOA role matrix'!$B$2:$D$13,6,MATCH($B186,'MOA role matrix'!$B$1:$D$1,0))="Auto","Board member 2 (auto), ","")IF(INDEX('MOA role matrix'!$B$2:$D$13,7,MATCH($B186,'MOA role matrix'!$B$1:$D$1,0))="Fill","LOA holder 1, ","")IF(INDEX('MOA role matrix'!$B$2:$D$13,7,MATCH($B186,'MOA role matrix'!$B$1:$D$1,0))="If finance","LOA holder 1 (if finance), ","")IF(INDEX('MOA role matrix'!$B$2:$D$13,7,MATCH($B186,'MOA role matrix'!$B$1:$D$1,0))="Auto","LOA holder 1 (auto), ","")IF(INDEX('MOA role matrix'!$B$2:$D$13,8,MATCH($B186,'MOA role matrix'!$B$1:$D$1,0))="Fill","LOA holder 2, ","")IF(INDEX('MOA role matrix'!$B$2:$D$13,8,MATCH($B186,'MOA role matrix'!$B$1:$D$1,0))="If finance","LOA holder 2 (if finance), ","")IF(INDEX('MOA role matrix'!$B$2:$D$13,8,MATCH($B186,'MOA role matrix'!$B$1:$D$1,0))="Auto","LOA holder 2 (auto), ","")IF(INDEX('MOA role matrix'!$B$2:$D$13,9,MATCH($B186,'MOA role matrix'!$B$1:$D$1,0))="Fill","Senior Manager CoSec, ","")IF(INDEX('MOA role matrix'!$B$2:$D$13,9,MATCH($B186,'MOA role matrix'!$B$1:$D$1,0))="If finance","Senior Manager CoSec (if finance), ","")IF(INDEX('MOA role matrix'!$B$2:$D$13,9,MATCH($B186,'MOA role matrix'!$B$1:$D$1,0))="Auto","Senior Manager CoSec (auto), ","")IF(INDEX('MOA role matrix'!$B$2:$D$13,10,MATCH($B186,'MOA role matrix'!$B$1:$D$1,0))="Fill","Division MOI managers, ","")IF(INDEX('MOA role matrix'!$B$2:$D$13,10,MATCH($B186,'MOA role matrix'!$B$1:$D$1,0))="If finance","Division MOI managers (if finance), ","")IF(INDEX('MOA role matrix'!$B$2:$D$13,10,MATCH($B186,'MOA role matrix'!$B$1:$D$1,0))="Auto","Division MOI managers (auto), ","")IF(INDEX('MOA role matrix'!$B$2:$D$13,11,MATCH($B186,'MOA role matrix'!$B$1:$D$1,0))="Fill","Ms Teh (bank), ","")IF(INDEX('MOA role matrix'!$B$2:$D$13,11,MATCH($B186,'MOA role matrix'!$B$1:$D$1,0))="If finance","Ms Teh (bank) (if finance), ","")IF(INDEX('MOA role matrix'!$B$2:$D$13,11,MATCH($B186,'MOA role matrix'!$B$1:$D$1,0))="Auto","Ms Teh (bank) (auto), ","")IF(INDEX('MOA role matrix'!$B$2:$D$13,12,MATCH($B186,'MOA role matrix'!$B$1:$D$1,0))="Fill","DLCM, ","")IF(INDEX('MOA role matrix'!$B$2:$D$13,12,MATCH($B186,'MOA role matrix'!$B$1:$D$1,0))="If finance","DLCM (if finance), ","")IF(INDEX('MOA role matrix'!$B$2:$D$13,12,MATCH($B186,'MOA role matrix'!$B$1:$D$1,0))="Auto","DLCM (auto), ","")))</f>
        <v/>
      </c>
      <c r="D186" s="5">
        <f>IF($A186="","",IFERROR(INDEX(FILTER('Client contacts'!$B$2:$B$500,('Client contacts'!$A$2:$A$500=$A186)*('Client contacts'!$H$2:$H$500="Y"),""),1),""))</f>
        <v/>
      </c>
      <c r="E186" s="5">
        <f>IF($A186="","",IFERROR(INDEX(FILTER('Client contacts'!$C$2:$C$500,('Client contacts'!$A$2:$A$500=$A186)*('Client contacts'!$H$2:$H$500="Y"),""),1),""))</f>
        <v/>
      </c>
      <c r="F186" s="5">
        <f>IF($A186="","",IFERROR(INDEX(FILTER('Client contacts'!$B$2:$B$500,('Client contacts'!$A$2:$A$500=$A186)*('Client contacts'!$G$2:$G$500="Y"),""),1),""))</f>
        <v/>
      </c>
      <c r="G186" s="5">
        <f>IF($A186="","",IFERROR(INDEX(FILTER('Client contacts'!$C$2:$C$500,('Client contacts'!$A$2:$A$500=$A186)*('Client contacts'!$G$2:$G$500="Y"),""),1),""))</f>
        <v/>
      </c>
      <c r="H186" s="5">
        <f>IF($A186="","",IFERROR(INDEX(FILTER('Client contacts'!$B$2:$B$500,('Client contacts'!$A$2:$A$500=$A186)*('Client contacts'!$G$2:$G$500="Y"),""),2),""))</f>
        <v/>
      </c>
      <c r="I186" s="5">
        <f>IF($A186="","",IFERROR(INDEX(FILTER('Client contacts'!$C$2:$C$500,('Client contacts'!$A$2:$A$500=$A186)*('Client contacts'!$G$2:$G$500="Y"),""),2),""))</f>
        <v/>
      </c>
      <c r="J186" s="8" t="n"/>
      <c r="K186" s="8" t="n"/>
      <c r="L186" s="8" t="n"/>
      <c r="M186" s="8" t="n"/>
      <c r="N186" s="8" t="n"/>
      <c r="O186" s="8" t="n"/>
      <c r="P186" s="8" t="n"/>
      <c r="Q186" s="8" t="n"/>
      <c r="R186" s="5">
        <f>IF($A186="","",IFERROR(INDEX(Companies!$I$2:$I$500,MATCH($A186,Companies!$A$2:$A$500,0)),""))</f>
        <v/>
      </c>
      <c r="S186" s="8" t="n"/>
      <c r="T186" s="8" t="n"/>
      <c r="U186" s="8" t="n"/>
      <c r="V186" s="8" t="n"/>
      <c r="W186" s="8" t="n"/>
    </row>
    <row r="187">
      <c r="C187" s="5">
        <f>IF($B187="","",TRIM(IF(INDEX('MOA role matrix'!$B$2:$D$13,1,MATCH($B187,'MOA role matrix'!$B$1:$D$1,0))="Fill","Project initiator, ","")IF(INDEX('MOA role matrix'!$B$2:$D$13,1,MATCH($B187,'MOA role matrix'!$B$1:$D$1,0))="If finance","Project initiator (if finance), ","")IF(INDEX('MOA role matrix'!$B$2:$D$13,1,MATCH($B187,'MOA role matrix'!$B$1:$D$1,0))="Auto","Project initiator (auto), ","")IF(INDEX('MOA role matrix'!$B$2:$D$13,2,MATCH($B187,'MOA role matrix'!$B$1:$D$1,0))="Fill","MOA signers (client), ","")IF(INDEX('MOA role matrix'!$B$2:$D$13,2,MATCH($B187,'MOA role matrix'!$B$1:$D$1,0))="If finance","MOA signers (client) (if finance), ","")IF(INDEX('MOA role matrix'!$B$2:$D$13,2,MATCH($B187,'MOA role matrix'!$B$1:$D$1,0))="Auto","MOA signers (client) (auto), ","")IF(INDEX('MOA role matrix'!$B$2:$D$13,3,MATCH($B187,'MOA role matrix'!$B$1:$D$1,0))="Fill","CFO / Head of Finance, ","")IF(INDEX('MOA role matrix'!$B$2:$D$13,3,MATCH($B187,'MOA role matrix'!$B$1:$D$1,0))="If finance","CFO / Head of Finance (if finance), ","")IF(INDEX('MOA role matrix'!$B$2:$D$13,3,MATCH($B187,'MOA role matrix'!$B$1:$D$1,0))="Auto","CFO / Head of Finance (auto), ","")IF(INDEX('MOA role matrix'!$B$2:$D$13,4,MATCH($B187,'MOA role matrix'!$B$1:$D$1,0))="Fill","CEO / COO / GM, ","")IF(INDEX('MOA role matrix'!$B$2:$D$13,4,MATCH($B187,'MOA role matrix'!$B$1:$D$1,0))="If finance","CEO / COO / GM (if finance), ","")IF(INDEX('MOA role matrix'!$B$2:$D$13,4,MATCH($B187,'MOA role matrix'!$B$1:$D$1,0))="Auto","CEO / COO / GM (auto), ","")IF(INDEX('MOA role matrix'!$B$2:$D$13,5,MATCH($B187,'MOA role matrix'!$B$1:$D$1,0))="Fill","Board member 1, ","")IF(INDEX('MOA role matrix'!$B$2:$D$13,5,MATCH($B187,'MOA role matrix'!$B$1:$D$1,0))="If finance","Board member 1 (if finance), ","")IF(INDEX('MOA role matrix'!$B$2:$D$13,5,MATCH($B187,'MOA role matrix'!$B$1:$D$1,0))="Auto","Board member 1 (auto), ","")IF(INDEX('MOA role matrix'!$B$2:$D$13,6,MATCH($B187,'MOA role matrix'!$B$1:$D$1,0))="Fill","Board member 2, ","")IF(INDEX('MOA role matrix'!$B$2:$D$13,6,MATCH($B187,'MOA role matrix'!$B$1:$D$1,0))="If finance","Board member 2 (if finance), ","")IF(INDEX('MOA role matrix'!$B$2:$D$13,6,MATCH($B187,'MOA role matrix'!$B$1:$D$1,0))="Auto","Board member 2 (auto), ","")IF(INDEX('MOA role matrix'!$B$2:$D$13,7,MATCH($B187,'MOA role matrix'!$B$1:$D$1,0))="Fill","LOA holder 1, ","")IF(INDEX('MOA role matrix'!$B$2:$D$13,7,MATCH($B187,'MOA role matrix'!$B$1:$D$1,0))="If finance","LOA holder 1 (if finance), ","")IF(INDEX('MOA role matrix'!$B$2:$D$13,7,MATCH($B187,'MOA role matrix'!$B$1:$D$1,0))="Auto","LOA holder 1 (auto), ","")IF(INDEX('MOA role matrix'!$B$2:$D$13,8,MATCH($B187,'MOA role matrix'!$B$1:$D$1,0))="Fill","LOA holder 2, ","")IF(INDEX('MOA role matrix'!$B$2:$D$13,8,MATCH($B187,'MOA role matrix'!$B$1:$D$1,0))="If finance","LOA holder 2 (if finance), ","")IF(INDEX('MOA role matrix'!$B$2:$D$13,8,MATCH($B187,'MOA role matrix'!$B$1:$D$1,0))="Auto","LOA holder 2 (auto), ","")IF(INDEX('MOA role matrix'!$B$2:$D$13,9,MATCH($B187,'MOA role matrix'!$B$1:$D$1,0))="Fill","Senior Manager CoSec, ","")IF(INDEX('MOA role matrix'!$B$2:$D$13,9,MATCH($B187,'MOA role matrix'!$B$1:$D$1,0))="If finance","Senior Manager CoSec (if finance), ","")IF(INDEX('MOA role matrix'!$B$2:$D$13,9,MATCH($B187,'MOA role matrix'!$B$1:$D$1,0))="Auto","Senior Manager CoSec (auto), ","")IF(INDEX('MOA role matrix'!$B$2:$D$13,10,MATCH($B187,'MOA role matrix'!$B$1:$D$1,0))="Fill","Division MOI managers, ","")IF(INDEX('MOA role matrix'!$B$2:$D$13,10,MATCH($B187,'MOA role matrix'!$B$1:$D$1,0))="If finance","Division MOI managers (if finance), ","")IF(INDEX('MOA role matrix'!$B$2:$D$13,10,MATCH($B187,'MOA role matrix'!$B$1:$D$1,0))="Auto","Division MOI managers (auto), ","")IF(INDEX('MOA role matrix'!$B$2:$D$13,11,MATCH($B187,'MOA role matrix'!$B$1:$D$1,0))="Fill","Ms Teh (bank), ","")IF(INDEX('MOA role matrix'!$B$2:$D$13,11,MATCH($B187,'MOA role matrix'!$B$1:$D$1,0))="If finance","Ms Teh (bank) (if finance), ","")IF(INDEX('MOA role matrix'!$B$2:$D$13,11,MATCH($B187,'MOA role matrix'!$B$1:$D$1,0))="Auto","Ms Teh (bank) (auto), ","")IF(INDEX('MOA role matrix'!$B$2:$D$13,12,MATCH($B187,'MOA role matrix'!$B$1:$D$1,0))="Fill","DLCM, ","")IF(INDEX('MOA role matrix'!$B$2:$D$13,12,MATCH($B187,'MOA role matrix'!$B$1:$D$1,0))="If finance","DLCM (if finance), ","")IF(INDEX('MOA role matrix'!$B$2:$D$13,12,MATCH($B187,'MOA role matrix'!$B$1:$D$1,0))="Auto","DLCM (auto), ","")))</f>
        <v/>
      </c>
      <c r="D187" s="5">
        <f>IF($A187="","",IFERROR(INDEX(FILTER('Client contacts'!$B$2:$B$500,('Client contacts'!$A$2:$A$500=$A187)*('Client contacts'!$H$2:$H$500="Y"),""),1),""))</f>
        <v/>
      </c>
      <c r="E187" s="5">
        <f>IF($A187="","",IFERROR(INDEX(FILTER('Client contacts'!$C$2:$C$500,('Client contacts'!$A$2:$A$500=$A187)*('Client contacts'!$H$2:$H$500="Y"),""),1),""))</f>
        <v/>
      </c>
      <c r="F187" s="5">
        <f>IF($A187="","",IFERROR(INDEX(FILTER('Client contacts'!$B$2:$B$500,('Client contacts'!$A$2:$A$500=$A187)*('Client contacts'!$G$2:$G$500="Y"),""),1),""))</f>
        <v/>
      </c>
      <c r="G187" s="5">
        <f>IF($A187="","",IFERROR(INDEX(FILTER('Client contacts'!$C$2:$C$500,('Client contacts'!$A$2:$A$500=$A187)*('Client contacts'!$G$2:$G$500="Y"),""),1),""))</f>
        <v/>
      </c>
      <c r="H187" s="5">
        <f>IF($A187="","",IFERROR(INDEX(FILTER('Client contacts'!$B$2:$B$500,('Client contacts'!$A$2:$A$500=$A187)*('Client contacts'!$G$2:$G$500="Y"),""),2),""))</f>
        <v/>
      </c>
      <c r="I187" s="5">
        <f>IF($A187="","",IFERROR(INDEX(FILTER('Client contacts'!$C$2:$C$500,('Client contacts'!$A$2:$A$500=$A187)*('Client contacts'!$G$2:$G$500="Y"),""),2),""))</f>
        <v/>
      </c>
      <c r="J187" s="8" t="n"/>
      <c r="K187" s="8" t="n"/>
      <c r="L187" s="8" t="n"/>
      <c r="M187" s="8" t="n"/>
      <c r="N187" s="8" t="n"/>
      <c r="O187" s="8" t="n"/>
      <c r="P187" s="8" t="n"/>
      <c r="Q187" s="8" t="n"/>
      <c r="R187" s="5">
        <f>IF($A187="","",IFERROR(INDEX(Companies!$I$2:$I$500,MATCH($A187,Companies!$A$2:$A$500,0)),""))</f>
        <v/>
      </c>
      <c r="S187" s="8" t="n"/>
      <c r="T187" s="8" t="n"/>
      <c r="U187" s="8" t="n"/>
      <c r="V187" s="8" t="n"/>
      <c r="W187" s="8" t="n"/>
    </row>
    <row r="188">
      <c r="C188" s="5">
        <f>IF($B188="","",TRIM(IF(INDEX('MOA role matrix'!$B$2:$D$13,1,MATCH($B188,'MOA role matrix'!$B$1:$D$1,0))="Fill","Project initiator, ","")IF(INDEX('MOA role matrix'!$B$2:$D$13,1,MATCH($B188,'MOA role matrix'!$B$1:$D$1,0))="If finance","Project initiator (if finance), ","")IF(INDEX('MOA role matrix'!$B$2:$D$13,1,MATCH($B188,'MOA role matrix'!$B$1:$D$1,0))="Auto","Project initiator (auto), ","")IF(INDEX('MOA role matrix'!$B$2:$D$13,2,MATCH($B188,'MOA role matrix'!$B$1:$D$1,0))="Fill","MOA signers (client), ","")IF(INDEX('MOA role matrix'!$B$2:$D$13,2,MATCH($B188,'MOA role matrix'!$B$1:$D$1,0))="If finance","MOA signers (client) (if finance), ","")IF(INDEX('MOA role matrix'!$B$2:$D$13,2,MATCH($B188,'MOA role matrix'!$B$1:$D$1,0))="Auto","MOA signers (client) (auto), ","")IF(INDEX('MOA role matrix'!$B$2:$D$13,3,MATCH($B188,'MOA role matrix'!$B$1:$D$1,0))="Fill","CFO / Head of Finance, ","")IF(INDEX('MOA role matrix'!$B$2:$D$13,3,MATCH($B188,'MOA role matrix'!$B$1:$D$1,0))="If finance","CFO / Head of Finance (if finance), ","")IF(INDEX('MOA role matrix'!$B$2:$D$13,3,MATCH($B188,'MOA role matrix'!$B$1:$D$1,0))="Auto","CFO / Head of Finance (auto), ","")IF(INDEX('MOA role matrix'!$B$2:$D$13,4,MATCH($B188,'MOA role matrix'!$B$1:$D$1,0))="Fill","CEO / COO / GM, ","")IF(INDEX('MOA role matrix'!$B$2:$D$13,4,MATCH($B188,'MOA role matrix'!$B$1:$D$1,0))="If finance","CEO / COO / GM (if finance), ","")IF(INDEX('MOA role matrix'!$B$2:$D$13,4,MATCH($B188,'MOA role matrix'!$B$1:$D$1,0))="Auto","CEO / COO / GM (auto), ","")IF(INDEX('MOA role matrix'!$B$2:$D$13,5,MATCH($B188,'MOA role matrix'!$B$1:$D$1,0))="Fill","Board member 1, ","")IF(INDEX('MOA role matrix'!$B$2:$D$13,5,MATCH($B188,'MOA role matrix'!$B$1:$D$1,0))="If finance","Board member 1 (if finance), ","")IF(INDEX('MOA role matrix'!$B$2:$D$13,5,MATCH($B188,'MOA role matrix'!$B$1:$D$1,0))="Auto","Board member 1 (auto), ","")IF(INDEX('MOA role matrix'!$B$2:$D$13,6,MATCH($B188,'MOA role matrix'!$B$1:$D$1,0))="Fill","Board member 2, ","")IF(INDEX('MOA role matrix'!$B$2:$D$13,6,MATCH($B188,'MOA role matrix'!$B$1:$D$1,0))="If finance","Board member 2 (if finance), ","")IF(INDEX('MOA role matrix'!$B$2:$D$13,6,MATCH($B188,'MOA role matrix'!$B$1:$D$1,0))="Auto","Board member 2 (auto), ","")IF(INDEX('MOA role matrix'!$B$2:$D$13,7,MATCH($B188,'MOA role matrix'!$B$1:$D$1,0))="Fill","LOA holder 1, ","")IF(INDEX('MOA role matrix'!$B$2:$D$13,7,MATCH($B188,'MOA role matrix'!$B$1:$D$1,0))="If finance","LOA holder 1 (if finance), ","")IF(INDEX('MOA role matrix'!$B$2:$D$13,7,MATCH($B188,'MOA role matrix'!$B$1:$D$1,0))="Auto","LOA holder 1 (auto), ","")IF(INDEX('MOA role matrix'!$B$2:$D$13,8,MATCH($B188,'MOA role matrix'!$B$1:$D$1,0))="Fill","LOA holder 2, ","")IF(INDEX('MOA role matrix'!$B$2:$D$13,8,MATCH($B188,'MOA role matrix'!$B$1:$D$1,0))="If finance","LOA holder 2 (if finance), ","")IF(INDEX('MOA role matrix'!$B$2:$D$13,8,MATCH($B188,'MOA role matrix'!$B$1:$D$1,0))="Auto","LOA holder 2 (auto), ","")IF(INDEX('MOA role matrix'!$B$2:$D$13,9,MATCH($B188,'MOA role matrix'!$B$1:$D$1,0))="Fill","Senior Manager CoSec, ","")IF(INDEX('MOA role matrix'!$B$2:$D$13,9,MATCH($B188,'MOA role matrix'!$B$1:$D$1,0))="If finance","Senior Manager CoSec (if finance), ","")IF(INDEX('MOA role matrix'!$B$2:$D$13,9,MATCH($B188,'MOA role matrix'!$B$1:$D$1,0))="Auto","Senior Manager CoSec (auto), ","")IF(INDEX('MOA role matrix'!$B$2:$D$13,10,MATCH($B188,'MOA role matrix'!$B$1:$D$1,0))="Fill","Division MOI managers, ","")IF(INDEX('MOA role matrix'!$B$2:$D$13,10,MATCH($B188,'MOA role matrix'!$B$1:$D$1,0))="If finance","Division MOI managers (if finance), ","")IF(INDEX('MOA role matrix'!$B$2:$D$13,10,MATCH($B188,'MOA role matrix'!$B$1:$D$1,0))="Auto","Division MOI managers (auto), ","")IF(INDEX('MOA role matrix'!$B$2:$D$13,11,MATCH($B188,'MOA role matrix'!$B$1:$D$1,0))="Fill","Ms Teh (bank), ","")IF(INDEX('MOA role matrix'!$B$2:$D$13,11,MATCH($B188,'MOA role matrix'!$B$1:$D$1,0))="If finance","Ms Teh (bank) (if finance), ","")IF(INDEX('MOA role matrix'!$B$2:$D$13,11,MATCH($B188,'MOA role matrix'!$B$1:$D$1,0))="Auto","Ms Teh (bank) (auto), ","")IF(INDEX('MOA role matrix'!$B$2:$D$13,12,MATCH($B188,'MOA role matrix'!$B$1:$D$1,0))="Fill","DLCM, ","")IF(INDEX('MOA role matrix'!$B$2:$D$13,12,MATCH($B188,'MOA role matrix'!$B$1:$D$1,0))="If finance","DLCM (if finance), ","")IF(INDEX('MOA role matrix'!$B$2:$D$13,12,MATCH($B188,'MOA role matrix'!$B$1:$D$1,0))="Auto","DLCM (auto), ","")))</f>
        <v/>
      </c>
      <c r="D188" s="5">
        <f>IF($A188="","",IFERROR(INDEX(FILTER('Client contacts'!$B$2:$B$500,('Client contacts'!$A$2:$A$500=$A188)*('Client contacts'!$H$2:$H$500="Y"),""),1),""))</f>
        <v/>
      </c>
      <c r="E188" s="5">
        <f>IF($A188="","",IFERROR(INDEX(FILTER('Client contacts'!$C$2:$C$500,('Client contacts'!$A$2:$A$500=$A188)*('Client contacts'!$H$2:$H$500="Y"),""),1),""))</f>
        <v/>
      </c>
      <c r="F188" s="5">
        <f>IF($A188="","",IFERROR(INDEX(FILTER('Client contacts'!$B$2:$B$500,('Client contacts'!$A$2:$A$500=$A188)*('Client contacts'!$G$2:$G$500="Y"),""),1),""))</f>
        <v/>
      </c>
      <c r="G188" s="5">
        <f>IF($A188="","",IFERROR(INDEX(FILTER('Client contacts'!$C$2:$C$500,('Client contacts'!$A$2:$A$500=$A188)*('Client contacts'!$G$2:$G$500="Y"),""),1),""))</f>
        <v/>
      </c>
      <c r="H188" s="5">
        <f>IF($A188="","",IFERROR(INDEX(FILTER('Client contacts'!$B$2:$B$500,('Client contacts'!$A$2:$A$500=$A188)*('Client contacts'!$G$2:$G$500="Y"),""),2),""))</f>
        <v/>
      </c>
      <c r="I188" s="5">
        <f>IF($A188="","",IFERROR(INDEX(FILTER('Client contacts'!$C$2:$C$500,('Client contacts'!$A$2:$A$500=$A188)*('Client contacts'!$G$2:$G$500="Y"),""),2),""))</f>
        <v/>
      </c>
      <c r="J188" s="8" t="n"/>
      <c r="K188" s="8" t="n"/>
      <c r="L188" s="8" t="n"/>
      <c r="M188" s="8" t="n"/>
      <c r="N188" s="8" t="n"/>
      <c r="O188" s="8" t="n"/>
      <c r="P188" s="8" t="n"/>
      <c r="Q188" s="8" t="n"/>
      <c r="R188" s="5">
        <f>IF($A188="","",IFERROR(INDEX(Companies!$I$2:$I$500,MATCH($A188,Companies!$A$2:$A$500,0)),""))</f>
        <v/>
      </c>
      <c r="S188" s="8" t="n"/>
      <c r="T188" s="8" t="n"/>
      <c r="U188" s="8" t="n"/>
      <c r="V188" s="8" t="n"/>
      <c r="W188" s="8" t="n"/>
    </row>
    <row r="189">
      <c r="C189" s="5">
        <f>IF($B189="","",TRIM(IF(INDEX('MOA role matrix'!$B$2:$D$13,1,MATCH($B189,'MOA role matrix'!$B$1:$D$1,0))="Fill","Project initiator, ","")IF(INDEX('MOA role matrix'!$B$2:$D$13,1,MATCH($B189,'MOA role matrix'!$B$1:$D$1,0))="If finance","Project initiator (if finance), ","")IF(INDEX('MOA role matrix'!$B$2:$D$13,1,MATCH($B189,'MOA role matrix'!$B$1:$D$1,0))="Auto","Project initiator (auto), ","")IF(INDEX('MOA role matrix'!$B$2:$D$13,2,MATCH($B189,'MOA role matrix'!$B$1:$D$1,0))="Fill","MOA signers (client), ","")IF(INDEX('MOA role matrix'!$B$2:$D$13,2,MATCH($B189,'MOA role matrix'!$B$1:$D$1,0))="If finance","MOA signers (client) (if finance), ","")IF(INDEX('MOA role matrix'!$B$2:$D$13,2,MATCH($B189,'MOA role matrix'!$B$1:$D$1,0))="Auto","MOA signers (client) (auto), ","")IF(INDEX('MOA role matrix'!$B$2:$D$13,3,MATCH($B189,'MOA role matrix'!$B$1:$D$1,0))="Fill","CFO / Head of Finance, ","")IF(INDEX('MOA role matrix'!$B$2:$D$13,3,MATCH($B189,'MOA role matrix'!$B$1:$D$1,0))="If finance","CFO / Head of Finance (if finance), ","")IF(INDEX('MOA role matrix'!$B$2:$D$13,3,MATCH($B189,'MOA role matrix'!$B$1:$D$1,0))="Auto","CFO / Head of Finance (auto), ","")IF(INDEX('MOA role matrix'!$B$2:$D$13,4,MATCH($B189,'MOA role matrix'!$B$1:$D$1,0))="Fill","CEO / COO / GM, ","")IF(INDEX('MOA role matrix'!$B$2:$D$13,4,MATCH($B189,'MOA role matrix'!$B$1:$D$1,0))="If finance","CEO / COO / GM (if finance), ","")IF(INDEX('MOA role matrix'!$B$2:$D$13,4,MATCH($B189,'MOA role matrix'!$B$1:$D$1,0))="Auto","CEO / COO / GM (auto), ","")IF(INDEX('MOA role matrix'!$B$2:$D$13,5,MATCH($B189,'MOA role matrix'!$B$1:$D$1,0))="Fill","Board member 1, ","")IF(INDEX('MOA role matrix'!$B$2:$D$13,5,MATCH($B189,'MOA role matrix'!$B$1:$D$1,0))="If finance","Board member 1 (if finance), ","")IF(INDEX('MOA role matrix'!$B$2:$D$13,5,MATCH($B189,'MOA role matrix'!$B$1:$D$1,0))="Auto","Board member 1 (auto), ","")IF(INDEX('MOA role matrix'!$B$2:$D$13,6,MATCH($B189,'MOA role matrix'!$B$1:$D$1,0))="Fill","Board member 2, ","")IF(INDEX('MOA role matrix'!$B$2:$D$13,6,MATCH($B189,'MOA role matrix'!$B$1:$D$1,0))="If finance","Board member 2 (if finance), ","")IF(INDEX('MOA role matrix'!$B$2:$D$13,6,MATCH($B189,'MOA role matrix'!$B$1:$D$1,0))="Auto","Board member 2 (auto), ","")IF(INDEX('MOA role matrix'!$B$2:$D$13,7,MATCH($B189,'MOA role matrix'!$B$1:$D$1,0))="Fill","LOA holder 1, ","")IF(INDEX('MOA role matrix'!$B$2:$D$13,7,MATCH($B189,'MOA role matrix'!$B$1:$D$1,0))="If finance","LOA holder 1 (if finance), ","")IF(INDEX('MOA role matrix'!$B$2:$D$13,7,MATCH($B189,'MOA role matrix'!$B$1:$D$1,0))="Auto","LOA holder 1 (auto), ","")IF(INDEX('MOA role matrix'!$B$2:$D$13,8,MATCH($B189,'MOA role matrix'!$B$1:$D$1,0))="Fill","LOA holder 2, ","")IF(INDEX('MOA role matrix'!$B$2:$D$13,8,MATCH($B189,'MOA role matrix'!$B$1:$D$1,0))="If finance","LOA holder 2 (if finance), ","")IF(INDEX('MOA role matrix'!$B$2:$D$13,8,MATCH($B189,'MOA role matrix'!$B$1:$D$1,0))="Auto","LOA holder 2 (auto), ","")IF(INDEX('MOA role matrix'!$B$2:$D$13,9,MATCH($B189,'MOA role matrix'!$B$1:$D$1,0))="Fill","Senior Manager CoSec, ","")IF(INDEX('MOA role matrix'!$B$2:$D$13,9,MATCH($B189,'MOA role matrix'!$B$1:$D$1,0))="If finance","Senior Manager CoSec (if finance), ","")IF(INDEX('MOA role matrix'!$B$2:$D$13,9,MATCH($B189,'MOA role matrix'!$B$1:$D$1,0))="Auto","Senior Manager CoSec (auto), ","")IF(INDEX('MOA role matrix'!$B$2:$D$13,10,MATCH($B189,'MOA role matrix'!$B$1:$D$1,0))="Fill","Division MOI managers, ","")IF(INDEX('MOA role matrix'!$B$2:$D$13,10,MATCH($B189,'MOA role matrix'!$B$1:$D$1,0))="If finance","Division MOI managers (if finance), ","")IF(INDEX('MOA role matrix'!$B$2:$D$13,10,MATCH($B189,'MOA role matrix'!$B$1:$D$1,0))="Auto","Division MOI managers (auto), ","")IF(INDEX('MOA role matrix'!$B$2:$D$13,11,MATCH($B189,'MOA role matrix'!$B$1:$D$1,0))="Fill","Ms Teh (bank), ","")IF(INDEX('MOA role matrix'!$B$2:$D$13,11,MATCH($B189,'MOA role matrix'!$B$1:$D$1,0))="If finance","Ms Teh (bank) (if finance), ","")IF(INDEX('MOA role matrix'!$B$2:$D$13,11,MATCH($B189,'MOA role matrix'!$B$1:$D$1,0))="Auto","Ms Teh (bank) (auto), ","")IF(INDEX('MOA role matrix'!$B$2:$D$13,12,MATCH($B189,'MOA role matrix'!$B$1:$D$1,0))="Fill","DLCM, ","")IF(INDEX('MOA role matrix'!$B$2:$D$13,12,MATCH($B189,'MOA role matrix'!$B$1:$D$1,0))="If finance","DLCM (if finance), ","")IF(INDEX('MOA role matrix'!$B$2:$D$13,12,MATCH($B189,'MOA role matrix'!$B$1:$D$1,0))="Auto","DLCM (auto), ","")))</f>
        <v/>
      </c>
      <c r="D189" s="5">
        <f>IF($A189="","",IFERROR(INDEX(FILTER('Client contacts'!$B$2:$B$500,('Client contacts'!$A$2:$A$500=$A189)*('Client contacts'!$H$2:$H$500="Y"),""),1),""))</f>
        <v/>
      </c>
      <c r="E189" s="5">
        <f>IF($A189="","",IFERROR(INDEX(FILTER('Client contacts'!$C$2:$C$500,('Client contacts'!$A$2:$A$500=$A189)*('Client contacts'!$H$2:$H$500="Y"),""),1),""))</f>
        <v/>
      </c>
      <c r="F189" s="5">
        <f>IF($A189="","",IFERROR(INDEX(FILTER('Client contacts'!$B$2:$B$500,('Client contacts'!$A$2:$A$500=$A189)*('Client contacts'!$G$2:$G$500="Y"),""),1),""))</f>
        <v/>
      </c>
      <c r="G189" s="5">
        <f>IF($A189="","",IFERROR(INDEX(FILTER('Client contacts'!$C$2:$C$500,('Client contacts'!$A$2:$A$500=$A189)*('Client contacts'!$G$2:$G$500="Y"),""),1),""))</f>
        <v/>
      </c>
      <c r="H189" s="5">
        <f>IF($A189="","",IFERROR(INDEX(FILTER('Client contacts'!$B$2:$B$500,('Client contacts'!$A$2:$A$500=$A189)*('Client contacts'!$G$2:$G$500="Y"),""),2),""))</f>
        <v/>
      </c>
      <c r="I189" s="5">
        <f>IF($A189="","",IFERROR(INDEX(FILTER('Client contacts'!$C$2:$C$500,('Client contacts'!$A$2:$A$500=$A189)*('Client contacts'!$G$2:$G$500="Y"),""),2),""))</f>
        <v/>
      </c>
      <c r="J189" s="8" t="n"/>
      <c r="K189" s="8" t="n"/>
      <c r="L189" s="8" t="n"/>
      <c r="M189" s="8" t="n"/>
      <c r="N189" s="8" t="n"/>
      <c r="O189" s="8" t="n"/>
      <c r="P189" s="8" t="n"/>
      <c r="Q189" s="8" t="n"/>
      <c r="R189" s="5">
        <f>IF($A189="","",IFERROR(INDEX(Companies!$I$2:$I$500,MATCH($A189,Companies!$A$2:$A$500,0)),""))</f>
        <v/>
      </c>
      <c r="S189" s="8" t="n"/>
      <c r="T189" s="8" t="n"/>
      <c r="U189" s="8" t="n"/>
      <c r="V189" s="8" t="n"/>
      <c r="W189" s="8" t="n"/>
    </row>
    <row r="190">
      <c r="C190" s="5">
        <f>IF($B190="","",TRIM(IF(INDEX('MOA role matrix'!$B$2:$D$13,1,MATCH($B190,'MOA role matrix'!$B$1:$D$1,0))="Fill","Project initiator, ","")IF(INDEX('MOA role matrix'!$B$2:$D$13,1,MATCH($B190,'MOA role matrix'!$B$1:$D$1,0))="If finance","Project initiator (if finance), ","")IF(INDEX('MOA role matrix'!$B$2:$D$13,1,MATCH($B190,'MOA role matrix'!$B$1:$D$1,0))="Auto","Project initiator (auto), ","")IF(INDEX('MOA role matrix'!$B$2:$D$13,2,MATCH($B190,'MOA role matrix'!$B$1:$D$1,0))="Fill","MOA signers (client), ","")IF(INDEX('MOA role matrix'!$B$2:$D$13,2,MATCH($B190,'MOA role matrix'!$B$1:$D$1,0))="If finance","MOA signers (client) (if finance), ","")IF(INDEX('MOA role matrix'!$B$2:$D$13,2,MATCH($B190,'MOA role matrix'!$B$1:$D$1,0))="Auto","MOA signers (client) (auto), ","")IF(INDEX('MOA role matrix'!$B$2:$D$13,3,MATCH($B190,'MOA role matrix'!$B$1:$D$1,0))="Fill","CFO / Head of Finance, ","")IF(INDEX('MOA role matrix'!$B$2:$D$13,3,MATCH($B190,'MOA role matrix'!$B$1:$D$1,0))="If finance","CFO / Head of Finance (if finance), ","")IF(INDEX('MOA role matrix'!$B$2:$D$13,3,MATCH($B190,'MOA role matrix'!$B$1:$D$1,0))="Auto","CFO / Head of Finance (auto), ","")IF(INDEX('MOA role matrix'!$B$2:$D$13,4,MATCH($B190,'MOA role matrix'!$B$1:$D$1,0))="Fill","CEO / COO / GM, ","")IF(INDEX('MOA role matrix'!$B$2:$D$13,4,MATCH($B190,'MOA role matrix'!$B$1:$D$1,0))="If finance","CEO / COO / GM (if finance), ","")IF(INDEX('MOA role matrix'!$B$2:$D$13,4,MATCH($B190,'MOA role matrix'!$B$1:$D$1,0))="Auto","CEO / COO / GM (auto), ","")IF(INDEX('MOA role matrix'!$B$2:$D$13,5,MATCH($B190,'MOA role matrix'!$B$1:$D$1,0))="Fill","Board member 1, ","")IF(INDEX('MOA role matrix'!$B$2:$D$13,5,MATCH($B190,'MOA role matrix'!$B$1:$D$1,0))="If finance","Board member 1 (if finance), ","")IF(INDEX('MOA role matrix'!$B$2:$D$13,5,MATCH($B190,'MOA role matrix'!$B$1:$D$1,0))="Auto","Board member 1 (auto), ","")IF(INDEX('MOA role matrix'!$B$2:$D$13,6,MATCH($B190,'MOA role matrix'!$B$1:$D$1,0))="Fill","Board member 2, ","")IF(INDEX('MOA role matrix'!$B$2:$D$13,6,MATCH($B190,'MOA role matrix'!$B$1:$D$1,0))="If finance","Board member 2 (if finance), ","")IF(INDEX('MOA role matrix'!$B$2:$D$13,6,MATCH($B190,'MOA role matrix'!$B$1:$D$1,0))="Auto","Board member 2 (auto), ","")IF(INDEX('MOA role matrix'!$B$2:$D$13,7,MATCH($B190,'MOA role matrix'!$B$1:$D$1,0))="Fill","LOA holder 1, ","")IF(INDEX('MOA role matrix'!$B$2:$D$13,7,MATCH($B190,'MOA role matrix'!$B$1:$D$1,0))="If finance","LOA holder 1 (if finance), ","")IF(INDEX('MOA role matrix'!$B$2:$D$13,7,MATCH($B190,'MOA role matrix'!$B$1:$D$1,0))="Auto","LOA holder 1 (auto), ","")IF(INDEX('MOA role matrix'!$B$2:$D$13,8,MATCH($B190,'MOA role matrix'!$B$1:$D$1,0))="Fill","LOA holder 2, ","")IF(INDEX('MOA role matrix'!$B$2:$D$13,8,MATCH($B190,'MOA role matrix'!$B$1:$D$1,0))="If finance","LOA holder 2 (if finance), ","")IF(INDEX('MOA role matrix'!$B$2:$D$13,8,MATCH($B190,'MOA role matrix'!$B$1:$D$1,0))="Auto","LOA holder 2 (auto), ","")IF(INDEX('MOA role matrix'!$B$2:$D$13,9,MATCH($B190,'MOA role matrix'!$B$1:$D$1,0))="Fill","Senior Manager CoSec, ","")IF(INDEX('MOA role matrix'!$B$2:$D$13,9,MATCH($B190,'MOA role matrix'!$B$1:$D$1,0))="If finance","Senior Manager CoSec (if finance), ","")IF(INDEX('MOA role matrix'!$B$2:$D$13,9,MATCH($B190,'MOA role matrix'!$B$1:$D$1,0))="Auto","Senior Manager CoSec (auto), ","")IF(INDEX('MOA role matrix'!$B$2:$D$13,10,MATCH($B190,'MOA role matrix'!$B$1:$D$1,0))="Fill","Division MOI managers, ","")IF(INDEX('MOA role matrix'!$B$2:$D$13,10,MATCH($B190,'MOA role matrix'!$B$1:$D$1,0))="If finance","Division MOI managers (if finance), ","")IF(INDEX('MOA role matrix'!$B$2:$D$13,10,MATCH($B190,'MOA role matrix'!$B$1:$D$1,0))="Auto","Division MOI managers (auto), ","")IF(INDEX('MOA role matrix'!$B$2:$D$13,11,MATCH($B190,'MOA role matrix'!$B$1:$D$1,0))="Fill","Ms Teh (bank), ","")IF(INDEX('MOA role matrix'!$B$2:$D$13,11,MATCH($B190,'MOA role matrix'!$B$1:$D$1,0))="If finance","Ms Teh (bank) (if finance), ","")IF(INDEX('MOA role matrix'!$B$2:$D$13,11,MATCH($B190,'MOA role matrix'!$B$1:$D$1,0))="Auto","Ms Teh (bank) (auto), ","")IF(INDEX('MOA role matrix'!$B$2:$D$13,12,MATCH($B190,'MOA role matrix'!$B$1:$D$1,0))="Fill","DLCM, ","")IF(INDEX('MOA role matrix'!$B$2:$D$13,12,MATCH($B190,'MOA role matrix'!$B$1:$D$1,0))="If finance","DLCM (if finance), ","")IF(INDEX('MOA role matrix'!$B$2:$D$13,12,MATCH($B190,'MOA role matrix'!$B$1:$D$1,0))="Auto","DLCM (auto), ","")))</f>
        <v/>
      </c>
      <c r="D190" s="5">
        <f>IF($A190="","",IFERROR(INDEX(FILTER('Client contacts'!$B$2:$B$500,('Client contacts'!$A$2:$A$500=$A190)*('Client contacts'!$H$2:$H$500="Y"),""),1),""))</f>
        <v/>
      </c>
      <c r="E190" s="5">
        <f>IF($A190="","",IFERROR(INDEX(FILTER('Client contacts'!$C$2:$C$500,('Client contacts'!$A$2:$A$500=$A190)*('Client contacts'!$H$2:$H$500="Y"),""),1),""))</f>
        <v/>
      </c>
      <c r="F190" s="5">
        <f>IF($A190="","",IFERROR(INDEX(FILTER('Client contacts'!$B$2:$B$500,('Client contacts'!$A$2:$A$500=$A190)*('Client contacts'!$G$2:$G$500="Y"),""),1),""))</f>
        <v/>
      </c>
      <c r="G190" s="5">
        <f>IF($A190="","",IFERROR(INDEX(FILTER('Client contacts'!$C$2:$C$500,('Client contacts'!$A$2:$A$500=$A190)*('Client contacts'!$G$2:$G$500="Y"),""),1),""))</f>
        <v/>
      </c>
      <c r="H190" s="5">
        <f>IF($A190="","",IFERROR(INDEX(FILTER('Client contacts'!$B$2:$B$500,('Client contacts'!$A$2:$A$500=$A190)*('Client contacts'!$G$2:$G$500="Y"),""),2),""))</f>
        <v/>
      </c>
      <c r="I190" s="5">
        <f>IF($A190="","",IFERROR(INDEX(FILTER('Client contacts'!$C$2:$C$500,('Client contacts'!$A$2:$A$500=$A190)*('Client contacts'!$G$2:$G$500="Y"),""),2),""))</f>
        <v/>
      </c>
      <c r="J190" s="8" t="n"/>
      <c r="K190" s="8" t="n"/>
      <c r="L190" s="8" t="n"/>
      <c r="M190" s="8" t="n"/>
      <c r="N190" s="8" t="n"/>
      <c r="O190" s="8" t="n"/>
      <c r="P190" s="8" t="n"/>
      <c r="Q190" s="8" t="n"/>
      <c r="R190" s="5">
        <f>IF($A190="","",IFERROR(INDEX(Companies!$I$2:$I$500,MATCH($A190,Companies!$A$2:$A$500,0)),""))</f>
        <v/>
      </c>
      <c r="S190" s="8" t="n"/>
      <c r="T190" s="8" t="n"/>
      <c r="U190" s="8" t="n"/>
      <c r="V190" s="8" t="n"/>
      <c r="W190" s="8" t="n"/>
    </row>
    <row r="191">
      <c r="C191" s="5">
        <f>IF($B191="","",TRIM(IF(INDEX('MOA role matrix'!$B$2:$D$13,1,MATCH($B191,'MOA role matrix'!$B$1:$D$1,0))="Fill","Project initiator, ","")IF(INDEX('MOA role matrix'!$B$2:$D$13,1,MATCH($B191,'MOA role matrix'!$B$1:$D$1,0))="If finance","Project initiator (if finance), ","")IF(INDEX('MOA role matrix'!$B$2:$D$13,1,MATCH($B191,'MOA role matrix'!$B$1:$D$1,0))="Auto","Project initiator (auto), ","")IF(INDEX('MOA role matrix'!$B$2:$D$13,2,MATCH($B191,'MOA role matrix'!$B$1:$D$1,0))="Fill","MOA signers (client), ","")IF(INDEX('MOA role matrix'!$B$2:$D$13,2,MATCH($B191,'MOA role matrix'!$B$1:$D$1,0))="If finance","MOA signers (client) (if finance), ","")IF(INDEX('MOA role matrix'!$B$2:$D$13,2,MATCH($B191,'MOA role matrix'!$B$1:$D$1,0))="Auto","MOA signers (client) (auto), ","")IF(INDEX('MOA role matrix'!$B$2:$D$13,3,MATCH($B191,'MOA role matrix'!$B$1:$D$1,0))="Fill","CFO / Head of Finance, ","")IF(INDEX('MOA role matrix'!$B$2:$D$13,3,MATCH($B191,'MOA role matrix'!$B$1:$D$1,0))="If finance","CFO / Head of Finance (if finance), ","")IF(INDEX('MOA role matrix'!$B$2:$D$13,3,MATCH($B191,'MOA role matrix'!$B$1:$D$1,0))="Auto","CFO / Head of Finance (auto), ","")IF(INDEX('MOA role matrix'!$B$2:$D$13,4,MATCH($B191,'MOA role matrix'!$B$1:$D$1,0))="Fill","CEO / COO / GM, ","")IF(INDEX('MOA role matrix'!$B$2:$D$13,4,MATCH($B191,'MOA role matrix'!$B$1:$D$1,0))="If finance","CEO / COO / GM (if finance), ","")IF(INDEX('MOA role matrix'!$B$2:$D$13,4,MATCH($B191,'MOA role matrix'!$B$1:$D$1,0))="Auto","CEO / COO / GM (auto), ","")IF(INDEX('MOA role matrix'!$B$2:$D$13,5,MATCH($B191,'MOA role matrix'!$B$1:$D$1,0))="Fill","Board member 1, ","")IF(INDEX('MOA role matrix'!$B$2:$D$13,5,MATCH($B191,'MOA role matrix'!$B$1:$D$1,0))="If finance","Board member 1 (if finance), ","")IF(INDEX('MOA role matrix'!$B$2:$D$13,5,MATCH($B191,'MOA role matrix'!$B$1:$D$1,0))="Auto","Board member 1 (auto), ","")IF(INDEX('MOA role matrix'!$B$2:$D$13,6,MATCH($B191,'MOA role matrix'!$B$1:$D$1,0))="Fill","Board member 2, ","")IF(INDEX('MOA role matrix'!$B$2:$D$13,6,MATCH($B191,'MOA role matrix'!$B$1:$D$1,0))="If finance","Board member 2 (if finance), ","")IF(INDEX('MOA role matrix'!$B$2:$D$13,6,MATCH($B191,'MOA role matrix'!$B$1:$D$1,0))="Auto","Board member 2 (auto), ","")IF(INDEX('MOA role matrix'!$B$2:$D$13,7,MATCH($B191,'MOA role matrix'!$B$1:$D$1,0))="Fill","LOA holder 1, ","")IF(INDEX('MOA role matrix'!$B$2:$D$13,7,MATCH($B191,'MOA role matrix'!$B$1:$D$1,0))="If finance","LOA holder 1 (if finance), ","")IF(INDEX('MOA role matrix'!$B$2:$D$13,7,MATCH($B191,'MOA role matrix'!$B$1:$D$1,0))="Auto","LOA holder 1 (auto), ","")IF(INDEX('MOA role matrix'!$B$2:$D$13,8,MATCH($B191,'MOA role matrix'!$B$1:$D$1,0))="Fill","LOA holder 2, ","")IF(INDEX('MOA role matrix'!$B$2:$D$13,8,MATCH($B191,'MOA role matrix'!$B$1:$D$1,0))="If finance","LOA holder 2 (if finance), ","")IF(INDEX('MOA role matrix'!$B$2:$D$13,8,MATCH($B191,'MOA role matrix'!$B$1:$D$1,0))="Auto","LOA holder 2 (auto), ","")IF(INDEX('MOA role matrix'!$B$2:$D$13,9,MATCH($B191,'MOA role matrix'!$B$1:$D$1,0))="Fill","Senior Manager CoSec, ","")IF(INDEX('MOA role matrix'!$B$2:$D$13,9,MATCH($B191,'MOA role matrix'!$B$1:$D$1,0))="If finance","Senior Manager CoSec (if finance), ","")IF(INDEX('MOA role matrix'!$B$2:$D$13,9,MATCH($B191,'MOA role matrix'!$B$1:$D$1,0))="Auto","Senior Manager CoSec (auto), ","")IF(INDEX('MOA role matrix'!$B$2:$D$13,10,MATCH($B191,'MOA role matrix'!$B$1:$D$1,0))="Fill","Division MOI managers, ","")IF(INDEX('MOA role matrix'!$B$2:$D$13,10,MATCH($B191,'MOA role matrix'!$B$1:$D$1,0))="If finance","Division MOI managers (if finance), ","")IF(INDEX('MOA role matrix'!$B$2:$D$13,10,MATCH($B191,'MOA role matrix'!$B$1:$D$1,0))="Auto","Division MOI managers (auto), ","")IF(INDEX('MOA role matrix'!$B$2:$D$13,11,MATCH($B191,'MOA role matrix'!$B$1:$D$1,0))="Fill","Ms Teh (bank), ","")IF(INDEX('MOA role matrix'!$B$2:$D$13,11,MATCH($B191,'MOA role matrix'!$B$1:$D$1,0))="If finance","Ms Teh (bank) (if finance), ","")IF(INDEX('MOA role matrix'!$B$2:$D$13,11,MATCH($B191,'MOA role matrix'!$B$1:$D$1,0))="Auto","Ms Teh (bank) (auto), ","")IF(INDEX('MOA role matrix'!$B$2:$D$13,12,MATCH($B191,'MOA role matrix'!$B$1:$D$1,0))="Fill","DLCM, ","")IF(INDEX('MOA role matrix'!$B$2:$D$13,12,MATCH($B191,'MOA role matrix'!$B$1:$D$1,0))="If finance","DLCM (if finance), ","")IF(INDEX('MOA role matrix'!$B$2:$D$13,12,MATCH($B191,'MOA role matrix'!$B$1:$D$1,0))="Auto","DLCM (auto), ","")))</f>
        <v/>
      </c>
      <c r="D191" s="5">
        <f>IF($A191="","",IFERROR(INDEX(FILTER('Client contacts'!$B$2:$B$500,('Client contacts'!$A$2:$A$500=$A191)*('Client contacts'!$H$2:$H$500="Y"),""),1),""))</f>
        <v/>
      </c>
      <c r="E191" s="5">
        <f>IF($A191="","",IFERROR(INDEX(FILTER('Client contacts'!$C$2:$C$500,('Client contacts'!$A$2:$A$500=$A191)*('Client contacts'!$H$2:$H$500="Y"),""),1),""))</f>
        <v/>
      </c>
      <c r="F191" s="5">
        <f>IF($A191="","",IFERROR(INDEX(FILTER('Client contacts'!$B$2:$B$500,('Client contacts'!$A$2:$A$500=$A191)*('Client contacts'!$G$2:$G$500="Y"),""),1),""))</f>
        <v/>
      </c>
      <c r="G191" s="5">
        <f>IF($A191="","",IFERROR(INDEX(FILTER('Client contacts'!$C$2:$C$500,('Client contacts'!$A$2:$A$500=$A191)*('Client contacts'!$G$2:$G$500="Y"),""),1),""))</f>
        <v/>
      </c>
      <c r="H191" s="5">
        <f>IF($A191="","",IFERROR(INDEX(FILTER('Client contacts'!$B$2:$B$500,('Client contacts'!$A$2:$A$500=$A191)*('Client contacts'!$G$2:$G$500="Y"),""),2),""))</f>
        <v/>
      </c>
      <c r="I191" s="5">
        <f>IF($A191="","",IFERROR(INDEX(FILTER('Client contacts'!$C$2:$C$500,('Client contacts'!$A$2:$A$500=$A191)*('Client contacts'!$G$2:$G$500="Y"),""),2),""))</f>
        <v/>
      </c>
      <c r="J191" s="8" t="n"/>
      <c r="K191" s="8" t="n"/>
      <c r="L191" s="8" t="n"/>
      <c r="M191" s="8" t="n"/>
      <c r="N191" s="8" t="n"/>
      <c r="O191" s="8" t="n"/>
      <c r="P191" s="8" t="n"/>
      <c r="Q191" s="8" t="n"/>
      <c r="R191" s="5">
        <f>IF($A191="","",IFERROR(INDEX(Companies!$I$2:$I$500,MATCH($A191,Companies!$A$2:$A$500,0)),""))</f>
        <v/>
      </c>
      <c r="S191" s="8" t="n"/>
      <c r="T191" s="8" t="n"/>
      <c r="U191" s="8" t="n"/>
      <c r="V191" s="8" t="n"/>
      <c r="W191" s="8" t="n"/>
    </row>
    <row r="192">
      <c r="C192" s="5">
        <f>IF($B192="","",TRIM(IF(INDEX('MOA role matrix'!$B$2:$D$13,1,MATCH($B192,'MOA role matrix'!$B$1:$D$1,0))="Fill","Project initiator, ","")IF(INDEX('MOA role matrix'!$B$2:$D$13,1,MATCH($B192,'MOA role matrix'!$B$1:$D$1,0))="If finance","Project initiator (if finance), ","")IF(INDEX('MOA role matrix'!$B$2:$D$13,1,MATCH($B192,'MOA role matrix'!$B$1:$D$1,0))="Auto","Project initiator (auto), ","")IF(INDEX('MOA role matrix'!$B$2:$D$13,2,MATCH($B192,'MOA role matrix'!$B$1:$D$1,0))="Fill","MOA signers (client), ","")IF(INDEX('MOA role matrix'!$B$2:$D$13,2,MATCH($B192,'MOA role matrix'!$B$1:$D$1,0))="If finance","MOA signers (client) (if finance), ","")IF(INDEX('MOA role matrix'!$B$2:$D$13,2,MATCH($B192,'MOA role matrix'!$B$1:$D$1,0))="Auto","MOA signers (client) (auto), ","")IF(INDEX('MOA role matrix'!$B$2:$D$13,3,MATCH($B192,'MOA role matrix'!$B$1:$D$1,0))="Fill","CFO / Head of Finance, ","")IF(INDEX('MOA role matrix'!$B$2:$D$13,3,MATCH($B192,'MOA role matrix'!$B$1:$D$1,0))="If finance","CFO / Head of Finance (if finance), ","")IF(INDEX('MOA role matrix'!$B$2:$D$13,3,MATCH($B192,'MOA role matrix'!$B$1:$D$1,0))="Auto","CFO / Head of Finance (auto), ","")IF(INDEX('MOA role matrix'!$B$2:$D$13,4,MATCH($B192,'MOA role matrix'!$B$1:$D$1,0))="Fill","CEO / COO / GM, ","")IF(INDEX('MOA role matrix'!$B$2:$D$13,4,MATCH($B192,'MOA role matrix'!$B$1:$D$1,0))="If finance","CEO / COO / GM (if finance), ","")IF(INDEX('MOA role matrix'!$B$2:$D$13,4,MATCH($B192,'MOA role matrix'!$B$1:$D$1,0))="Auto","CEO / COO / GM (auto), ","")IF(INDEX('MOA role matrix'!$B$2:$D$13,5,MATCH($B192,'MOA role matrix'!$B$1:$D$1,0))="Fill","Board member 1, ","")IF(INDEX('MOA role matrix'!$B$2:$D$13,5,MATCH($B192,'MOA role matrix'!$B$1:$D$1,0))="If finance","Board member 1 (if finance), ","")IF(INDEX('MOA role matrix'!$B$2:$D$13,5,MATCH($B192,'MOA role matrix'!$B$1:$D$1,0))="Auto","Board member 1 (auto), ","")IF(INDEX('MOA role matrix'!$B$2:$D$13,6,MATCH($B192,'MOA role matrix'!$B$1:$D$1,0))="Fill","Board member 2, ","")IF(INDEX('MOA role matrix'!$B$2:$D$13,6,MATCH($B192,'MOA role matrix'!$B$1:$D$1,0))="If finance","Board member 2 (if finance), ","")IF(INDEX('MOA role matrix'!$B$2:$D$13,6,MATCH($B192,'MOA role matrix'!$B$1:$D$1,0))="Auto","Board member 2 (auto), ","")IF(INDEX('MOA role matrix'!$B$2:$D$13,7,MATCH($B192,'MOA role matrix'!$B$1:$D$1,0))="Fill","LOA holder 1, ","")IF(INDEX('MOA role matrix'!$B$2:$D$13,7,MATCH($B192,'MOA role matrix'!$B$1:$D$1,0))="If finance","LOA holder 1 (if finance), ","")IF(INDEX('MOA role matrix'!$B$2:$D$13,7,MATCH($B192,'MOA role matrix'!$B$1:$D$1,0))="Auto","LOA holder 1 (auto), ","")IF(INDEX('MOA role matrix'!$B$2:$D$13,8,MATCH($B192,'MOA role matrix'!$B$1:$D$1,0))="Fill","LOA holder 2, ","")IF(INDEX('MOA role matrix'!$B$2:$D$13,8,MATCH($B192,'MOA role matrix'!$B$1:$D$1,0))="If finance","LOA holder 2 (if finance), ","")IF(INDEX('MOA role matrix'!$B$2:$D$13,8,MATCH($B192,'MOA role matrix'!$B$1:$D$1,0))="Auto","LOA holder 2 (auto), ","")IF(INDEX('MOA role matrix'!$B$2:$D$13,9,MATCH($B192,'MOA role matrix'!$B$1:$D$1,0))="Fill","Senior Manager CoSec, ","")IF(INDEX('MOA role matrix'!$B$2:$D$13,9,MATCH($B192,'MOA role matrix'!$B$1:$D$1,0))="If finance","Senior Manager CoSec (if finance), ","")IF(INDEX('MOA role matrix'!$B$2:$D$13,9,MATCH($B192,'MOA role matrix'!$B$1:$D$1,0))="Auto","Senior Manager CoSec (auto), ","")IF(INDEX('MOA role matrix'!$B$2:$D$13,10,MATCH($B192,'MOA role matrix'!$B$1:$D$1,0))="Fill","Division MOI managers, ","")IF(INDEX('MOA role matrix'!$B$2:$D$13,10,MATCH($B192,'MOA role matrix'!$B$1:$D$1,0))="If finance","Division MOI managers (if finance), ","")IF(INDEX('MOA role matrix'!$B$2:$D$13,10,MATCH($B192,'MOA role matrix'!$B$1:$D$1,0))="Auto","Division MOI managers (auto), ","")IF(INDEX('MOA role matrix'!$B$2:$D$13,11,MATCH($B192,'MOA role matrix'!$B$1:$D$1,0))="Fill","Ms Teh (bank), ","")IF(INDEX('MOA role matrix'!$B$2:$D$13,11,MATCH($B192,'MOA role matrix'!$B$1:$D$1,0))="If finance","Ms Teh (bank) (if finance), ","")IF(INDEX('MOA role matrix'!$B$2:$D$13,11,MATCH($B192,'MOA role matrix'!$B$1:$D$1,0))="Auto","Ms Teh (bank) (auto), ","")IF(INDEX('MOA role matrix'!$B$2:$D$13,12,MATCH($B192,'MOA role matrix'!$B$1:$D$1,0))="Fill","DLCM, ","")IF(INDEX('MOA role matrix'!$B$2:$D$13,12,MATCH($B192,'MOA role matrix'!$B$1:$D$1,0))="If finance","DLCM (if finance), ","")IF(INDEX('MOA role matrix'!$B$2:$D$13,12,MATCH($B192,'MOA role matrix'!$B$1:$D$1,0))="Auto","DLCM (auto), ","")))</f>
        <v/>
      </c>
      <c r="D192" s="5">
        <f>IF($A192="","",IFERROR(INDEX(FILTER('Client contacts'!$B$2:$B$500,('Client contacts'!$A$2:$A$500=$A192)*('Client contacts'!$H$2:$H$500="Y"),""),1),""))</f>
        <v/>
      </c>
      <c r="E192" s="5">
        <f>IF($A192="","",IFERROR(INDEX(FILTER('Client contacts'!$C$2:$C$500,('Client contacts'!$A$2:$A$500=$A192)*('Client contacts'!$H$2:$H$500="Y"),""),1),""))</f>
        <v/>
      </c>
      <c r="F192" s="5">
        <f>IF($A192="","",IFERROR(INDEX(FILTER('Client contacts'!$B$2:$B$500,('Client contacts'!$A$2:$A$500=$A192)*('Client contacts'!$G$2:$G$500="Y"),""),1),""))</f>
        <v/>
      </c>
      <c r="G192" s="5">
        <f>IF($A192="","",IFERROR(INDEX(FILTER('Client contacts'!$C$2:$C$500,('Client contacts'!$A$2:$A$500=$A192)*('Client contacts'!$G$2:$G$500="Y"),""),1),""))</f>
        <v/>
      </c>
      <c r="H192" s="5">
        <f>IF($A192="","",IFERROR(INDEX(FILTER('Client contacts'!$B$2:$B$500,('Client contacts'!$A$2:$A$500=$A192)*('Client contacts'!$G$2:$G$500="Y"),""),2),""))</f>
        <v/>
      </c>
      <c r="I192" s="5">
        <f>IF($A192="","",IFERROR(INDEX(FILTER('Client contacts'!$C$2:$C$500,('Client contacts'!$A$2:$A$500=$A192)*('Client contacts'!$G$2:$G$500="Y"),""),2),""))</f>
        <v/>
      </c>
      <c r="J192" s="8" t="n"/>
      <c r="K192" s="8" t="n"/>
      <c r="L192" s="8" t="n"/>
      <c r="M192" s="8" t="n"/>
      <c r="N192" s="8" t="n"/>
      <c r="O192" s="8" t="n"/>
      <c r="P192" s="8" t="n"/>
      <c r="Q192" s="8" t="n"/>
      <c r="R192" s="5">
        <f>IF($A192="","",IFERROR(INDEX(Companies!$I$2:$I$500,MATCH($A192,Companies!$A$2:$A$500,0)),""))</f>
        <v/>
      </c>
      <c r="S192" s="8" t="n"/>
      <c r="T192" s="8" t="n"/>
      <c r="U192" s="8" t="n"/>
      <c r="V192" s="8" t="n"/>
      <c r="W192" s="8" t="n"/>
    </row>
    <row r="193">
      <c r="C193" s="5">
        <f>IF($B193="","",TRIM(IF(INDEX('MOA role matrix'!$B$2:$D$13,1,MATCH($B193,'MOA role matrix'!$B$1:$D$1,0))="Fill","Project initiator, ","")IF(INDEX('MOA role matrix'!$B$2:$D$13,1,MATCH($B193,'MOA role matrix'!$B$1:$D$1,0))="If finance","Project initiator (if finance), ","")IF(INDEX('MOA role matrix'!$B$2:$D$13,1,MATCH($B193,'MOA role matrix'!$B$1:$D$1,0))="Auto","Project initiator (auto), ","")IF(INDEX('MOA role matrix'!$B$2:$D$13,2,MATCH($B193,'MOA role matrix'!$B$1:$D$1,0))="Fill","MOA signers (client), ","")IF(INDEX('MOA role matrix'!$B$2:$D$13,2,MATCH($B193,'MOA role matrix'!$B$1:$D$1,0))="If finance","MOA signers (client) (if finance), ","")IF(INDEX('MOA role matrix'!$B$2:$D$13,2,MATCH($B193,'MOA role matrix'!$B$1:$D$1,0))="Auto","MOA signers (client) (auto), ","")IF(INDEX('MOA role matrix'!$B$2:$D$13,3,MATCH($B193,'MOA role matrix'!$B$1:$D$1,0))="Fill","CFO / Head of Finance, ","")IF(INDEX('MOA role matrix'!$B$2:$D$13,3,MATCH($B193,'MOA role matrix'!$B$1:$D$1,0))="If finance","CFO / Head of Finance (if finance), ","")IF(INDEX('MOA role matrix'!$B$2:$D$13,3,MATCH($B193,'MOA role matrix'!$B$1:$D$1,0))="Auto","CFO / Head of Finance (auto), ","")IF(INDEX('MOA role matrix'!$B$2:$D$13,4,MATCH($B193,'MOA role matrix'!$B$1:$D$1,0))="Fill","CEO / COO / GM, ","")IF(INDEX('MOA role matrix'!$B$2:$D$13,4,MATCH($B193,'MOA role matrix'!$B$1:$D$1,0))="If finance","CEO / COO / GM (if finance), ","")IF(INDEX('MOA role matrix'!$B$2:$D$13,4,MATCH($B193,'MOA role matrix'!$B$1:$D$1,0))="Auto","CEO / COO / GM (auto), ","")IF(INDEX('MOA role matrix'!$B$2:$D$13,5,MATCH($B193,'MOA role matrix'!$B$1:$D$1,0))="Fill","Board member 1, ","")IF(INDEX('MOA role matrix'!$B$2:$D$13,5,MATCH($B193,'MOA role matrix'!$B$1:$D$1,0))="If finance","Board member 1 (if finance), ","")IF(INDEX('MOA role matrix'!$B$2:$D$13,5,MATCH($B193,'MOA role matrix'!$B$1:$D$1,0))="Auto","Board member 1 (auto), ","")IF(INDEX('MOA role matrix'!$B$2:$D$13,6,MATCH($B193,'MOA role matrix'!$B$1:$D$1,0))="Fill","Board member 2, ","")IF(INDEX('MOA role matrix'!$B$2:$D$13,6,MATCH($B193,'MOA role matrix'!$B$1:$D$1,0))="If finance","Board member 2 (if finance), ","")IF(INDEX('MOA role matrix'!$B$2:$D$13,6,MATCH($B193,'MOA role matrix'!$B$1:$D$1,0))="Auto","Board member 2 (auto), ","")IF(INDEX('MOA role matrix'!$B$2:$D$13,7,MATCH($B193,'MOA role matrix'!$B$1:$D$1,0))="Fill","LOA holder 1, ","")IF(INDEX('MOA role matrix'!$B$2:$D$13,7,MATCH($B193,'MOA role matrix'!$B$1:$D$1,0))="If finance","LOA holder 1 (if finance), ","")IF(INDEX('MOA role matrix'!$B$2:$D$13,7,MATCH($B193,'MOA role matrix'!$B$1:$D$1,0))="Auto","LOA holder 1 (auto), ","")IF(INDEX('MOA role matrix'!$B$2:$D$13,8,MATCH($B193,'MOA role matrix'!$B$1:$D$1,0))="Fill","LOA holder 2, ","")IF(INDEX('MOA role matrix'!$B$2:$D$13,8,MATCH($B193,'MOA role matrix'!$B$1:$D$1,0))="If finance","LOA holder 2 (if finance), ","")IF(INDEX('MOA role matrix'!$B$2:$D$13,8,MATCH($B193,'MOA role matrix'!$B$1:$D$1,0))="Auto","LOA holder 2 (auto), ","")IF(INDEX('MOA role matrix'!$B$2:$D$13,9,MATCH($B193,'MOA role matrix'!$B$1:$D$1,0))="Fill","Senior Manager CoSec, ","")IF(INDEX('MOA role matrix'!$B$2:$D$13,9,MATCH($B193,'MOA role matrix'!$B$1:$D$1,0))="If finance","Senior Manager CoSec (if finance), ","")IF(INDEX('MOA role matrix'!$B$2:$D$13,9,MATCH($B193,'MOA role matrix'!$B$1:$D$1,0))="Auto","Senior Manager CoSec (auto), ","")IF(INDEX('MOA role matrix'!$B$2:$D$13,10,MATCH($B193,'MOA role matrix'!$B$1:$D$1,0))="Fill","Division MOI managers, ","")IF(INDEX('MOA role matrix'!$B$2:$D$13,10,MATCH($B193,'MOA role matrix'!$B$1:$D$1,0))="If finance","Division MOI managers (if finance), ","")IF(INDEX('MOA role matrix'!$B$2:$D$13,10,MATCH($B193,'MOA role matrix'!$B$1:$D$1,0))="Auto","Division MOI managers (auto), ","")IF(INDEX('MOA role matrix'!$B$2:$D$13,11,MATCH($B193,'MOA role matrix'!$B$1:$D$1,0))="Fill","Ms Teh (bank), ","")IF(INDEX('MOA role matrix'!$B$2:$D$13,11,MATCH($B193,'MOA role matrix'!$B$1:$D$1,0))="If finance","Ms Teh (bank) (if finance), ","")IF(INDEX('MOA role matrix'!$B$2:$D$13,11,MATCH($B193,'MOA role matrix'!$B$1:$D$1,0))="Auto","Ms Teh (bank) (auto), ","")IF(INDEX('MOA role matrix'!$B$2:$D$13,12,MATCH($B193,'MOA role matrix'!$B$1:$D$1,0))="Fill","DLCM, ","")IF(INDEX('MOA role matrix'!$B$2:$D$13,12,MATCH($B193,'MOA role matrix'!$B$1:$D$1,0))="If finance","DLCM (if finance), ","")IF(INDEX('MOA role matrix'!$B$2:$D$13,12,MATCH($B193,'MOA role matrix'!$B$1:$D$1,0))="Auto","DLCM (auto), ","")))</f>
        <v/>
      </c>
      <c r="D193" s="5">
        <f>IF($A193="","",IFERROR(INDEX(FILTER('Client contacts'!$B$2:$B$500,('Client contacts'!$A$2:$A$500=$A193)*('Client contacts'!$H$2:$H$500="Y"),""),1),""))</f>
        <v/>
      </c>
      <c r="E193" s="5">
        <f>IF($A193="","",IFERROR(INDEX(FILTER('Client contacts'!$C$2:$C$500,('Client contacts'!$A$2:$A$500=$A193)*('Client contacts'!$H$2:$H$500="Y"),""),1),""))</f>
        <v/>
      </c>
      <c r="F193" s="5">
        <f>IF($A193="","",IFERROR(INDEX(FILTER('Client contacts'!$B$2:$B$500,('Client contacts'!$A$2:$A$500=$A193)*('Client contacts'!$G$2:$G$500="Y"),""),1),""))</f>
        <v/>
      </c>
      <c r="G193" s="5">
        <f>IF($A193="","",IFERROR(INDEX(FILTER('Client contacts'!$C$2:$C$500,('Client contacts'!$A$2:$A$500=$A193)*('Client contacts'!$G$2:$G$500="Y"),""),1),""))</f>
        <v/>
      </c>
      <c r="H193" s="5">
        <f>IF($A193="","",IFERROR(INDEX(FILTER('Client contacts'!$B$2:$B$500,('Client contacts'!$A$2:$A$500=$A193)*('Client contacts'!$G$2:$G$500="Y"),""),2),""))</f>
        <v/>
      </c>
      <c r="I193" s="5">
        <f>IF($A193="","",IFERROR(INDEX(FILTER('Client contacts'!$C$2:$C$500,('Client contacts'!$A$2:$A$500=$A193)*('Client contacts'!$G$2:$G$500="Y"),""),2),""))</f>
        <v/>
      </c>
      <c r="J193" s="8" t="n"/>
      <c r="K193" s="8" t="n"/>
      <c r="L193" s="8" t="n"/>
      <c r="M193" s="8" t="n"/>
      <c r="N193" s="8" t="n"/>
      <c r="O193" s="8" t="n"/>
      <c r="P193" s="8" t="n"/>
      <c r="Q193" s="8" t="n"/>
      <c r="R193" s="5">
        <f>IF($A193="","",IFERROR(INDEX(Companies!$I$2:$I$500,MATCH($A193,Companies!$A$2:$A$500,0)),""))</f>
        <v/>
      </c>
      <c r="S193" s="8" t="n"/>
      <c r="T193" s="8" t="n"/>
      <c r="U193" s="8" t="n"/>
      <c r="V193" s="8" t="n"/>
      <c r="W193" s="8" t="n"/>
    </row>
    <row r="194">
      <c r="C194" s="5">
        <f>IF($B194="","",TRIM(IF(INDEX('MOA role matrix'!$B$2:$D$13,1,MATCH($B194,'MOA role matrix'!$B$1:$D$1,0))="Fill","Project initiator, ","")IF(INDEX('MOA role matrix'!$B$2:$D$13,1,MATCH($B194,'MOA role matrix'!$B$1:$D$1,0))="If finance","Project initiator (if finance), ","")IF(INDEX('MOA role matrix'!$B$2:$D$13,1,MATCH($B194,'MOA role matrix'!$B$1:$D$1,0))="Auto","Project initiator (auto), ","")IF(INDEX('MOA role matrix'!$B$2:$D$13,2,MATCH($B194,'MOA role matrix'!$B$1:$D$1,0))="Fill","MOA signers (client), ","")IF(INDEX('MOA role matrix'!$B$2:$D$13,2,MATCH($B194,'MOA role matrix'!$B$1:$D$1,0))="If finance","MOA signers (client) (if finance), ","")IF(INDEX('MOA role matrix'!$B$2:$D$13,2,MATCH($B194,'MOA role matrix'!$B$1:$D$1,0))="Auto","MOA signers (client) (auto), ","")IF(INDEX('MOA role matrix'!$B$2:$D$13,3,MATCH($B194,'MOA role matrix'!$B$1:$D$1,0))="Fill","CFO / Head of Finance, ","")IF(INDEX('MOA role matrix'!$B$2:$D$13,3,MATCH($B194,'MOA role matrix'!$B$1:$D$1,0))="If finance","CFO / Head of Finance (if finance), ","")IF(INDEX('MOA role matrix'!$B$2:$D$13,3,MATCH($B194,'MOA role matrix'!$B$1:$D$1,0))="Auto","CFO / Head of Finance (auto), ","")IF(INDEX('MOA role matrix'!$B$2:$D$13,4,MATCH($B194,'MOA role matrix'!$B$1:$D$1,0))="Fill","CEO / COO / GM, ","")IF(INDEX('MOA role matrix'!$B$2:$D$13,4,MATCH($B194,'MOA role matrix'!$B$1:$D$1,0))="If finance","CEO / COO / GM (if finance), ","")IF(INDEX('MOA role matrix'!$B$2:$D$13,4,MATCH($B194,'MOA role matrix'!$B$1:$D$1,0))="Auto","CEO / COO / GM (auto), ","")IF(INDEX('MOA role matrix'!$B$2:$D$13,5,MATCH($B194,'MOA role matrix'!$B$1:$D$1,0))="Fill","Board member 1, ","")IF(INDEX('MOA role matrix'!$B$2:$D$13,5,MATCH($B194,'MOA role matrix'!$B$1:$D$1,0))="If finance","Board member 1 (if finance), ","")IF(INDEX('MOA role matrix'!$B$2:$D$13,5,MATCH($B194,'MOA role matrix'!$B$1:$D$1,0))="Auto","Board member 1 (auto), ","")IF(INDEX('MOA role matrix'!$B$2:$D$13,6,MATCH($B194,'MOA role matrix'!$B$1:$D$1,0))="Fill","Board member 2, ","")IF(INDEX('MOA role matrix'!$B$2:$D$13,6,MATCH($B194,'MOA role matrix'!$B$1:$D$1,0))="If finance","Board member 2 (if finance), ","")IF(INDEX('MOA role matrix'!$B$2:$D$13,6,MATCH($B194,'MOA role matrix'!$B$1:$D$1,0))="Auto","Board member 2 (auto), ","")IF(INDEX('MOA role matrix'!$B$2:$D$13,7,MATCH($B194,'MOA role matrix'!$B$1:$D$1,0))="Fill","LOA holder 1, ","")IF(INDEX('MOA role matrix'!$B$2:$D$13,7,MATCH($B194,'MOA role matrix'!$B$1:$D$1,0))="If finance","LOA holder 1 (if finance), ","")IF(INDEX('MOA role matrix'!$B$2:$D$13,7,MATCH($B194,'MOA role matrix'!$B$1:$D$1,0))="Auto","LOA holder 1 (auto), ","")IF(INDEX('MOA role matrix'!$B$2:$D$13,8,MATCH($B194,'MOA role matrix'!$B$1:$D$1,0))="Fill","LOA holder 2, ","")IF(INDEX('MOA role matrix'!$B$2:$D$13,8,MATCH($B194,'MOA role matrix'!$B$1:$D$1,0))="If finance","LOA holder 2 (if finance), ","")IF(INDEX('MOA role matrix'!$B$2:$D$13,8,MATCH($B194,'MOA role matrix'!$B$1:$D$1,0))="Auto","LOA holder 2 (auto), ","")IF(INDEX('MOA role matrix'!$B$2:$D$13,9,MATCH($B194,'MOA role matrix'!$B$1:$D$1,0))="Fill","Senior Manager CoSec, ","")IF(INDEX('MOA role matrix'!$B$2:$D$13,9,MATCH($B194,'MOA role matrix'!$B$1:$D$1,0))="If finance","Senior Manager CoSec (if finance), ","")IF(INDEX('MOA role matrix'!$B$2:$D$13,9,MATCH($B194,'MOA role matrix'!$B$1:$D$1,0))="Auto","Senior Manager CoSec (auto), ","")IF(INDEX('MOA role matrix'!$B$2:$D$13,10,MATCH($B194,'MOA role matrix'!$B$1:$D$1,0))="Fill","Division MOI managers, ","")IF(INDEX('MOA role matrix'!$B$2:$D$13,10,MATCH($B194,'MOA role matrix'!$B$1:$D$1,0))="If finance","Division MOI managers (if finance), ","")IF(INDEX('MOA role matrix'!$B$2:$D$13,10,MATCH($B194,'MOA role matrix'!$B$1:$D$1,0))="Auto","Division MOI managers (auto), ","")IF(INDEX('MOA role matrix'!$B$2:$D$13,11,MATCH($B194,'MOA role matrix'!$B$1:$D$1,0))="Fill","Ms Teh (bank), ","")IF(INDEX('MOA role matrix'!$B$2:$D$13,11,MATCH($B194,'MOA role matrix'!$B$1:$D$1,0))="If finance","Ms Teh (bank) (if finance), ","")IF(INDEX('MOA role matrix'!$B$2:$D$13,11,MATCH($B194,'MOA role matrix'!$B$1:$D$1,0))="Auto","Ms Teh (bank) (auto), ","")IF(INDEX('MOA role matrix'!$B$2:$D$13,12,MATCH($B194,'MOA role matrix'!$B$1:$D$1,0))="Fill","DLCM, ","")IF(INDEX('MOA role matrix'!$B$2:$D$13,12,MATCH($B194,'MOA role matrix'!$B$1:$D$1,0))="If finance","DLCM (if finance), ","")IF(INDEX('MOA role matrix'!$B$2:$D$13,12,MATCH($B194,'MOA role matrix'!$B$1:$D$1,0))="Auto","DLCM (auto), ","")))</f>
        <v/>
      </c>
      <c r="D194" s="5">
        <f>IF($A194="","",IFERROR(INDEX(FILTER('Client contacts'!$B$2:$B$500,('Client contacts'!$A$2:$A$500=$A194)*('Client contacts'!$H$2:$H$500="Y"),""),1),""))</f>
        <v/>
      </c>
      <c r="E194" s="5">
        <f>IF($A194="","",IFERROR(INDEX(FILTER('Client contacts'!$C$2:$C$500,('Client contacts'!$A$2:$A$500=$A194)*('Client contacts'!$H$2:$H$500="Y"),""),1),""))</f>
        <v/>
      </c>
      <c r="F194" s="5">
        <f>IF($A194="","",IFERROR(INDEX(FILTER('Client contacts'!$B$2:$B$500,('Client contacts'!$A$2:$A$500=$A194)*('Client contacts'!$G$2:$G$500="Y"),""),1),""))</f>
        <v/>
      </c>
      <c r="G194" s="5">
        <f>IF($A194="","",IFERROR(INDEX(FILTER('Client contacts'!$C$2:$C$500,('Client contacts'!$A$2:$A$500=$A194)*('Client contacts'!$G$2:$G$500="Y"),""),1),""))</f>
        <v/>
      </c>
      <c r="H194" s="5">
        <f>IF($A194="","",IFERROR(INDEX(FILTER('Client contacts'!$B$2:$B$500,('Client contacts'!$A$2:$A$500=$A194)*('Client contacts'!$G$2:$G$500="Y"),""),2),""))</f>
        <v/>
      </c>
      <c r="I194" s="5">
        <f>IF($A194="","",IFERROR(INDEX(FILTER('Client contacts'!$C$2:$C$500,('Client contacts'!$A$2:$A$500=$A194)*('Client contacts'!$G$2:$G$500="Y"),""),2),""))</f>
        <v/>
      </c>
      <c r="J194" s="8" t="n"/>
      <c r="K194" s="8" t="n"/>
      <c r="L194" s="8" t="n"/>
      <c r="M194" s="8" t="n"/>
      <c r="N194" s="8" t="n"/>
      <c r="O194" s="8" t="n"/>
      <c r="P194" s="8" t="n"/>
      <c r="Q194" s="8" t="n"/>
      <c r="R194" s="5">
        <f>IF($A194="","",IFERROR(INDEX(Companies!$I$2:$I$500,MATCH($A194,Companies!$A$2:$A$500,0)),""))</f>
        <v/>
      </c>
      <c r="S194" s="8" t="n"/>
      <c r="T194" s="8" t="n"/>
      <c r="U194" s="8" t="n"/>
      <c r="V194" s="8" t="n"/>
      <c r="W194" s="8" t="n"/>
    </row>
    <row r="195">
      <c r="C195" s="5">
        <f>IF($B195="","",TRIM(IF(INDEX('MOA role matrix'!$B$2:$D$13,1,MATCH($B195,'MOA role matrix'!$B$1:$D$1,0))="Fill","Project initiator, ","")IF(INDEX('MOA role matrix'!$B$2:$D$13,1,MATCH($B195,'MOA role matrix'!$B$1:$D$1,0))="If finance","Project initiator (if finance), ","")IF(INDEX('MOA role matrix'!$B$2:$D$13,1,MATCH($B195,'MOA role matrix'!$B$1:$D$1,0))="Auto","Project initiator (auto), ","")IF(INDEX('MOA role matrix'!$B$2:$D$13,2,MATCH($B195,'MOA role matrix'!$B$1:$D$1,0))="Fill","MOA signers (client), ","")IF(INDEX('MOA role matrix'!$B$2:$D$13,2,MATCH($B195,'MOA role matrix'!$B$1:$D$1,0))="If finance","MOA signers (client) (if finance), ","")IF(INDEX('MOA role matrix'!$B$2:$D$13,2,MATCH($B195,'MOA role matrix'!$B$1:$D$1,0))="Auto","MOA signers (client) (auto), ","")IF(INDEX('MOA role matrix'!$B$2:$D$13,3,MATCH($B195,'MOA role matrix'!$B$1:$D$1,0))="Fill","CFO / Head of Finance, ","")IF(INDEX('MOA role matrix'!$B$2:$D$13,3,MATCH($B195,'MOA role matrix'!$B$1:$D$1,0))="If finance","CFO / Head of Finance (if finance), ","")IF(INDEX('MOA role matrix'!$B$2:$D$13,3,MATCH($B195,'MOA role matrix'!$B$1:$D$1,0))="Auto","CFO / Head of Finance (auto), ","")IF(INDEX('MOA role matrix'!$B$2:$D$13,4,MATCH($B195,'MOA role matrix'!$B$1:$D$1,0))="Fill","CEO / COO / GM, ","")IF(INDEX('MOA role matrix'!$B$2:$D$13,4,MATCH($B195,'MOA role matrix'!$B$1:$D$1,0))="If finance","CEO / COO / GM (if finance), ","")IF(INDEX('MOA role matrix'!$B$2:$D$13,4,MATCH($B195,'MOA role matrix'!$B$1:$D$1,0))="Auto","CEO / COO / GM (auto), ","")IF(INDEX('MOA role matrix'!$B$2:$D$13,5,MATCH($B195,'MOA role matrix'!$B$1:$D$1,0))="Fill","Board member 1, ","")IF(INDEX('MOA role matrix'!$B$2:$D$13,5,MATCH($B195,'MOA role matrix'!$B$1:$D$1,0))="If finance","Board member 1 (if finance), ","")IF(INDEX('MOA role matrix'!$B$2:$D$13,5,MATCH($B195,'MOA role matrix'!$B$1:$D$1,0))="Auto","Board member 1 (auto), ","")IF(INDEX('MOA role matrix'!$B$2:$D$13,6,MATCH($B195,'MOA role matrix'!$B$1:$D$1,0))="Fill","Board member 2, ","")IF(INDEX('MOA role matrix'!$B$2:$D$13,6,MATCH($B195,'MOA role matrix'!$B$1:$D$1,0))="If finance","Board member 2 (if finance), ","")IF(INDEX('MOA role matrix'!$B$2:$D$13,6,MATCH($B195,'MOA role matrix'!$B$1:$D$1,0))="Auto","Board member 2 (auto), ","")IF(INDEX('MOA role matrix'!$B$2:$D$13,7,MATCH($B195,'MOA role matrix'!$B$1:$D$1,0))="Fill","LOA holder 1, ","")IF(INDEX('MOA role matrix'!$B$2:$D$13,7,MATCH($B195,'MOA role matrix'!$B$1:$D$1,0))="If finance","LOA holder 1 (if finance), ","")IF(INDEX('MOA role matrix'!$B$2:$D$13,7,MATCH($B195,'MOA role matrix'!$B$1:$D$1,0))="Auto","LOA holder 1 (auto), ","")IF(INDEX('MOA role matrix'!$B$2:$D$13,8,MATCH($B195,'MOA role matrix'!$B$1:$D$1,0))="Fill","LOA holder 2, ","")IF(INDEX('MOA role matrix'!$B$2:$D$13,8,MATCH($B195,'MOA role matrix'!$B$1:$D$1,0))="If finance","LOA holder 2 (if finance), ","")IF(INDEX('MOA role matrix'!$B$2:$D$13,8,MATCH($B195,'MOA role matrix'!$B$1:$D$1,0))="Auto","LOA holder 2 (auto), ","")IF(INDEX('MOA role matrix'!$B$2:$D$13,9,MATCH($B195,'MOA role matrix'!$B$1:$D$1,0))="Fill","Senior Manager CoSec, ","")IF(INDEX('MOA role matrix'!$B$2:$D$13,9,MATCH($B195,'MOA role matrix'!$B$1:$D$1,0))="If finance","Senior Manager CoSec (if finance), ","")IF(INDEX('MOA role matrix'!$B$2:$D$13,9,MATCH($B195,'MOA role matrix'!$B$1:$D$1,0))="Auto","Senior Manager CoSec (auto), ","")IF(INDEX('MOA role matrix'!$B$2:$D$13,10,MATCH($B195,'MOA role matrix'!$B$1:$D$1,0))="Fill","Division MOI managers, ","")IF(INDEX('MOA role matrix'!$B$2:$D$13,10,MATCH($B195,'MOA role matrix'!$B$1:$D$1,0))="If finance","Division MOI managers (if finance), ","")IF(INDEX('MOA role matrix'!$B$2:$D$13,10,MATCH($B195,'MOA role matrix'!$B$1:$D$1,0))="Auto","Division MOI managers (auto), ","")IF(INDEX('MOA role matrix'!$B$2:$D$13,11,MATCH($B195,'MOA role matrix'!$B$1:$D$1,0))="Fill","Ms Teh (bank), ","")IF(INDEX('MOA role matrix'!$B$2:$D$13,11,MATCH($B195,'MOA role matrix'!$B$1:$D$1,0))="If finance","Ms Teh (bank) (if finance), ","")IF(INDEX('MOA role matrix'!$B$2:$D$13,11,MATCH($B195,'MOA role matrix'!$B$1:$D$1,0))="Auto","Ms Teh (bank) (auto), ","")IF(INDEX('MOA role matrix'!$B$2:$D$13,12,MATCH($B195,'MOA role matrix'!$B$1:$D$1,0))="Fill","DLCM, ","")IF(INDEX('MOA role matrix'!$B$2:$D$13,12,MATCH($B195,'MOA role matrix'!$B$1:$D$1,0))="If finance","DLCM (if finance), ","")IF(INDEX('MOA role matrix'!$B$2:$D$13,12,MATCH($B195,'MOA role matrix'!$B$1:$D$1,0))="Auto","DLCM (auto), ","")))</f>
        <v/>
      </c>
      <c r="D195" s="5">
        <f>IF($A195="","",IFERROR(INDEX(FILTER('Client contacts'!$B$2:$B$500,('Client contacts'!$A$2:$A$500=$A195)*('Client contacts'!$H$2:$H$500="Y"),""),1),""))</f>
        <v/>
      </c>
      <c r="E195" s="5">
        <f>IF($A195="","",IFERROR(INDEX(FILTER('Client contacts'!$C$2:$C$500,('Client contacts'!$A$2:$A$500=$A195)*('Client contacts'!$H$2:$H$500="Y"),""),1),""))</f>
        <v/>
      </c>
      <c r="F195" s="5">
        <f>IF($A195="","",IFERROR(INDEX(FILTER('Client contacts'!$B$2:$B$500,('Client contacts'!$A$2:$A$500=$A195)*('Client contacts'!$G$2:$G$500="Y"),""),1),""))</f>
        <v/>
      </c>
      <c r="G195" s="5">
        <f>IF($A195="","",IFERROR(INDEX(FILTER('Client contacts'!$C$2:$C$500,('Client contacts'!$A$2:$A$500=$A195)*('Client contacts'!$G$2:$G$500="Y"),""),1),""))</f>
        <v/>
      </c>
      <c r="H195" s="5">
        <f>IF($A195="","",IFERROR(INDEX(FILTER('Client contacts'!$B$2:$B$500,('Client contacts'!$A$2:$A$500=$A195)*('Client contacts'!$G$2:$G$500="Y"),""),2),""))</f>
        <v/>
      </c>
      <c r="I195" s="5">
        <f>IF($A195="","",IFERROR(INDEX(FILTER('Client contacts'!$C$2:$C$500,('Client contacts'!$A$2:$A$500=$A195)*('Client contacts'!$G$2:$G$500="Y"),""),2),""))</f>
        <v/>
      </c>
      <c r="J195" s="8" t="n"/>
      <c r="K195" s="8" t="n"/>
      <c r="L195" s="8" t="n"/>
      <c r="M195" s="8" t="n"/>
      <c r="N195" s="8" t="n"/>
      <c r="O195" s="8" t="n"/>
      <c r="P195" s="8" t="n"/>
      <c r="Q195" s="8" t="n"/>
      <c r="R195" s="5">
        <f>IF($A195="","",IFERROR(INDEX(Companies!$I$2:$I$500,MATCH($A195,Companies!$A$2:$A$500,0)),""))</f>
        <v/>
      </c>
      <c r="S195" s="8" t="n"/>
      <c r="T195" s="8" t="n"/>
      <c r="U195" s="8" t="n"/>
      <c r="V195" s="8" t="n"/>
      <c r="W195" s="8" t="n"/>
    </row>
    <row r="196">
      <c r="C196" s="5">
        <f>IF($B196="","",TRIM(IF(INDEX('MOA role matrix'!$B$2:$D$13,1,MATCH($B196,'MOA role matrix'!$B$1:$D$1,0))="Fill","Project initiator, ","")IF(INDEX('MOA role matrix'!$B$2:$D$13,1,MATCH($B196,'MOA role matrix'!$B$1:$D$1,0))="If finance","Project initiator (if finance), ","")IF(INDEX('MOA role matrix'!$B$2:$D$13,1,MATCH($B196,'MOA role matrix'!$B$1:$D$1,0))="Auto","Project initiator (auto), ","")IF(INDEX('MOA role matrix'!$B$2:$D$13,2,MATCH($B196,'MOA role matrix'!$B$1:$D$1,0))="Fill","MOA signers (client), ","")IF(INDEX('MOA role matrix'!$B$2:$D$13,2,MATCH($B196,'MOA role matrix'!$B$1:$D$1,0))="If finance","MOA signers (client) (if finance), ","")IF(INDEX('MOA role matrix'!$B$2:$D$13,2,MATCH($B196,'MOA role matrix'!$B$1:$D$1,0))="Auto","MOA signers (client) (auto), ","")IF(INDEX('MOA role matrix'!$B$2:$D$13,3,MATCH($B196,'MOA role matrix'!$B$1:$D$1,0))="Fill","CFO / Head of Finance, ","")IF(INDEX('MOA role matrix'!$B$2:$D$13,3,MATCH($B196,'MOA role matrix'!$B$1:$D$1,0))="If finance","CFO / Head of Finance (if finance), ","")IF(INDEX('MOA role matrix'!$B$2:$D$13,3,MATCH($B196,'MOA role matrix'!$B$1:$D$1,0))="Auto","CFO / Head of Finance (auto), ","")IF(INDEX('MOA role matrix'!$B$2:$D$13,4,MATCH($B196,'MOA role matrix'!$B$1:$D$1,0))="Fill","CEO / COO / GM, ","")IF(INDEX('MOA role matrix'!$B$2:$D$13,4,MATCH($B196,'MOA role matrix'!$B$1:$D$1,0))="If finance","CEO / COO / GM (if finance), ","")IF(INDEX('MOA role matrix'!$B$2:$D$13,4,MATCH($B196,'MOA role matrix'!$B$1:$D$1,0))="Auto","CEO / COO / GM (auto), ","")IF(INDEX('MOA role matrix'!$B$2:$D$13,5,MATCH($B196,'MOA role matrix'!$B$1:$D$1,0))="Fill","Board member 1, ","")IF(INDEX('MOA role matrix'!$B$2:$D$13,5,MATCH($B196,'MOA role matrix'!$B$1:$D$1,0))="If finance","Board member 1 (if finance), ","")IF(INDEX('MOA role matrix'!$B$2:$D$13,5,MATCH($B196,'MOA role matrix'!$B$1:$D$1,0))="Auto","Board member 1 (auto), ","")IF(INDEX('MOA role matrix'!$B$2:$D$13,6,MATCH($B196,'MOA role matrix'!$B$1:$D$1,0))="Fill","Board member 2, ","")IF(INDEX('MOA role matrix'!$B$2:$D$13,6,MATCH($B196,'MOA role matrix'!$B$1:$D$1,0))="If finance","Board member 2 (if finance), ","")IF(INDEX('MOA role matrix'!$B$2:$D$13,6,MATCH($B196,'MOA role matrix'!$B$1:$D$1,0))="Auto","Board member 2 (auto), ","")IF(INDEX('MOA role matrix'!$B$2:$D$13,7,MATCH($B196,'MOA role matrix'!$B$1:$D$1,0))="Fill","LOA holder 1, ","")IF(INDEX('MOA role matrix'!$B$2:$D$13,7,MATCH($B196,'MOA role matrix'!$B$1:$D$1,0))="If finance","LOA holder 1 (if finance), ","")IF(INDEX('MOA role matrix'!$B$2:$D$13,7,MATCH($B196,'MOA role matrix'!$B$1:$D$1,0))="Auto","LOA holder 1 (auto), ","")IF(INDEX('MOA role matrix'!$B$2:$D$13,8,MATCH($B196,'MOA role matrix'!$B$1:$D$1,0))="Fill","LOA holder 2, ","")IF(INDEX('MOA role matrix'!$B$2:$D$13,8,MATCH($B196,'MOA role matrix'!$B$1:$D$1,0))="If finance","LOA holder 2 (if finance), ","")IF(INDEX('MOA role matrix'!$B$2:$D$13,8,MATCH($B196,'MOA role matrix'!$B$1:$D$1,0))="Auto","LOA holder 2 (auto), ","")IF(INDEX('MOA role matrix'!$B$2:$D$13,9,MATCH($B196,'MOA role matrix'!$B$1:$D$1,0))="Fill","Senior Manager CoSec, ","")IF(INDEX('MOA role matrix'!$B$2:$D$13,9,MATCH($B196,'MOA role matrix'!$B$1:$D$1,0))="If finance","Senior Manager CoSec (if finance), ","")IF(INDEX('MOA role matrix'!$B$2:$D$13,9,MATCH($B196,'MOA role matrix'!$B$1:$D$1,0))="Auto","Senior Manager CoSec (auto), ","")IF(INDEX('MOA role matrix'!$B$2:$D$13,10,MATCH($B196,'MOA role matrix'!$B$1:$D$1,0))="Fill","Division MOI managers, ","")IF(INDEX('MOA role matrix'!$B$2:$D$13,10,MATCH($B196,'MOA role matrix'!$B$1:$D$1,0))="If finance","Division MOI managers (if finance), ","")IF(INDEX('MOA role matrix'!$B$2:$D$13,10,MATCH($B196,'MOA role matrix'!$B$1:$D$1,0))="Auto","Division MOI managers (auto), ","")IF(INDEX('MOA role matrix'!$B$2:$D$13,11,MATCH($B196,'MOA role matrix'!$B$1:$D$1,0))="Fill","Ms Teh (bank), ","")IF(INDEX('MOA role matrix'!$B$2:$D$13,11,MATCH($B196,'MOA role matrix'!$B$1:$D$1,0))="If finance","Ms Teh (bank) (if finance), ","")IF(INDEX('MOA role matrix'!$B$2:$D$13,11,MATCH($B196,'MOA role matrix'!$B$1:$D$1,0))="Auto","Ms Teh (bank) (auto), ","")IF(INDEX('MOA role matrix'!$B$2:$D$13,12,MATCH($B196,'MOA role matrix'!$B$1:$D$1,0))="Fill","DLCM, ","")IF(INDEX('MOA role matrix'!$B$2:$D$13,12,MATCH($B196,'MOA role matrix'!$B$1:$D$1,0))="If finance","DLCM (if finance), ","")IF(INDEX('MOA role matrix'!$B$2:$D$13,12,MATCH($B196,'MOA role matrix'!$B$1:$D$1,0))="Auto","DLCM (auto), ","")))</f>
        <v/>
      </c>
      <c r="D196" s="5">
        <f>IF($A196="","",IFERROR(INDEX(FILTER('Client contacts'!$B$2:$B$500,('Client contacts'!$A$2:$A$500=$A196)*('Client contacts'!$H$2:$H$500="Y"),""),1),""))</f>
        <v/>
      </c>
      <c r="E196" s="5">
        <f>IF($A196="","",IFERROR(INDEX(FILTER('Client contacts'!$C$2:$C$500,('Client contacts'!$A$2:$A$500=$A196)*('Client contacts'!$H$2:$H$500="Y"),""),1),""))</f>
        <v/>
      </c>
      <c r="F196" s="5">
        <f>IF($A196="","",IFERROR(INDEX(FILTER('Client contacts'!$B$2:$B$500,('Client contacts'!$A$2:$A$500=$A196)*('Client contacts'!$G$2:$G$500="Y"),""),1),""))</f>
        <v/>
      </c>
      <c r="G196" s="5">
        <f>IF($A196="","",IFERROR(INDEX(FILTER('Client contacts'!$C$2:$C$500,('Client contacts'!$A$2:$A$500=$A196)*('Client contacts'!$G$2:$G$500="Y"),""),1),""))</f>
        <v/>
      </c>
      <c r="H196" s="5">
        <f>IF($A196="","",IFERROR(INDEX(FILTER('Client contacts'!$B$2:$B$500,('Client contacts'!$A$2:$A$500=$A196)*('Client contacts'!$G$2:$G$500="Y"),""),2),""))</f>
        <v/>
      </c>
      <c r="I196" s="5">
        <f>IF($A196="","",IFERROR(INDEX(FILTER('Client contacts'!$C$2:$C$500,('Client contacts'!$A$2:$A$500=$A196)*('Client contacts'!$G$2:$G$500="Y"),""),2),""))</f>
        <v/>
      </c>
      <c r="J196" s="8" t="n"/>
      <c r="K196" s="8" t="n"/>
      <c r="L196" s="8" t="n"/>
      <c r="M196" s="8" t="n"/>
      <c r="N196" s="8" t="n"/>
      <c r="O196" s="8" t="n"/>
      <c r="P196" s="8" t="n"/>
      <c r="Q196" s="8" t="n"/>
      <c r="R196" s="5">
        <f>IF($A196="","",IFERROR(INDEX(Companies!$I$2:$I$500,MATCH($A196,Companies!$A$2:$A$500,0)),""))</f>
        <v/>
      </c>
      <c r="S196" s="8" t="n"/>
      <c r="T196" s="8" t="n"/>
      <c r="U196" s="8" t="n"/>
      <c r="V196" s="8" t="n"/>
      <c r="W196" s="8" t="n"/>
    </row>
    <row r="197">
      <c r="C197" s="5">
        <f>IF($B197="","",TRIM(IF(INDEX('MOA role matrix'!$B$2:$D$13,1,MATCH($B197,'MOA role matrix'!$B$1:$D$1,0))="Fill","Project initiator, ","")IF(INDEX('MOA role matrix'!$B$2:$D$13,1,MATCH($B197,'MOA role matrix'!$B$1:$D$1,0))="If finance","Project initiator (if finance), ","")IF(INDEX('MOA role matrix'!$B$2:$D$13,1,MATCH($B197,'MOA role matrix'!$B$1:$D$1,0))="Auto","Project initiator (auto), ","")IF(INDEX('MOA role matrix'!$B$2:$D$13,2,MATCH($B197,'MOA role matrix'!$B$1:$D$1,0))="Fill","MOA signers (client), ","")IF(INDEX('MOA role matrix'!$B$2:$D$13,2,MATCH($B197,'MOA role matrix'!$B$1:$D$1,0))="If finance","MOA signers (client) (if finance), ","")IF(INDEX('MOA role matrix'!$B$2:$D$13,2,MATCH($B197,'MOA role matrix'!$B$1:$D$1,0))="Auto","MOA signers (client) (auto), ","")IF(INDEX('MOA role matrix'!$B$2:$D$13,3,MATCH($B197,'MOA role matrix'!$B$1:$D$1,0))="Fill","CFO / Head of Finance, ","")IF(INDEX('MOA role matrix'!$B$2:$D$13,3,MATCH($B197,'MOA role matrix'!$B$1:$D$1,0))="If finance","CFO / Head of Finance (if finance), ","")IF(INDEX('MOA role matrix'!$B$2:$D$13,3,MATCH($B197,'MOA role matrix'!$B$1:$D$1,0))="Auto","CFO / Head of Finance (auto), ","")IF(INDEX('MOA role matrix'!$B$2:$D$13,4,MATCH($B197,'MOA role matrix'!$B$1:$D$1,0))="Fill","CEO / COO / GM, ","")IF(INDEX('MOA role matrix'!$B$2:$D$13,4,MATCH($B197,'MOA role matrix'!$B$1:$D$1,0))="If finance","CEO / COO / GM (if finance), ","")IF(INDEX('MOA role matrix'!$B$2:$D$13,4,MATCH($B197,'MOA role matrix'!$B$1:$D$1,0))="Auto","CEO / COO / GM (auto), ","")IF(INDEX('MOA role matrix'!$B$2:$D$13,5,MATCH($B197,'MOA role matrix'!$B$1:$D$1,0))="Fill","Board member 1, ","")IF(INDEX('MOA role matrix'!$B$2:$D$13,5,MATCH($B197,'MOA role matrix'!$B$1:$D$1,0))="If finance","Board member 1 (if finance), ","")IF(INDEX('MOA role matrix'!$B$2:$D$13,5,MATCH($B197,'MOA role matrix'!$B$1:$D$1,0))="Auto","Board member 1 (auto), ","")IF(INDEX('MOA role matrix'!$B$2:$D$13,6,MATCH($B197,'MOA role matrix'!$B$1:$D$1,0))="Fill","Board member 2, ","")IF(INDEX('MOA role matrix'!$B$2:$D$13,6,MATCH($B197,'MOA role matrix'!$B$1:$D$1,0))="If finance","Board member 2 (if finance), ","")IF(INDEX('MOA role matrix'!$B$2:$D$13,6,MATCH($B197,'MOA role matrix'!$B$1:$D$1,0))="Auto","Board member 2 (auto), ","")IF(INDEX('MOA role matrix'!$B$2:$D$13,7,MATCH($B197,'MOA role matrix'!$B$1:$D$1,0))="Fill","LOA holder 1, ","")IF(INDEX('MOA role matrix'!$B$2:$D$13,7,MATCH($B197,'MOA role matrix'!$B$1:$D$1,0))="If finance","LOA holder 1 (if finance), ","")IF(INDEX('MOA role matrix'!$B$2:$D$13,7,MATCH($B197,'MOA role matrix'!$B$1:$D$1,0))="Auto","LOA holder 1 (auto), ","")IF(INDEX('MOA role matrix'!$B$2:$D$13,8,MATCH($B197,'MOA role matrix'!$B$1:$D$1,0))="Fill","LOA holder 2, ","")IF(INDEX('MOA role matrix'!$B$2:$D$13,8,MATCH($B197,'MOA role matrix'!$B$1:$D$1,0))="If finance","LOA holder 2 (if finance), ","")IF(INDEX('MOA role matrix'!$B$2:$D$13,8,MATCH($B197,'MOA role matrix'!$B$1:$D$1,0))="Auto","LOA holder 2 (auto), ","")IF(INDEX('MOA role matrix'!$B$2:$D$13,9,MATCH($B197,'MOA role matrix'!$B$1:$D$1,0))="Fill","Senior Manager CoSec, ","")IF(INDEX('MOA role matrix'!$B$2:$D$13,9,MATCH($B197,'MOA role matrix'!$B$1:$D$1,0))="If finance","Senior Manager CoSec (if finance), ","")IF(INDEX('MOA role matrix'!$B$2:$D$13,9,MATCH($B197,'MOA role matrix'!$B$1:$D$1,0))="Auto","Senior Manager CoSec (auto), ","")IF(INDEX('MOA role matrix'!$B$2:$D$13,10,MATCH($B197,'MOA role matrix'!$B$1:$D$1,0))="Fill","Division MOI managers, ","")IF(INDEX('MOA role matrix'!$B$2:$D$13,10,MATCH($B197,'MOA role matrix'!$B$1:$D$1,0))="If finance","Division MOI managers (if finance), ","")IF(INDEX('MOA role matrix'!$B$2:$D$13,10,MATCH($B197,'MOA role matrix'!$B$1:$D$1,0))="Auto","Division MOI managers (auto), ","")IF(INDEX('MOA role matrix'!$B$2:$D$13,11,MATCH($B197,'MOA role matrix'!$B$1:$D$1,0))="Fill","Ms Teh (bank), ","")IF(INDEX('MOA role matrix'!$B$2:$D$13,11,MATCH($B197,'MOA role matrix'!$B$1:$D$1,0))="If finance","Ms Teh (bank) (if finance), ","")IF(INDEX('MOA role matrix'!$B$2:$D$13,11,MATCH($B197,'MOA role matrix'!$B$1:$D$1,0))="Auto","Ms Teh (bank) (auto), ","")IF(INDEX('MOA role matrix'!$B$2:$D$13,12,MATCH($B197,'MOA role matrix'!$B$1:$D$1,0))="Fill","DLCM, ","")IF(INDEX('MOA role matrix'!$B$2:$D$13,12,MATCH($B197,'MOA role matrix'!$B$1:$D$1,0))="If finance","DLCM (if finance), ","")IF(INDEX('MOA role matrix'!$B$2:$D$13,12,MATCH($B197,'MOA role matrix'!$B$1:$D$1,0))="Auto","DLCM (auto), ","")))</f>
        <v/>
      </c>
      <c r="D197" s="5">
        <f>IF($A197="","",IFERROR(INDEX(FILTER('Client contacts'!$B$2:$B$500,('Client contacts'!$A$2:$A$500=$A197)*('Client contacts'!$H$2:$H$500="Y"),""),1),""))</f>
        <v/>
      </c>
      <c r="E197" s="5">
        <f>IF($A197="","",IFERROR(INDEX(FILTER('Client contacts'!$C$2:$C$500,('Client contacts'!$A$2:$A$500=$A197)*('Client contacts'!$H$2:$H$500="Y"),""),1),""))</f>
        <v/>
      </c>
      <c r="F197" s="5">
        <f>IF($A197="","",IFERROR(INDEX(FILTER('Client contacts'!$B$2:$B$500,('Client contacts'!$A$2:$A$500=$A197)*('Client contacts'!$G$2:$G$500="Y"),""),1),""))</f>
        <v/>
      </c>
      <c r="G197" s="5">
        <f>IF($A197="","",IFERROR(INDEX(FILTER('Client contacts'!$C$2:$C$500,('Client contacts'!$A$2:$A$500=$A197)*('Client contacts'!$G$2:$G$500="Y"),""),1),""))</f>
        <v/>
      </c>
      <c r="H197" s="5">
        <f>IF($A197="","",IFERROR(INDEX(FILTER('Client contacts'!$B$2:$B$500,('Client contacts'!$A$2:$A$500=$A197)*('Client contacts'!$G$2:$G$500="Y"),""),2),""))</f>
        <v/>
      </c>
      <c r="I197" s="5">
        <f>IF($A197="","",IFERROR(INDEX(FILTER('Client contacts'!$C$2:$C$500,('Client contacts'!$A$2:$A$500=$A197)*('Client contacts'!$G$2:$G$500="Y"),""),2),""))</f>
        <v/>
      </c>
      <c r="J197" s="8" t="n"/>
      <c r="K197" s="8" t="n"/>
      <c r="L197" s="8" t="n"/>
      <c r="M197" s="8" t="n"/>
      <c r="N197" s="8" t="n"/>
      <c r="O197" s="8" t="n"/>
      <c r="P197" s="8" t="n"/>
      <c r="Q197" s="8" t="n"/>
      <c r="R197" s="5">
        <f>IF($A197="","",IFERROR(INDEX(Companies!$I$2:$I$500,MATCH($A197,Companies!$A$2:$A$500,0)),""))</f>
        <v/>
      </c>
      <c r="S197" s="8" t="n"/>
      <c r="T197" s="8" t="n"/>
      <c r="U197" s="8" t="n"/>
      <c r="V197" s="8" t="n"/>
      <c r="W197" s="8" t="n"/>
    </row>
    <row r="198">
      <c r="C198" s="5">
        <f>IF($B198="","",TRIM(IF(INDEX('MOA role matrix'!$B$2:$D$13,1,MATCH($B198,'MOA role matrix'!$B$1:$D$1,0))="Fill","Project initiator, ","")IF(INDEX('MOA role matrix'!$B$2:$D$13,1,MATCH($B198,'MOA role matrix'!$B$1:$D$1,0))="If finance","Project initiator (if finance), ","")IF(INDEX('MOA role matrix'!$B$2:$D$13,1,MATCH($B198,'MOA role matrix'!$B$1:$D$1,0))="Auto","Project initiator (auto), ","")IF(INDEX('MOA role matrix'!$B$2:$D$13,2,MATCH($B198,'MOA role matrix'!$B$1:$D$1,0))="Fill","MOA signers (client), ","")IF(INDEX('MOA role matrix'!$B$2:$D$13,2,MATCH($B198,'MOA role matrix'!$B$1:$D$1,0))="If finance","MOA signers (client) (if finance), ","")IF(INDEX('MOA role matrix'!$B$2:$D$13,2,MATCH($B198,'MOA role matrix'!$B$1:$D$1,0))="Auto","MOA signers (client) (auto), ","")IF(INDEX('MOA role matrix'!$B$2:$D$13,3,MATCH($B198,'MOA role matrix'!$B$1:$D$1,0))="Fill","CFO / Head of Finance, ","")IF(INDEX('MOA role matrix'!$B$2:$D$13,3,MATCH($B198,'MOA role matrix'!$B$1:$D$1,0))="If finance","CFO / Head of Finance (if finance), ","")IF(INDEX('MOA role matrix'!$B$2:$D$13,3,MATCH($B198,'MOA role matrix'!$B$1:$D$1,0))="Auto","CFO / Head of Finance (auto), ","")IF(INDEX('MOA role matrix'!$B$2:$D$13,4,MATCH($B198,'MOA role matrix'!$B$1:$D$1,0))="Fill","CEO / COO / GM, ","")IF(INDEX('MOA role matrix'!$B$2:$D$13,4,MATCH($B198,'MOA role matrix'!$B$1:$D$1,0))="If finance","CEO / COO / GM (if finance), ","")IF(INDEX('MOA role matrix'!$B$2:$D$13,4,MATCH($B198,'MOA role matrix'!$B$1:$D$1,0))="Auto","CEO / COO / GM (auto), ","")IF(INDEX('MOA role matrix'!$B$2:$D$13,5,MATCH($B198,'MOA role matrix'!$B$1:$D$1,0))="Fill","Board member 1, ","")IF(INDEX('MOA role matrix'!$B$2:$D$13,5,MATCH($B198,'MOA role matrix'!$B$1:$D$1,0))="If finance","Board member 1 (if finance), ","")IF(INDEX('MOA role matrix'!$B$2:$D$13,5,MATCH($B198,'MOA role matrix'!$B$1:$D$1,0))="Auto","Board member 1 (auto), ","")IF(INDEX('MOA role matrix'!$B$2:$D$13,6,MATCH($B198,'MOA role matrix'!$B$1:$D$1,0))="Fill","Board member 2, ","")IF(INDEX('MOA role matrix'!$B$2:$D$13,6,MATCH($B198,'MOA role matrix'!$B$1:$D$1,0))="If finance","Board member 2 (if finance), ","")IF(INDEX('MOA role matrix'!$B$2:$D$13,6,MATCH($B198,'MOA role matrix'!$B$1:$D$1,0))="Auto","Board member 2 (auto), ","")IF(INDEX('MOA role matrix'!$B$2:$D$13,7,MATCH($B198,'MOA role matrix'!$B$1:$D$1,0))="Fill","LOA holder 1, ","")IF(INDEX('MOA role matrix'!$B$2:$D$13,7,MATCH($B198,'MOA role matrix'!$B$1:$D$1,0))="If finance","LOA holder 1 (if finance), ","")IF(INDEX('MOA role matrix'!$B$2:$D$13,7,MATCH($B198,'MOA role matrix'!$B$1:$D$1,0))="Auto","LOA holder 1 (auto), ","")IF(INDEX('MOA role matrix'!$B$2:$D$13,8,MATCH($B198,'MOA role matrix'!$B$1:$D$1,0))="Fill","LOA holder 2, ","")IF(INDEX('MOA role matrix'!$B$2:$D$13,8,MATCH($B198,'MOA role matrix'!$B$1:$D$1,0))="If finance","LOA holder 2 (if finance), ","")IF(INDEX('MOA role matrix'!$B$2:$D$13,8,MATCH($B198,'MOA role matrix'!$B$1:$D$1,0))="Auto","LOA holder 2 (auto), ","")IF(INDEX('MOA role matrix'!$B$2:$D$13,9,MATCH($B198,'MOA role matrix'!$B$1:$D$1,0))="Fill","Senior Manager CoSec, ","")IF(INDEX('MOA role matrix'!$B$2:$D$13,9,MATCH($B198,'MOA role matrix'!$B$1:$D$1,0))="If finance","Senior Manager CoSec (if finance), ","")IF(INDEX('MOA role matrix'!$B$2:$D$13,9,MATCH($B198,'MOA role matrix'!$B$1:$D$1,0))="Auto","Senior Manager CoSec (auto), ","")IF(INDEX('MOA role matrix'!$B$2:$D$13,10,MATCH($B198,'MOA role matrix'!$B$1:$D$1,0))="Fill","Division MOI managers, ","")IF(INDEX('MOA role matrix'!$B$2:$D$13,10,MATCH($B198,'MOA role matrix'!$B$1:$D$1,0))="If finance","Division MOI managers (if finance), ","")IF(INDEX('MOA role matrix'!$B$2:$D$13,10,MATCH($B198,'MOA role matrix'!$B$1:$D$1,0))="Auto","Division MOI managers (auto), ","")IF(INDEX('MOA role matrix'!$B$2:$D$13,11,MATCH($B198,'MOA role matrix'!$B$1:$D$1,0))="Fill","Ms Teh (bank), ","")IF(INDEX('MOA role matrix'!$B$2:$D$13,11,MATCH($B198,'MOA role matrix'!$B$1:$D$1,0))="If finance","Ms Teh (bank) (if finance), ","")IF(INDEX('MOA role matrix'!$B$2:$D$13,11,MATCH($B198,'MOA role matrix'!$B$1:$D$1,0))="Auto","Ms Teh (bank) (auto), ","")IF(INDEX('MOA role matrix'!$B$2:$D$13,12,MATCH($B198,'MOA role matrix'!$B$1:$D$1,0))="Fill","DLCM, ","")IF(INDEX('MOA role matrix'!$B$2:$D$13,12,MATCH($B198,'MOA role matrix'!$B$1:$D$1,0))="If finance","DLCM (if finance), ","")IF(INDEX('MOA role matrix'!$B$2:$D$13,12,MATCH($B198,'MOA role matrix'!$B$1:$D$1,0))="Auto","DLCM (auto), ","")))</f>
        <v/>
      </c>
      <c r="D198" s="5">
        <f>IF($A198="","",IFERROR(INDEX(FILTER('Client contacts'!$B$2:$B$500,('Client contacts'!$A$2:$A$500=$A198)*('Client contacts'!$H$2:$H$500="Y"),""),1),""))</f>
        <v/>
      </c>
      <c r="E198" s="5">
        <f>IF($A198="","",IFERROR(INDEX(FILTER('Client contacts'!$C$2:$C$500,('Client contacts'!$A$2:$A$500=$A198)*('Client contacts'!$H$2:$H$500="Y"),""),1),""))</f>
        <v/>
      </c>
      <c r="F198" s="5">
        <f>IF($A198="","",IFERROR(INDEX(FILTER('Client contacts'!$B$2:$B$500,('Client contacts'!$A$2:$A$500=$A198)*('Client contacts'!$G$2:$G$500="Y"),""),1),""))</f>
        <v/>
      </c>
      <c r="G198" s="5">
        <f>IF($A198="","",IFERROR(INDEX(FILTER('Client contacts'!$C$2:$C$500,('Client contacts'!$A$2:$A$500=$A198)*('Client contacts'!$G$2:$G$500="Y"),""),1),""))</f>
        <v/>
      </c>
      <c r="H198" s="5">
        <f>IF($A198="","",IFERROR(INDEX(FILTER('Client contacts'!$B$2:$B$500,('Client contacts'!$A$2:$A$500=$A198)*('Client contacts'!$G$2:$G$500="Y"),""),2),""))</f>
        <v/>
      </c>
      <c r="I198" s="5">
        <f>IF($A198="","",IFERROR(INDEX(FILTER('Client contacts'!$C$2:$C$500,('Client contacts'!$A$2:$A$500=$A198)*('Client contacts'!$G$2:$G$500="Y"),""),2),""))</f>
        <v/>
      </c>
      <c r="J198" s="8" t="n"/>
      <c r="K198" s="8" t="n"/>
      <c r="L198" s="8" t="n"/>
      <c r="M198" s="8" t="n"/>
      <c r="N198" s="8" t="n"/>
      <c r="O198" s="8" t="n"/>
      <c r="P198" s="8" t="n"/>
      <c r="Q198" s="8" t="n"/>
      <c r="R198" s="5">
        <f>IF($A198="","",IFERROR(INDEX(Companies!$I$2:$I$500,MATCH($A198,Companies!$A$2:$A$500,0)),""))</f>
        <v/>
      </c>
      <c r="S198" s="8" t="n"/>
      <c r="T198" s="8" t="n"/>
      <c r="U198" s="8" t="n"/>
      <c r="V198" s="8" t="n"/>
      <c r="W198" s="8" t="n"/>
    </row>
    <row r="199">
      <c r="C199" s="5">
        <f>IF($B199="","",TRIM(IF(INDEX('MOA role matrix'!$B$2:$D$13,1,MATCH($B199,'MOA role matrix'!$B$1:$D$1,0))="Fill","Project initiator, ","")IF(INDEX('MOA role matrix'!$B$2:$D$13,1,MATCH($B199,'MOA role matrix'!$B$1:$D$1,0))="If finance","Project initiator (if finance), ","")IF(INDEX('MOA role matrix'!$B$2:$D$13,1,MATCH($B199,'MOA role matrix'!$B$1:$D$1,0))="Auto","Project initiator (auto), ","")IF(INDEX('MOA role matrix'!$B$2:$D$13,2,MATCH($B199,'MOA role matrix'!$B$1:$D$1,0))="Fill","MOA signers (client), ","")IF(INDEX('MOA role matrix'!$B$2:$D$13,2,MATCH($B199,'MOA role matrix'!$B$1:$D$1,0))="If finance","MOA signers (client) (if finance), ","")IF(INDEX('MOA role matrix'!$B$2:$D$13,2,MATCH($B199,'MOA role matrix'!$B$1:$D$1,0))="Auto","MOA signers (client) (auto), ","")IF(INDEX('MOA role matrix'!$B$2:$D$13,3,MATCH($B199,'MOA role matrix'!$B$1:$D$1,0))="Fill","CFO / Head of Finance, ","")IF(INDEX('MOA role matrix'!$B$2:$D$13,3,MATCH($B199,'MOA role matrix'!$B$1:$D$1,0))="If finance","CFO / Head of Finance (if finance), ","")IF(INDEX('MOA role matrix'!$B$2:$D$13,3,MATCH($B199,'MOA role matrix'!$B$1:$D$1,0))="Auto","CFO / Head of Finance (auto), ","")IF(INDEX('MOA role matrix'!$B$2:$D$13,4,MATCH($B199,'MOA role matrix'!$B$1:$D$1,0))="Fill","CEO / COO / GM, ","")IF(INDEX('MOA role matrix'!$B$2:$D$13,4,MATCH($B199,'MOA role matrix'!$B$1:$D$1,0))="If finance","CEO / COO / GM (if finance), ","")IF(INDEX('MOA role matrix'!$B$2:$D$13,4,MATCH($B199,'MOA role matrix'!$B$1:$D$1,0))="Auto","CEO / COO / GM (auto), ","")IF(INDEX('MOA role matrix'!$B$2:$D$13,5,MATCH($B199,'MOA role matrix'!$B$1:$D$1,0))="Fill","Board member 1, ","")IF(INDEX('MOA role matrix'!$B$2:$D$13,5,MATCH($B199,'MOA role matrix'!$B$1:$D$1,0))="If finance","Board member 1 (if finance), ","")IF(INDEX('MOA role matrix'!$B$2:$D$13,5,MATCH($B199,'MOA role matrix'!$B$1:$D$1,0))="Auto","Board member 1 (auto), ","")IF(INDEX('MOA role matrix'!$B$2:$D$13,6,MATCH($B199,'MOA role matrix'!$B$1:$D$1,0))="Fill","Board member 2, ","")IF(INDEX('MOA role matrix'!$B$2:$D$13,6,MATCH($B199,'MOA role matrix'!$B$1:$D$1,0))="If finance","Board member 2 (if finance), ","")IF(INDEX('MOA role matrix'!$B$2:$D$13,6,MATCH($B199,'MOA role matrix'!$B$1:$D$1,0))="Auto","Board member 2 (auto), ","")IF(INDEX('MOA role matrix'!$B$2:$D$13,7,MATCH($B199,'MOA role matrix'!$B$1:$D$1,0))="Fill","LOA holder 1, ","")IF(INDEX('MOA role matrix'!$B$2:$D$13,7,MATCH($B199,'MOA role matrix'!$B$1:$D$1,0))="If finance","LOA holder 1 (if finance), ","")IF(INDEX('MOA role matrix'!$B$2:$D$13,7,MATCH($B199,'MOA role matrix'!$B$1:$D$1,0))="Auto","LOA holder 1 (auto), ","")IF(INDEX('MOA role matrix'!$B$2:$D$13,8,MATCH($B199,'MOA role matrix'!$B$1:$D$1,0))="Fill","LOA holder 2, ","")IF(INDEX('MOA role matrix'!$B$2:$D$13,8,MATCH($B199,'MOA role matrix'!$B$1:$D$1,0))="If finance","LOA holder 2 (if finance), ","")IF(INDEX('MOA role matrix'!$B$2:$D$13,8,MATCH($B199,'MOA role matrix'!$B$1:$D$1,0))="Auto","LOA holder 2 (auto), ","")IF(INDEX('MOA role matrix'!$B$2:$D$13,9,MATCH($B199,'MOA role matrix'!$B$1:$D$1,0))="Fill","Senior Manager CoSec, ","")IF(INDEX('MOA role matrix'!$B$2:$D$13,9,MATCH($B199,'MOA role matrix'!$B$1:$D$1,0))="If finance","Senior Manager CoSec (if finance), ","")IF(INDEX('MOA role matrix'!$B$2:$D$13,9,MATCH($B199,'MOA role matrix'!$B$1:$D$1,0))="Auto","Senior Manager CoSec (auto), ","")IF(INDEX('MOA role matrix'!$B$2:$D$13,10,MATCH($B199,'MOA role matrix'!$B$1:$D$1,0))="Fill","Division MOI managers, ","")IF(INDEX('MOA role matrix'!$B$2:$D$13,10,MATCH($B199,'MOA role matrix'!$B$1:$D$1,0))="If finance","Division MOI managers (if finance), ","")IF(INDEX('MOA role matrix'!$B$2:$D$13,10,MATCH($B199,'MOA role matrix'!$B$1:$D$1,0))="Auto","Division MOI managers (auto), ","")IF(INDEX('MOA role matrix'!$B$2:$D$13,11,MATCH($B199,'MOA role matrix'!$B$1:$D$1,0))="Fill","Ms Teh (bank), ","")IF(INDEX('MOA role matrix'!$B$2:$D$13,11,MATCH($B199,'MOA role matrix'!$B$1:$D$1,0))="If finance","Ms Teh (bank) (if finance), ","")IF(INDEX('MOA role matrix'!$B$2:$D$13,11,MATCH($B199,'MOA role matrix'!$B$1:$D$1,0))="Auto","Ms Teh (bank) (auto), ","")IF(INDEX('MOA role matrix'!$B$2:$D$13,12,MATCH($B199,'MOA role matrix'!$B$1:$D$1,0))="Fill","DLCM, ","")IF(INDEX('MOA role matrix'!$B$2:$D$13,12,MATCH($B199,'MOA role matrix'!$B$1:$D$1,0))="If finance","DLCM (if finance), ","")IF(INDEX('MOA role matrix'!$B$2:$D$13,12,MATCH($B199,'MOA role matrix'!$B$1:$D$1,0))="Auto","DLCM (auto), ","")))</f>
        <v/>
      </c>
      <c r="D199" s="5">
        <f>IF($A199="","",IFERROR(INDEX(FILTER('Client contacts'!$B$2:$B$500,('Client contacts'!$A$2:$A$500=$A199)*('Client contacts'!$H$2:$H$500="Y"),""),1),""))</f>
        <v/>
      </c>
      <c r="E199" s="5">
        <f>IF($A199="","",IFERROR(INDEX(FILTER('Client contacts'!$C$2:$C$500,('Client contacts'!$A$2:$A$500=$A199)*('Client contacts'!$H$2:$H$500="Y"),""),1),""))</f>
        <v/>
      </c>
      <c r="F199" s="5">
        <f>IF($A199="","",IFERROR(INDEX(FILTER('Client contacts'!$B$2:$B$500,('Client contacts'!$A$2:$A$500=$A199)*('Client contacts'!$G$2:$G$500="Y"),""),1),""))</f>
        <v/>
      </c>
      <c r="G199" s="5">
        <f>IF($A199="","",IFERROR(INDEX(FILTER('Client contacts'!$C$2:$C$500,('Client contacts'!$A$2:$A$500=$A199)*('Client contacts'!$G$2:$G$500="Y"),""),1),""))</f>
        <v/>
      </c>
      <c r="H199" s="5">
        <f>IF($A199="","",IFERROR(INDEX(FILTER('Client contacts'!$B$2:$B$500,('Client contacts'!$A$2:$A$500=$A199)*('Client contacts'!$G$2:$G$500="Y"),""),2),""))</f>
        <v/>
      </c>
      <c r="I199" s="5">
        <f>IF($A199="","",IFERROR(INDEX(FILTER('Client contacts'!$C$2:$C$500,('Client contacts'!$A$2:$A$500=$A199)*('Client contacts'!$G$2:$G$500="Y"),""),2),""))</f>
        <v/>
      </c>
      <c r="J199" s="8" t="n"/>
      <c r="K199" s="8" t="n"/>
      <c r="L199" s="8" t="n"/>
      <c r="M199" s="8" t="n"/>
      <c r="N199" s="8" t="n"/>
      <c r="O199" s="8" t="n"/>
      <c r="P199" s="8" t="n"/>
      <c r="Q199" s="8" t="n"/>
      <c r="R199" s="5">
        <f>IF($A199="","",IFERROR(INDEX(Companies!$I$2:$I$500,MATCH($A199,Companies!$A$2:$A$500,0)),""))</f>
        <v/>
      </c>
      <c r="S199" s="8" t="n"/>
      <c r="T199" s="8" t="n"/>
      <c r="U199" s="8" t="n"/>
      <c r="V199" s="8" t="n"/>
      <c r="W199" s="8" t="n"/>
    </row>
    <row r="200">
      <c r="C200" s="5">
        <f>IF($B200="","",TRIM(IF(INDEX('MOA role matrix'!$B$2:$D$13,1,MATCH($B200,'MOA role matrix'!$B$1:$D$1,0))="Fill","Project initiator, ","")IF(INDEX('MOA role matrix'!$B$2:$D$13,1,MATCH($B200,'MOA role matrix'!$B$1:$D$1,0))="If finance","Project initiator (if finance), ","")IF(INDEX('MOA role matrix'!$B$2:$D$13,1,MATCH($B200,'MOA role matrix'!$B$1:$D$1,0))="Auto","Project initiator (auto), ","")IF(INDEX('MOA role matrix'!$B$2:$D$13,2,MATCH($B200,'MOA role matrix'!$B$1:$D$1,0))="Fill","MOA signers (client), ","")IF(INDEX('MOA role matrix'!$B$2:$D$13,2,MATCH($B200,'MOA role matrix'!$B$1:$D$1,0))="If finance","MOA signers (client) (if finance), ","")IF(INDEX('MOA role matrix'!$B$2:$D$13,2,MATCH($B200,'MOA role matrix'!$B$1:$D$1,0))="Auto","MOA signers (client) (auto), ","")IF(INDEX('MOA role matrix'!$B$2:$D$13,3,MATCH($B200,'MOA role matrix'!$B$1:$D$1,0))="Fill","CFO / Head of Finance, ","")IF(INDEX('MOA role matrix'!$B$2:$D$13,3,MATCH($B200,'MOA role matrix'!$B$1:$D$1,0))="If finance","CFO / Head of Finance (if finance), ","")IF(INDEX('MOA role matrix'!$B$2:$D$13,3,MATCH($B200,'MOA role matrix'!$B$1:$D$1,0))="Auto","CFO / Head of Finance (auto), ","")IF(INDEX('MOA role matrix'!$B$2:$D$13,4,MATCH($B200,'MOA role matrix'!$B$1:$D$1,0))="Fill","CEO / COO / GM, ","")IF(INDEX('MOA role matrix'!$B$2:$D$13,4,MATCH($B200,'MOA role matrix'!$B$1:$D$1,0))="If finance","CEO / COO / GM (if finance), ","")IF(INDEX('MOA role matrix'!$B$2:$D$13,4,MATCH($B200,'MOA role matrix'!$B$1:$D$1,0))="Auto","CEO / COO / GM (auto), ","")IF(INDEX('MOA role matrix'!$B$2:$D$13,5,MATCH($B200,'MOA role matrix'!$B$1:$D$1,0))="Fill","Board member 1, ","")IF(INDEX('MOA role matrix'!$B$2:$D$13,5,MATCH($B200,'MOA role matrix'!$B$1:$D$1,0))="If finance","Board member 1 (if finance), ","")IF(INDEX('MOA role matrix'!$B$2:$D$13,5,MATCH($B200,'MOA role matrix'!$B$1:$D$1,0))="Auto","Board member 1 (auto), ","")IF(INDEX('MOA role matrix'!$B$2:$D$13,6,MATCH($B200,'MOA role matrix'!$B$1:$D$1,0))="Fill","Board member 2, ","")IF(INDEX('MOA role matrix'!$B$2:$D$13,6,MATCH($B200,'MOA role matrix'!$B$1:$D$1,0))="If finance","Board member 2 (if finance), ","")IF(INDEX('MOA role matrix'!$B$2:$D$13,6,MATCH($B200,'MOA role matrix'!$B$1:$D$1,0))="Auto","Board member 2 (auto), ","")IF(INDEX('MOA role matrix'!$B$2:$D$13,7,MATCH($B200,'MOA role matrix'!$B$1:$D$1,0))="Fill","LOA holder 1, ","")IF(INDEX('MOA role matrix'!$B$2:$D$13,7,MATCH($B200,'MOA role matrix'!$B$1:$D$1,0))="If finance","LOA holder 1 (if finance), ","")IF(INDEX('MOA role matrix'!$B$2:$D$13,7,MATCH($B200,'MOA role matrix'!$B$1:$D$1,0))="Auto","LOA holder 1 (auto), ","")IF(INDEX('MOA role matrix'!$B$2:$D$13,8,MATCH($B200,'MOA role matrix'!$B$1:$D$1,0))="Fill","LOA holder 2, ","")IF(INDEX('MOA role matrix'!$B$2:$D$13,8,MATCH($B200,'MOA role matrix'!$B$1:$D$1,0))="If finance","LOA holder 2 (if finance), ","")IF(INDEX('MOA role matrix'!$B$2:$D$13,8,MATCH($B200,'MOA role matrix'!$B$1:$D$1,0))="Auto","LOA holder 2 (auto), ","")IF(INDEX('MOA role matrix'!$B$2:$D$13,9,MATCH($B200,'MOA role matrix'!$B$1:$D$1,0))="Fill","Senior Manager CoSec, ","")IF(INDEX('MOA role matrix'!$B$2:$D$13,9,MATCH($B200,'MOA role matrix'!$B$1:$D$1,0))="If finance","Senior Manager CoSec (if finance), ","")IF(INDEX('MOA role matrix'!$B$2:$D$13,9,MATCH($B200,'MOA role matrix'!$B$1:$D$1,0))="Auto","Senior Manager CoSec (auto), ","")IF(INDEX('MOA role matrix'!$B$2:$D$13,10,MATCH($B200,'MOA role matrix'!$B$1:$D$1,0))="Fill","Division MOI managers, ","")IF(INDEX('MOA role matrix'!$B$2:$D$13,10,MATCH($B200,'MOA role matrix'!$B$1:$D$1,0))="If finance","Division MOI managers (if finance), ","")IF(INDEX('MOA role matrix'!$B$2:$D$13,10,MATCH($B200,'MOA role matrix'!$B$1:$D$1,0))="Auto","Division MOI managers (auto), ","")IF(INDEX('MOA role matrix'!$B$2:$D$13,11,MATCH($B200,'MOA role matrix'!$B$1:$D$1,0))="Fill","Ms Teh (bank), ","")IF(INDEX('MOA role matrix'!$B$2:$D$13,11,MATCH($B200,'MOA role matrix'!$B$1:$D$1,0))="If finance","Ms Teh (bank) (if finance), ","")IF(INDEX('MOA role matrix'!$B$2:$D$13,11,MATCH($B200,'MOA role matrix'!$B$1:$D$1,0))="Auto","Ms Teh (bank) (auto), ","")IF(INDEX('MOA role matrix'!$B$2:$D$13,12,MATCH($B200,'MOA role matrix'!$B$1:$D$1,0))="Fill","DLCM, ","")IF(INDEX('MOA role matrix'!$B$2:$D$13,12,MATCH($B200,'MOA role matrix'!$B$1:$D$1,0))="If finance","DLCM (if finance), ","")IF(INDEX('MOA role matrix'!$B$2:$D$13,12,MATCH($B200,'MOA role matrix'!$B$1:$D$1,0))="Auto","DLCM (auto), ","")))</f>
        <v/>
      </c>
      <c r="D200" s="5">
        <f>IF($A200="","",IFERROR(INDEX(FILTER('Client contacts'!$B$2:$B$500,('Client contacts'!$A$2:$A$500=$A200)*('Client contacts'!$H$2:$H$500="Y"),""),1),""))</f>
        <v/>
      </c>
      <c r="E200" s="5">
        <f>IF($A200="","",IFERROR(INDEX(FILTER('Client contacts'!$C$2:$C$500,('Client contacts'!$A$2:$A$500=$A200)*('Client contacts'!$H$2:$H$500="Y"),""),1),""))</f>
        <v/>
      </c>
      <c r="F200" s="5">
        <f>IF($A200="","",IFERROR(INDEX(FILTER('Client contacts'!$B$2:$B$500,('Client contacts'!$A$2:$A$500=$A200)*('Client contacts'!$G$2:$G$500="Y"),""),1),""))</f>
        <v/>
      </c>
      <c r="G200" s="5">
        <f>IF($A200="","",IFERROR(INDEX(FILTER('Client contacts'!$C$2:$C$500,('Client contacts'!$A$2:$A$500=$A200)*('Client contacts'!$G$2:$G$500="Y"),""),1),""))</f>
        <v/>
      </c>
      <c r="H200" s="5">
        <f>IF($A200="","",IFERROR(INDEX(FILTER('Client contacts'!$B$2:$B$500,('Client contacts'!$A$2:$A$500=$A200)*('Client contacts'!$G$2:$G$500="Y"),""),2),""))</f>
        <v/>
      </c>
      <c r="I200" s="5">
        <f>IF($A200="","",IFERROR(INDEX(FILTER('Client contacts'!$C$2:$C$500,('Client contacts'!$A$2:$A$500=$A200)*('Client contacts'!$G$2:$G$500="Y"),""),2),""))</f>
        <v/>
      </c>
      <c r="J200" s="8" t="n"/>
      <c r="K200" s="8" t="n"/>
      <c r="L200" s="8" t="n"/>
      <c r="M200" s="8" t="n"/>
      <c r="N200" s="8" t="n"/>
      <c r="O200" s="8" t="n"/>
      <c r="P200" s="8" t="n"/>
      <c r="Q200" s="8" t="n"/>
      <c r="R200" s="5">
        <f>IF($A200="","",IFERROR(INDEX(Companies!$I$2:$I$500,MATCH($A200,Companies!$A$2:$A$500,0)),""))</f>
        <v/>
      </c>
      <c r="S200" s="8" t="n"/>
      <c r="T200" s="8" t="n"/>
      <c r="U200" s="8" t="n"/>
      <c r="V200" s="8" t="n"/>
      <c r="W200" s="8" t="n"/>
    </row>
    <row r="201">
      <c r="C201" s="5">
        <f>IF($B201="","",TRIM(IF(INDEX('MOA role matrix'!$B$2:$D$13,1,MATCH($B201,'MOA role matrix'!$B$1:$D$1,0))="Fill","Project initiator, ","")IF(INDEX('MOA role matrix'!$B$2:$D$13,1,MATCH($B201,'MOA role matrix'!$B$1:$D$1,0))="If finance","Project initiator (if finance), ","")IF(INDEX('MOA role matrix'!$B$2:$D$13,1,MATCH($B201,'MOA role matrix'!$B$1:$D$1,0))="Auto","Project initiator (auto), ","")IF(INDEX('MOA role matrix'!$B$2:$D$13,2,MATCH($B201,'MOA role matrix'!$B$1:$D$1,0))="Fill","MOA signers (client), ","")IF(INDEX('MOA role matrix'!$B$2:$D$13,2,MATCH($B201,'MOA role matrix'!$B$1:$D$1,0))="If finance","MOA signers (client) (if finance), ","")IF(INDEX('MOA role matrix'!$B$2:$D$13,2,MATCH($B201,'MOA role matrix'!$B$1:$D$1,0))="Auto","MOA signers (client) (auto), ","")IF(INDEX('MOA role matrix'!$B$2:$D$13,3,MATCH($B201,'MOA role matrix'!$B$1:$D$1,0))="Fill","CFO / Head of Finance, ","")IF(INDEX('MOA role matrix'!$B$2:$D$13,3,MATCH($B201,'MOA role matrix'!$B$1:$D$1,0))="If finance","CFO / Head of Finance (if finance), ","")IF(INDEX('MOA role matrix'!$B$2:$D$13,3,MATCH($B201,'MOA role matrix'!$B$1:$D$1,0))="Auto","CFO / Head of Finance (auto), ","")IF(INDEX('MOA role matrix'!$B$2:$D$13,4,MATCH($B201,'MOA role matrix'!$B$1:$D$1,0))="Fill","CEO / COO / GM, ","")IF(INDEX('MOA role matrix'!$B$2:$D$13,4,MATCH($B201,'MOA role matrix'!$B$1:$D$1,0))="If finance","CEO / COO / GM (if finance), ","")IF(INDEX('MOA role matrix'!$B$2:$D$13,4,MATCH($B201,'MOA role matrix'!$B$1:$D$1,0))="Auto","CEO / COO / GM (auto), ","")IF(INDEX('MOA role matrix'!$B$2:$D$13,5,MATCH($B201,'MOA role matrix'!$B$1:$D$1,0))="Fill","Board member 1, ","")IF(INDEX('MOA role matrix'!$B$2:$D$13,5,MATCH($B201,'MOA role matrix'!$B$1:$D$1,0))="If finance","Board member 1 (if finance), ","")IF(INDEX('MOA role matrix'!$B$2:$D$13,5,MATCH($B201,'MOA role matrix'!$B$1:$D$1,0))="Auto","Board member 1 (auto), ","")IF(INDEX('MOA role matrix'!$B$2:$D$13,6,MATCH($B201,'MOA role matrix'!$B$1:$D$1,0))="Fill","Board member 2, ","")IF(INDEX('MOA role matrix'!$B$2:$D$13,6,MATCH($B201,'MOA role matrix'!$B$1:$D$1,0))="If finance","Board member 2 (if finance), ","")IF(INDEX('MOA role matrix'!$B$2:$D$13,6,MATCH($B201,'MOA role matrix'!$B$1:$D$1,0))="Auto","Board member 2 (auto), ","")IF(INDEX('MOA role matrix'!$B$2:$D$13,7,MATCH($B201,'MOA role matrix'!$B$1:$D$1,0))="Fill","LOA holder 1, ","")IF(INDEX('MOA role matrix'!$B$2:$D$13,7,MATCH($B201,'MOA role matrix'!$B$1:$D$1,0))="If finance","LOA holder 1 (if finance), ","")IF(INDEX('MOA role matrix'!$B$2:$D$13,7,MATCH($B201,'MOA role matrix'!$B$1:$D$1,0))="Auto","LOA holder 1 (auto), ","")IF(INDEX('MOA role matrix'!$B$2:$D$13,8,MATCH($B201,'MOA role matrix'!$B$1:$D$1,0))="Fill","LOA holder 2, ","")IF(INDEX('MOA role matrix'!$B$2:$D$13,8,MATCH($B201,'MOA role matrix'!$B$1:$D$1,0))="If finance","LOA holder 2 (if finance), ","")IF(INDEX('MOA role matrix'!$B$2:$D$13,8,MATCH($B201,'MOA role matrix'!$B$1:$D$1,0))="Auto","LOA holder 2 (auto), ","")IF(INDEX('MOA role matrix'!$B$2:$D$13,9,MATCH($B201,'MOA role matrix'!$B$1:$D$1,0))="Fill","Senior Manager CoSec, ","")IF(INDEX('MOA role matrix'!$B$2:$D$13,9,MATCH($B201,'MOA role matrix'!$B$1:$D$1,0))="If finance","Senior Manager CoSec (if finance), ","")IF(INDEX('MOA role matrix'!$B$2:$D$13,9,MATCH($B201,'MOA role matrix'!$B$1:$D$1,0))="Auto","Senior Manager CoSec (auto), ","")IF(INDEX('MOA role matrix'!$B$2:$D$13,10,MATCH($B201,'MOA role matrix'!$B$1:$D$1,0))="Fill","Division MOI managers, ","")IF(INDEX('MOA role matrix'!$B$2:$D$13,10,MATCH($B201,'MOA role matrix'!$B$1:$D$1,0))="If finance","Division MOI managers (if finance), ","")IF(INDEX('MOA role matrix'!$B$2:$D$13,10,MATCH($B201,'MOA role matrix'!$B$1:$D$1,0))="Auto","Division MOI managers (auto), ","")IF(INDEX('MOA role matrix'!$B$2:$D$13,11,MATCH($B201,'MOA role matrix'!$B$1:$D$1,0))="Fill","Ms Teh (bank), ","")IF(INDEX('MOA role matrix'!$B$2:$D$13,11,MATCH($B201,'MOA role matrix'!$B$1:$D$1,0))="If finance","Ms Teh (bank) (if finance), ","")IF(INDEX('MOA role matrix'!$B$2:$D$13,11,MATCH($B201,'MOA role matrix'!$B$1:$D$1,0))="Auto","Ms Teh (bank) (auto), ","")IF(INDEX('MOA role matrix'!$B$2:$D$13,12,MATCH($B201,'MOA role matrix'!$B$1:$D$1,0))="Fill","DLCM, ","")IF(INDEX('MOA role matrix'!$B$2:$D$13,12,MATCH($B201,'MOA role matrix'!$B$1:$D$1,0))="If finance","DLCM (if finance), ","")IF(INDEX('MOA role matrix'!$B$2:$D$13,12,MATCH($B201,'MOA role matrix'!$B$1:$D$1,0))="Auto","DLCM (auto), ","")))</f>
        <v/>
      </c>
      <c r="D201" s="5">
        <f>IF($A201="","",IFERROR(INDEX(FILTER('Client contacts'!$B$2:$B$500,('Client contacts'!$A$2:$A$500=$A201)*('Client contacts'!$H$2:$H$500="Y"),""),1),""))</f>
        <v/>
      </c>
      <c r="E201" s="5">
        <f>IF($A201="","",IFERROR(INDEX(FILTER('Client contacts'!$C$2:$C$500,('Client contacts'!$A$2:$A$500=$A201)*('Client contacts'!$H$2:$H$500="Y"),""),1),""))</f>
        <v/>
      </c>
      <c r="F201" s="5">
        <f>IF($A201="","",IFERROR(INDEX(FILTER('Client contacts'!$B$2:$B$500,('Client contacts'!$A$2:$A$500=$A201)*('Client contacts'!$G$2:$G$500="Y"),""),1),""))</f>
        <v/>
      </c>
      <c r="G201" s="5">
        <f>IF($A201="","",IFERROR(INDEX(FILTER('Client contacts'!$C$2:$C$500,('Client contacts'!$A$2:$A$500=$A201)*('Client contacts'!$G$2:$G$500="Y"),""),1),""))</f>
        <v/>
      </c>
      <c r="H201" s="5">
        <f>IF($A201="","",IFERROR(INDEX(FILTER('Client contacts'!$B$2:$B$500,('Client contacts'!$A$2:$A$500=$A201)*('Client contacts'!$G$2:$G$500="Y"),""),2),""))</f>
        <v/>
      </c>
      <c r="I201" s="5">
        <f>IF($A201="","",IFERROR(INDEX(FILTER('Client contacts'!$C$2:$C$500,('Client contacts'!$A$2:$A$500=$A201)*('Client contacts'!$G$2:$G$500="Y"),""),2),""))</f>
        <v/>
      </c>
      <c r="J201" s="8" t="n"/>
      <c r="K201" s="8" t="n"/>
      <c r="L201" s="8" t="n"/>
      <c r="M201" s="8" t="n"/>
      <c r="N201" s="8" t="n"/>
      <c r="O201" s="8" t="n"/>
      <c r="P201" s="8" t="n"/>
      <c r="Q201" s="8" t="n"/>
      <c r="R201" s="5">
        <f>IF($A201="","",IFERROR(INDEX(Companies!$I$2:$I$500,MATCH($A201,Companies!$A$2:$A$500,0)),""))</f>
        <v/>
      </c>
      <c r="S201" s="8" t="n"/>
      <c r="T201" s="8" t="n"/>
      <c r="U201" s="8" t="n"/>
      <c r="V201" s="8" t="n"/>
      <c r="W201" s="8" t="n"/>
    </row>
    <row r="202">
      <c r="C202" s="5">
        <f>IF($B202="","",TRIM(IF(INDEX('MOA role matrix'!$B$2:$D$13,1,MATCH($B202,'MOA role matrix'!$B$1:$D$1,0))="Fill","Project initiator, ","")IF(INDEX('MOA role matrix'!$B$2:$D$13,1,MATCH($B202,'MOA role matrix'!$B$1:$D$1,0))="If finance","Project initiator (if finance), ","")IF(INDEX('MOA role matrix'!$B$2:$D$13,1,MATCH($B202,'MOA role matrix'!$B$1:$D$1,0))="Auto","Project initiator (auto), ","")IF(INDEX('MOA role matrix'!$B$2:$D$13,2,MATCH($B202,'MOA role matrix'!$B$1:$D$1,0))="Fill","MOA signers (client), ","")IF(INDEX('MOA role matrix'!$B$2:$D$13,2,MATCH($B202,'MOA role matrix'!$B$1:$D$1,0))="If finance","MOA signers (client) (if finance), ","")IF(INDEX('MOA role matrix'!$B$2:$D$13,2,MATCH($B202,'MOA role matrix'!$B$1:$D$1,0))="Auto","MOA signers (client) (auto), ","")IF(INDEX('MOA role matrix'!$B$2:$D$13,3,MATCH($B202,'MOA role matrix'!$B$1:$D$1,0))="Fill","CFO / Head of Finance, ","")IF(INDEX('MOA role matrix'!$B$2:$D$13,3,MATCH($B202,'MOA role matrix'!$B$1:$D$1,0))="If finance","CFO / Head of Finance (if finance), ","")IF(INDEX('MOA role matrix'!$B$2:$D$13,3,MATCH($B202,'MOA role matrix'!$B$1:$D$1,0))="Auto","CFO / Head of Finance (auto), ","")IF(INDEX('MOA role matrix'!$B$2:$D$13,4,MATCH($B202,'MOA role matrix'!$B$1:$D$1,0))="Fill","CEO / COO / GM, ","")IF(INDEX('MOA role matrix'!$B$2:$D$13,4,MATCH($B202,'MOA role matrix'!$B$1:$D$1,0))="If finance","CEO / COO / GM (if finance), ","")IF(INDEX('MOA role matrix'!$B$2:$D$13,4,MATCH($B202,'MOA role matrix'!$B$1:$D$1,0))="Auto","CEO / COO / GM (auto), ","")IF(INDEX('MOA role matrix'!$B$2:$D$13,5,MATCH($B202,'MOA role matrix'!$B$1:$D$1,0))="Fill","Board member 1, ","")IF(INDEX('MOA role matrix'!$B$2:$D$13,5,MATCH($B202,'MOA role matrix'!$B$1:$D$1,0))="If finance","Board member 1 (if finance), ","")IF(INDEX('MOA role matrix'!$B$2:$D$13,5,MATCH($B202,'MOA role matrix'!$B$1:$D$1,0))="Auto","Board member 1 (auto), ","")IF(INDEX('MOA role matrix'!$B$2:$D$13,6,MATCH($B202,'MOA role matrix'!$B$1:$D$1,0))="Fill","Board member 2, ","")IF(INDEX('MOA role matrix'!$B$2:$D$13,6,MATCH($B202,'MOA role matrix'!$B$1:$D$1,0))="If finance","Board member 2 (if finance), ","")IF(INDEX('MOA role matrix'!$B$2:$D$13,6,MATCH($B202,'MOA role matrix'!$B$1:$D$1,0))="Auto","Board member 2 (auto), ","")IF(INDEX('MOA role matrix'!$B$2:$D$13,7,MATCH($B202,'MOA role matrix'!$B$1:$D$1,0))="Fill","LOA holder 1, ","")IF(INDEX('MOA role matrix'!$B$2:$D$13,7,MATCH($B202,'MOA role matrix'!$B$1:$D$1,0))="If finance","LOA holder 1 (if finance), ","")IF(INDEX('MOA role matrix'!$B$2:$D$13,7,MATCH($B202,'MOA role matrix'!$B$1:$D$1,0))="Auto","LOA holder 1 (auto), ","")IF(INDEX('MOA role matrix'!$B$2:$D$13,8,MATCH($B202,'MOA role matrix'!$B$1:$D$1,0))="Fill","LOA holder 2, ","")IF(INDEX('MOA role matrix'!$B$2:$D$13,8,MATCH($B202,'MOA role matrix'!$B$1:$D$1,0))="If finance","LOA holder 2 (if finance), ","")IF(INDEX('MOA role matrix'!$B$2:$D$13,8,MATCH($B202,'MOA role matrix'!$B$1:$D$1,0))="Auto","LOA holder 2 (auto), ","")IF(INDEX('MOA role matrix'!$B$2:$D$13,9,MATCH($B202,'MOA role matrix'!$B$1:$D$1,0))="Fill","Senior Manager CoSec, ","")IF(INDEX('MOA role matrix'!$B$2:$D$13,9,MATCH($B202,'MOA role matrix'!$B$1:$D$1,0))="If finance","Senior Manager CoSec (if finance), ","")IF(INDEX('MOA role matrix'!$B$2:$D$13,9,MATCH($B202,'MOA role matrix'!$B$1:$D$1,0))="Auto","Senior Manager CoSec (auto), ","")IF(INDEX('MOA role matrix'!$B$2:$D$13,10,MATCH($B202,'MOA role matrix'!$B$1:$D$1,0))="Fill","Division MOI managers, ","")IF(INDEX('MOA role matrix'!$B$2:$D$13,10,MATCH($B202,'MOA role matrix'!$B$1:$D$1,0))="If finance","Division MOI managers (if finance), ","")IF(INDEX('MOA role matrix'!$B$2:$D$13,10,MATCH($B202,'MOA role matrix'!$B$1:$D$1,0))="Auto","Division MOI managers (auto), ","")IF(INDEX('MOA role matrix'!$B$2:$D$13,11,MATCH($B202,'MOA role matrix'!$B$1:$D$1,0))="Fill","Ms Teh (bank), ","")IF(INDEX('MOA role matrix'!$B$2:$D$13,11,MATCH($B202,'MOA role matrix'!$B$1:$D$1,0))="If finance","Ms Teh (bank) (if finance), ","")IF(INDEX('MOA role matrix'!$B$2:$D$13,11,MATCH($B202,'MOA role matrix'!$B$1:$D$1,0))="Auto","Ms Teh (bank) (auto), ","")IF(INDEX('MOA role matrix'!$B$2:$D$13,12,MATCH($B202,'MOA role matrix'!$B$1:$D$1,0))="Fill","DLCM, ","")IF(INDEX('MOA role matrix'!$B$2:$D$13,12,MATCH($B202,'MOA role matrix'!$B$1:$D$1,0))="If finance","DLCM (if finance), ","")IF(INDEX('MOA role matrix'!$B$2:$D$13,12,MATCH($B202,'MOA role matrix'!$B$1:$D$1,0))="Auto","DLCM (auto), ","")))</f>
        <v/>
      </c>
      <c r="D202" s="5">
        <f>IF($A202="","",IFERROR(INDEX(FILTER('Client contacts'!$B$2:$B$500,('Client contacts'!$A$2:$A$500=$A202)*('Client contacts'!$H$2:$H$500="Y"),""),1),""))</f>
        <v/>
      </c>
      <c r="E202" s="5">
        <f>IF($A202="","",IFERROR(INDEX(FILTER('Client contacts'!$C$2:$C$500,('Client contacts'!$A$2:$A$500=$A202)*('Client contacts'!$H$2:$H$500="Y"),""),1),""))</f>
        <v/>
      </c>
      <c r="F202" s="5">
        <f>IF($A202="","",IFERROR(INDEX(FILTER('Client contacts'!$B$2:$B$500,('Client contacts'!$A$2:$A$500=$A202)*('Client contacts'!$G$2:$G$500="Y"),""),1),""))</f>
        <v/>
      </c>
      <c r="G202" s="5">
        <f>IF($A202="","",IFERROR(INDEX(FILTER('Client contacts'!$C$2:$C$500,('Client contacts'!$A$2:$A$500=$A202)*('Client contacts'!$G$2:$G$500="Y"),""),1),""))</f>
        <v/>
      </c>
      <c r="H202" s="5">
        <f>IF($A202="","",IFERROR(INDEX(FILTER('Client contacts'!$B$2:$B$500,('Client contacts'!$A$2:$A$500=$A202)*('Client contacts'!$G$2:$G$500="Y"),""),2),""))</f>
        <v/>
      </c>
      <c r="I202" s="5">
        <f>IF($A202="","",IFERROR(INDEX(FILTER('Client contacts'!$C$2:$C$500,('Client contacts'!$A$2:$A$500=$A202)*('Client contacts'!$G$2:$G$500="Y"),""),2),""))</f>
        <v/>
      </c>
      <c r="J202" s="8" t="n"/>
      <c r="K202" s="8" t="n"/>
      <c r="L202" s="8" t="n"/>
      <c r="M202" s="8" t="n"/>
      <c r="N202" s="8" t="n"/>
      <c r="O202" s="8" t="n"/>
      <c r="P202" s="8" t="n"/>
      <c r="Q202" s="8" t="n"/>
      <c r="R202" s="5">
        <f>IF($A202="","",IFERROR(INDEX(Companies!$I$2:$I$500,MATCH($A202,Companies!$A$2:$A$500,0)),""))</f>
        <v/>
      </c>
      <c r="S202" s="8" t="n"/>
      <c r="T202" s="8" t="n"/>
      <c r="U202" s="8" t="n"/>
      <c r="V202" s="8" t="n"/>
      <c r="W202" s="8" t="n"/>
    </row>
    <row r="203">
      <c r="C203" s="5">
        <f>IF($B203="","",TRIM(IF(INDEX('MOA role matrix'!$B$2:$D$13,1,MATCH($B203,'MOA role matrix'!$B$1:$D$1,0))="Fill","Project initiator, ","")IF(INDEX('MOA role matrix'!$B$2:$D$13,1,MATCH($B203,'MOA role matrix'!$B$1:$D$1,0))="If finance","Project initiator (if finance), ","")IF(INDEX('MOA role matrix'!$B$2:$D$13,1,MATCH($B203,'MOA role matrix'!$B$1:$D$1,0))="Auto","Project initiator (auto), ","")IF(INDEX('MOA role matrix'!$B$2:$D$13,2,MATCH($B203,'MOA role matrix'!$B$1:$D$1,0))="Fill","MOA signers (client), ","")IF(INDEX('MOA role matrix'!$B$2:$D$13,2,MATCH($B203,'MOA role matrix'!$B$1:$D$1,0))="If finance","MOA signers (client) (if finance), ","")IF(INDEX('MOA role matrix'!$B$2:$D$13,2,MATCH($B203,'MOA role matrix'!$B$1:$D$1,0))="Auto","MOA signers (client) (auto), ","")IF(INDEX('MOA role matrix'!$B$2:$D$13,3,MATCH($B203,'MOA role matrix'!$B$1:$D$1,0))="Fill","CFO / Head of Finance, ","")IF(INDEX('MOA role matrix'!$B$2:$D$13,3,MATCH($B203,'MOA role matrix'!$B$1:$D$1,0))="If finance","CFO / Head of Finance (if finance), ","")IF(INDEX('MOA role matrix'!$B$2:$D$13,3,MATCH($B203,'MOA role matrix'!$B$1:$D$1,0))="Auto","CFO / Head of Finance (auto), ","")IF(INDEX('MOA role matrix'!$B$2:$D$13,4,MATCH($B203,'MOA role matrix'!$B$1:$D$1,0))="Fill","CEO / COO / GM, ","")IF(INDEX('MOA role matrix'!$B$2:$D$13,4,MATCH($B203,'MOA role matrix'!$B$1:$D$1,0))="If finance","CEO / COO / GM (if finance), ","")IF(INDEX('MOA role matrix'!$B$2:$D$13,4,MATCH($B203,'MOA role matrix'!$B$1:$D$1,0))="Auto","CEO / COO / GM (auto), ","")IF(INDEX('MOA role matrix'!$B$2:$D$13,5,MATCH($B203,'MOA role matrix'!$B$1:$D$1,0))="Fill","Board member 1, ","")IF(INDEX('MOA role matrix'!$B$2:$D$13,5,MATCH($B203,'MOA role matrix'!$B$1:$D$1,0))="If finance","Board member 1 (if finance), ","")IF(INDEX('MOA role matrix'!$B$2:$D$13,5,MATCH($B203,'MOA role matrix'!$B$1:$D$1,0))="Auto","Board member 1 (auto), ","")IF(INDEX('MOA role matrix'!$B$2:$D$13,6,MATCH($B203,'MOA role matrix'!$B$1:$D$1,0))="Fill","Board member 2, ","")IF(INDEX('MOA role matrix'!$B$2:$D$13,6,MATCH($B203,'MOA role matrix'!$B$1:$D$1,0))="If finance","Board member 2 (if finance), ","")IF(INDEX('MOA role matrix'!$B$2:$D$13,6,MATCH($B203,'MOA role matrix'!$B$1:$D$1,0))="Auto","Board member 2 (auto), ","")IF(INDEX('MOA role matrix'!$B$2:$D$13,7,MATCH($B203,'MOA role matrix'!$B$1:$D$1,0))="Fill","LOA holder 1, ","")IF(INDEX('MOA role matrix'!$B$2:$D$13,7,MATCH($B203,'MOA role matrix'!$B$1:$D$1,0))="If finance","LOA holder 1 (if finance), ","")IF(INDEX('MOA role matrix'!$B$2:$D$13,7,MATCH($B203,'MOA role matrix'!$B$1:$D$1,0))="Auto","LOA holder 1 (auto), ","")IF(INDEX('MOA role matrix'!$B$2:$D$13,8,MATCH($B203,'MOA role matrix'!$B$1:$D$1,0))="Fill","LOA holder 2, ","")IF(INDEX('MOA role matrix'!$B$2:$D$13,8,MATCH($B203,'MOA role matrix'!$B$1:$D$1,0))="If finance","LOA holder 2 (if finance), ","")IF(INDEX('MOA role matrix'!$B$2:$D$13,8,MATCH($B203,'MOA role matrix'!$B$1:$D$1,0))="Auto","LOA holder 2 (auto), ","")IF(INDEX('MOA role matrix'!$B$2:$D$13,9,MATCH($B203,'MOA role matrix'!$B$1:$D$1,0))="Fill","Senior Manager CoSec, ","")IF(INDEX('MOA role matrix'!$B$2:$D$13,9,MATCH($B203,'MOA role matrix'!$B$1:$D$1,0))="If finance","Senior Manager CoSec (if finance), ","")IF(INDEX('MOA role matrix'!$B$2:$D$13,9,MATCH($B203,'MOA role matrix'!$B$1:$D$1,0))="Auto","Senior Manager CoSec (auto), ","")IF(INDEX('MOA role matrix'!$B$2:$D$13,10,MATCH($B203,'MOA role matrix'!$B$1:$D$1,0))="Fill","Division MOI managers, ","")IF(INDEX('MOA role matrix'!$B$2:$D$13,10,MATCH($B203,'MOA role matrix'!$B$1:$D$1,0))="If finance","Division MOI managers (if finance), ","")IF(INDEX('MOA role matrix'!$B$2:$D$13,10,MATCH($B203,'MOA role matrix'!$B$1:$D$1,0))="Auto","Division MOI managers (auto), ","")IF(INDEX('MOA role matrix'!$B$2:$D$13,11,MATCH($B203,'MOA role matrix'!$B$1:$D$1,0))="Fill","Ms Teh (bank), ","")IF(INDEX('MOA role matrix'!$B$2:$D$13,11,MATCH($B203,'MOA role matrix'!$B$1:$D$1,0))="If finance","Ms Teh (bank) (if finance), ","")IF(INDEX('MOA role matrix'!$B$2:$D$13,11,MATCH($B203,'MOA role matrix'!$B$1:$D$1,0))="Auto","Ms Teh (bank) (auto), ","")IF(INDEX('MOA role matrix'!$B$2:$D$13,12,MATCH($B203,'MOA role matrix'!$B$1:$D$1,0))="Fill","DLCM, ","")IF(INDEX('MOA role matrix'!$B$2:$D$13,12,MATCH($B203,'MOA role matrix'!$B$1:$D$1,0))="If finance","DLCM (if finance), ","")IF(INDEX('MOA role matrix'!$B$2:$D$13,12,MATCH($B203,'MOA role matrix'!$B$1:$D$1,0))="Auto","DLCM (auto), ","")))</f>
        <v/>
      </c>
      <c r="D203" s="5">
        <f>IF($A203="","",IFERROR(INDEX(FILTER('Client contacts'!$B$2:$B$500,('Client contacts'!$A$2:$A$500=$A203)*('Client contacts'!$H$2:$H$500="Y"),""),1),""))</f>
        <v/>
      </c>
      <c r="E203" s="5">
        <f>IF($A203="","",IFERROR(INDEX(FILTER('Client contacts'!$C$2:$C$500,('Client contacts'!$A$2:$A$500=$A203)*('Client contacts'!$H$2:$H$500="Y"),""),1),""))</f>
        <v/>
      </c>
      <c r="F203" s="5">
        <f>IF($A203="","",IFERROR(INDEX(FILTER('Client contacts'!$B$2:$B$500,('Client contacts'!$A$2:$A$500=$A203)*('Client contacts'!$G$2:$G$500="Y"),""),1),""))</f>
        <v/>
      </c>
      <c r="G203" s="5">
        <f>IF($A203="","",IFERROR(INDEX(FILTER('Client contacts'!$C$2:$C$500,('Client contacts'!$A$2:$A$500=$A203)*('Client contacts'!$G$2:$G$500="Y"),""),1),""))</f>
        <v/>
      </c>
      <c r="H203" s="5">
        <f>IF($A203="","",IFERROR(INDEX(FILTER('Client contacts'!$B$2:$B$500,('Client contacts'!$A$2:$A$500=$A203)*('Client contacts'!$G$2:$G$500="Y"),""),2),""))</f>
        <v/>
      </c>
      <c r="I203" s="5">
        <f>IF($A203="","",IFERROR(INDEX(FILTER('Client contacts'!$C$2:$C$500,('Client contacts'!$A$2:$A$500=$A203)*('Client contacts'!$G$2:$G$500="Y"),""),2),""))</f>
        <v/>
      </c>
      <c r="J203" s="8" t="n"/>
      <c r="K203" s="8" t="n"/>
      <c r="L203" s="8" t="n"/>
      <c r="M203" s="8" t="n"/>
      <c r="N203" s="8" t="n"/>
      <c r="O203" s="8" t="n"/>
      <c r="P203" s="8" t="n"/>
      <c r="Q203" s="8" t="n"/>
      <c r="R203" s="5">
        <f>IF($A203="","",IFERROR(INDEX(Companies!$I$2:$I$500,MATCH($A203,Companies!$A$2:$A$500,0)),""))</f>
        <v/>
      </c>
      <c r="S203" s="8" t="n"/>
      <c r="T203" s="8" t="n"/>
      <c r="U203" s="8" t="n"/>
      <c r="V203" s="8" t="n"/>
      <c r="W203" s="8" t="n"/>
    </row>
    <row r="204">
      <c r="C204" s="5">
        <f>IF($B204="","",TRIM(IF(INDEX('MOA role matrix'!$B$2:$D$13,1,MATCH($B204,'MOA role matrix'!$B$1:$D$1,0))="Fill","Project initiator, ","")IF(INDEX('MOA role matrix'!$B$2:$D$13,1,MATCH($B204,'MOA role matrix'!$B$1:$D$1,0))="If finance","Project initiator (if finance), ","")IF(INDEX('MOA role matrix'!$B$2:$D$13,1,MATCH($B204,'MOA role matrix'!$B$1:$D$1,0))="Auto","Project initiator (auto), ","")IF(INDEX('MOA role matrix'!$B$2:$D$13,2,MATCH($B204,'MOA role matrix'!$B$1:$D$1,0))="Fill","MOA signers (client), ","")IF(INDEX('MOA role matrix'!$B$2:$D$13,2,MATCH($B204,'MOA role matrix'!$B$1:$D$1,0))="If finance","MOA signers (client) (if finance), ","")IF(INDEX('MOA role matrix'!$B$2:$D$13,2,MATCH($B204,'MOA role matrix'!$B$1:$D$1,0))="Auto","MOA signers (client) (auto), ","")IF(INDEX('MOA role matrix'!$B$2:$D$13,3,MATCH($B204,'MOA role matrix'!$B$1:$D$1,0))="Fill","CFO / Head of Finance, ","")IF(INDEX('MOA role matrix'!$B$2:$D$13,3,MATCH($B204,'MOA role matrix'!$B$1:$D$1,0))="If finance","CFO / Head of Finance (if finance), ","")IF(INDEX('MOA role matrix'!$B$2:$D$13,3,MATCH($B204,'MOA role matrix'!$B$1:$D$1,0))="Auto","CFO / Head of Finance (auto), ","")IF(INDEX('MOA role matrix'!$B$2:$D$13,4,MATCH($B204,'MOA role matrix'!$B$1:$D$1,0))="Fill","CEO / COO / GM, ","")IF(INDEX('MOA role matrix'!$B$2:$D$13,4,MATCH($B204,'MOA role matrix'!$B$1:$D$1,0))="If finance","CEO / COO / GM (if finance), ","")IF(INDEX('MOA role matrix'!$B$2:$D$13,4,MATCH($B204,'MOA role matrix'!$B$1:$D$1,0))="Auto","CEO / COO / GM (auto), ","")IF(INDEX('MOA role matrix'!$B$2:$D$13,5,MATCH($B204,'MOA role matrix'!$B$1:$D$1,0))="Fill","Board member 1, ","")IF(INDEX('MOA role matrix'!$B$2:$D$13,5,MATCH($B204,'MOA role matrix'!$B$1:$D$1,0))="If finance","Board member 1 (if finance), ","")IF(INDEX('MOA role matrix'!$B$2:$D$13,5,MATCH($B204,'MOA role matrix'!$B$1:$D$1,0))="Auto","Board member 1 (auto), ","")IF(INDEX('MOA role matrix'!$B$2:$D$13,6,MATCH($B204,'MOA role matrix'!$B$1:$D$1,0))="Fill","Board member 2, ","")IF(INDEX('MOA role matrix'!$B$2:$D$13,6,MATCH($B204,'MOA role matrix'!$B$1:$D$1,0))="If finance","Board member 2 (if finance), ","")IF(INDEX('MOA role matrix'!$B$2:$D$13,6,MATCH($B204,'MOA role matrix'!$B$1:$D$1,0))="Auto","Board member 2 (auto), ","")IF(INDEX('MOA role matrix'!$B$2:$D$13,7,MATCH($B204,'MOA role matrix'!$B$1:$D$1,0))="Fill","LOA holder 1, ","")IF(INDEX('MOA role matrix'!$B$2:$D$13,7,MATCH($B204,'MOA role matrix'!$B$1:$D$1,0))="If finance","LOA holder 1 (if finance), ","")IF(INDEX('MOA role matrix'!$B$2:$D$13,7,MATCH($B204,'MOA role matrix'!$B$1:$D$1,0))="Auto","LOA holder 1 (auto), ","")IF(INDEX('MOA role matrix'!$B$2:$D$13,8,MATCH($B204,'MOA role matrix'!$B$1:$D$1,0))="Fill","LOA holder 2, ","")IF(INDEX('MOA role matrix'!$B$2:$D$13,8,MATCH($B204,'MOA role matrix'!$B$1:$D$1,0))="If finance","LOA holder 2 (if finance), ","")IF(INDEX('MOA role matrix'!$B$2:$D$13,8,MATCH($B204,'MOA role matrix'!$B$1:$D$1,0))="Auto","LOA holder 2 (auto), ","")IF(INDEX('MOA role matrix'!$B$2:$D$13,9,MATCH($B204,'MOA role matrix'!$B$1:$D$1,0))="Fill","Senior Manager CoSec, ","")IF(INDEX('MOA role matrix'!$B$2:$D$13,9,MATCH($B204,'MOA role matrix'!$B$1:$D$1,0))="If finance","Senior Manager CoSec (if finance), ","")IF(INDEX('MOA role matrix'!$B$2:$D$13,9,MATCH($B204,'MOA role matrix'!$B$1:$D$1,0))="Auto","Senior Manager CoSec (auto), ","")IF(INDEX('MOA role matrix'!$B$2:$D$13,10,MATCH($B204,'MOA role matrix'!$B$1:$D$1,0))="Fill","Division MOI managers, ","")IF(INDEX('MOA role matrix'!$B$2:$D$13,10,MATCH($B204,'MOA role matrix'!$B$1:$D$1,0))="If finance","Division MOI managers (if finance), ","")IF(INDEX('MOA role matrix'!$B$2:$D$13,10,MATCH($B204,'MOA role matrix'!$B$1:$D$1,0))="Auto","Division MOI managers (auto), ","")IF(INDEX('MOA role matrix'!$B$2:$D$13,11,MATCH($B204,'MOA role matrix'!$B$1:$D$1,0))="Fill","Ms Teh (bank), ","")IF(INDEX('MOA role matrix'!$B$2:$D$13,11,MATCH($B204,'MOA role matrix'!$B$1:$D$1,0))="If finance","Ms Teh (bank) (if finance), ","")IF(INDEX('MOA role matrix'!$B$2:$D$13,11,MATCH($B204,'MOA role matrix'!$B$1:$D$1,0))="Auto","Ms Teh (bank) (auto), ","")IF(INDEX('MOA role matrix'!$B$2:$D$13,12,MATCH($B204,'MOA role matrix'!$B$1:$D$1,0))="Fill","DLCM, ","")IF(INDEX('MOA role matrix'!$B$2:$D$13,12,MATCH($B204,'MOA role matrix'!$B$1:$D$1,0))="If finance","DLCM (if finance), ","")IF(INDEX('MOA role matrix'!$B$2:$D$13,12,MATCH($B204,'MOA role matrix'!$B$1:$D$1,0))="Auto","DLCM (auto), ","")))</f>
        <v/>
      </c>
      <c r="D204" s="5">
        <f>IF($A204="","",IFERROR(INDEX(FILTER('Client contacts'!$B$2:$B$500,('Client contacts'!$A$2:$A$500=$A204)*('Client contacts'!$H$2:$H$500="Y"),""),1),""))</f>
        <v/>
      </c>
      <c r="E204" s="5">
        <f>IF($A204="","",IFERROR(INDEX(FILTER('Client contacts'!$C$2:$C$500,('Client contacts'!$A$2:$A$500=$A204)*('Client contacts'!$H$2:$H$500="Y"),""),1),""))</f>
        <v/>
      </c>
      <c r="F204" s="5">
        <f>IF($A204="","",IFERROR(INDEX(FILTER('Client contacts'!$B$2:$B$500,('Client contacts'!$A$2:$A$500=$A204)*('Client contacts'!$G$2:$G$500="Y"),""),1),""))</f>
        <v/>
      </c>
      <c r="G204" s="5">
        <f>IF($A204="","",IFERROR(INDEX(FILTER('Client contacts'!$C$2:$C$500,('Client contacts'!$A$2:$A$500=$A204)*('Client contacts'!$G$2:$G$500="Y"),""),1),""))</f>
        <v/>
      </c>
      <c r="H204" s="5">
        <f>IF($A204="","",IFERROR(INDEX(FILTER('Client contacts'!$B$2:$B$500,('Client contacts'!$A$2:$A$500=$A204)*('Client contacts'!$G$2:$G$500="Y"),""),2),""))</f>
        <v/>
      </c>
      <c r="I204" s="5">
        <f>IF($A204="","",IFERROR(INDEX(FILTER('Client contacts'!$C$2:$C$500,('Client contacts'!$A$2:$A$500=$A204)*('Client contacts'!$G$2:$G$500="Y"),""),2),""))</f>
        <v/>
      </c>
      <c r="J204" s="8" t="n"/>
      <c r="K204" s="8" t="n"/>
      <c r="L204" s="8" t="n"/>
      <c r="M204" s="8" t="n"/>
      <c r="N204" s="8" t="n"/>
      <c r="O204" s="8" t="n"/>
      <c r="P204" s="8" t="n"/>
      <c r="Q204" s="8" t="n"/>
      <c r="R204" s="5">
        <f>IF($A204="","",IFERROR(INDEX(Companies!$I$2:$I$500,MATCH($A204,Companies!$A$2:$A$500,0)),""))</f>
        <v/>
      </c>
      <c r="S204" s="8" t="n"/>
      <c r="T204" s="8" t="n"/>
      <c r="U204" s="8" t="n"/>
      <c r="V204" s="8" t="n"/>
      <c r="W204" s="8" t="n"/>
    </row>
    <row r="205">
      <c r="C205" s="5">
        <f>IF($B205="","",TRIM(IF(INDEX('MOA role matrix'!$B$2:$D$13,1,MATCH($B205,'MOA role matrix'!$B$1:$D$1,0))="Fill","Project initiator, ","")IF(INDEX('MOA role matrix'!$B$2:$D$13,1,MATCH($B205,'MOA role matrix'!$B$1:$D$1,0))="If finance","Project initiator (if finance), ","")IF(INDEX('MOA role matrix'!$B$2:$D$13,1,MATCH($B205,'MOA role matrix'!$B$1:$D$1,0))="Auto","Project initiator (auto), ","")IF(INDEX('MOA role matrix'!$B$2:$D$13,2,MATCH($B205,'MOA role matrix'!$B$1:$D$1,0))="Fill","MOA signers (client), ","")IF(INDEX('MOA role matrix'!$B$2:$D$13,2,MATCH($B205,'MOA role matrix'!$B$1:$D$1,0))="If finance","MOA signers (client) (if finance), ","")IF(INDEX('MOA role matrix'!$B$2:$D$13,2,MATCH($B205,'MOA role matrix'!$B$1:$D$1,0))="Auto","MOA signers (client) (auto), ","")IF(INDEX('MOA role matrix'!$B$2:$D$13,3,MATCH($B205,'MOA role matrix'!$B$1:$D$1,0))="Fill","CFO / Head of Finance, ","")IF(INDEX('MOA role matrix'!$B$2:$D$13,3,MATCH($B205,'MOA role matrix'!$B$1:$D$1,0))="If finance","CFO / Head of Finance (if finance), ","")IF(INDEX('MOA role matrix'!$B$2:$D$13,3,MATCH($B205,'MOA role matrix'!$B$1:$D$1,0))="Auto","CFO / Head of Finance (auto), ","")IF(INDEX('MOA role matrix'!$B$2:$D$13,4,MATCH($B205,'MOA role matrix'!$B$1:$D$1,0))="Fill","CEO / COO / GM, ","")IF(INDEX('MOA role matrix'!$B$2:$D$13,4,MATCH($B205,'MOA role matrix'!$B$1:$D$1,0))="If finance","CEO / COO / GM (if finance), ","")IF(INDEX('MOA role matrix'!$B$2:$D$13,4,MATCH($B205,'MOA role matrix'!$B$1:$D$1,0))="Auto","CEO / COO / GM (auto), ","")IF(INDEX('MOA role matrix'!$B$2:$D$13,5,MATCH($B205,'MOA role matrix'!$B$1:$D$1,0))="Fill","Board member 1, ","")IF(INDEX('MOA role matrix'!$B$2:$D$13,5,MATCH($B205,'MOA role matrix'!$B$1:$D$1,0))="If finance","Board member 1 (if finance), ","")IF(INDEX('MOA role matrix'!$B$2:$D$13,5,MATCH($B205,'MOA role matrix'!$B$1:$D$1,0))="Auto","Board member 1 (auto), ","")IF(INDEX('MOA role matrix'!$B$2:$D$13,6,MATCH($B205,'MOA role matrix'!$B$1:$D$1,0))="Fill","Board member 2, ","")IF(INDEX('MOA role matrix'!$B$2:$D$13,6,MATCH($B205,'MOA role matrix'!$B$1:$D$1,0))="If finance","Board member 2 (if finance), ","")IF(INDEX('MOA role matrix'!$B$2:$D$13,6,MATCH($B205,'MOA role matrix'!$B$1:$D$1,0))="Auto","Board member 2 (auto), ","")IF(INDEX('MOA role matrix'!$B$2:$D$13,7,MATCH($B205,'MOA role matrix'!$B$1:$D$1,0))="Fill","LOA holder 1, ","")IF(INDEX('MOA role matrix'!$B$2:$D$13,7,MATCH($B205,'MOA role matrix'!$B$1:$D$1,0))="If finance","LOA holder 1 (if finance), ","")IF(INDEX('MOA role matrix'!$B$2:$D$13,7,MATCH($B205,'MOA role matrix'!$B$1:$D$1,0))="Auto","LOA holder 1 (auto), ","")IF(INDEX('MOA role matrix'!$B$2:$D$13,8,MATCH($B205,'MOA role matrix'!$B$1:$D$1,0))="Fill","LOA holder 2, ","")IF(INDEX('MOA role matrix'!$B$2:$D$13,8,MATCH($B205,'MOA role matrix'!$B$1:$D$1,0))="If finance","LOA holder 2 (if finance), ","")IF(INDEX('MOA role matrix'!$B$2:$D$13,8,MATCH($B205,'MOA role matrix'!$B$1:$D$1,0))="Auto","LOA holder 2 (auto), ","")IF(INDEX('MOA role matrix'!$B$2:$D$13,9,MATCH($B205,'MOA role matrix'!$B$1:$D$1,0))="Fill","Senior Manager CoSec, ","")IF(INDEX('MOA role matrix'!$B$2:$D$13,9,MATCH($B205,'MOA role matrix'!$B$1:$D$1,0))="If finance","Senior Manager CoSec (if finance), ","")IF(INDEX('MOA role matrix'!$B$2:$D$13,9,MATCH($B205,'MOA role matrix'!$B$1:$D$1,0))="Auto","Senior Manager CoSec (auto), ","")IF(INDEX('MOA role matrix'!$B$2:$D$13,10,MATCH($B205,'MOA role matrix'!$B$1:$D$1,0))="Fill","Division MOI managers, ","")IF(INDEX('MOA role matrix'!$B$2:$D$13,10,MATCH($B205,'MOA role matrix'!$B$1:$D$1,0))="If finance","Division MOI managers (if finance), ","")IF(INDEX('MOA role matrix'!$B$2:$D$13,10,MATCH($B205,'MOA role matrix'!$B$1:$D$1,0))="Auto","Division MOI managers (auto), ","")IF(INDEX('MOA role matrix'!$B$2:$D$13,11,MATCH($B205,'MOA role matrix'!$B$1:$D$1,0))="Fill","Ms Teh (bank), ","")IF(INDEX('MOA role matrix'!$B$2:$D$13,11,MATCH($B205,'MOA role matrix'!$B$1:$D$1,0))="If finance","Ms Teh (bank) (if finance), ","")IF(INDEX('MOA role matrix'!$B$2:$D$13,11,MATCH($B205,'MOA role matrix'!$B$1:$D$1,0))="Auto","Ms Teh (bank) (auto), ","")IF(INDEX('MOA role matrix'!$B$2:$D$13,12,MATCH($B205,'MOA role matrix'!$B$1:$D$1,0))="Fill","DLCM, ","")IF(INDEX('MOA role matrix'!$B$2:$D$13,12,MATCH($B205,'MOA role matrix'!$B$1:$D$1,0))="If finance","DLCM (if finance), ","")IF(INDEX('MOA role matrix'!$B$2:$D$13,12,MATCH($B205,'MOA role matrix'!$B$1:$D$1,0))="Auto","DLCM (auto), ","")))</f>
        <v/>
      </c>
      <c r="D205" s="5">
        <f>IF($A205="","",IFERROR(INDEX(FILTER('Client contacts'!$B$2:$B$500,('Client contacts'!$A$2:$A$500=$A205)*('Client contacts'!$H$2:$H$500="Y"),""),1),""))</f>
        <v/>
      </c>
      <c r="E205" s="5">
        <f>IF($A205="","",IFERROR(INDEX(FILTER('Client contacts'!$C$2:$C$500,('Client contacts'!$A$2:$A$500=$A205)*('Client contacts'!$H$2:$H$500="Y"),""),1),""))</f>
        <v/>
      </c>
      <c r="F205" s="5">
        <f>IF($A205="","",IFERROR(INDEX(FILTER('Client contacts'!$B$2:$B$500,('Client contacts'!$A$2:$A$500=$A205)*('Client contacts'!$G$2:$G$500="Y"),""),1),""))</f>
        <v/>
      </c>
      <c r="G205" s="5">
        <f>IF($A205="","",IFERROR(INDEX(FILTER('Client contacts'!$C$2:$C$500,('Client contacts'!$A$2:$A$500=$A205)*('Client contacts'!$G$2:$G$500="Y"),""),1),""))</f>
        <v/>
      </c>
      <c r="H205" s="5">
        <f>IF($A205="","",IFERROR(INDEX(FILTER('Client contacts'!$B$2:$B$500,('Client contacts'!$A$2:$A$500=$A205)*('Client contacts'!$G$2:$G$500="Y"),""),2),""))</f>
        <v/>
      </c>
      <c r="I205" s="5">
        <f>IF($A205="","",IFERROR(INDEX(FILTER('Client contacts'!$C$2:$C$500,('Client contacts'!$A$2:$A$500=$A205)*('Client contacts'!$G$2:$G$500="Y"),""),2),""))</f>
        <v/>
      </c>
      <c r="J205" s="8" t="n"/>
      <c r="K205" s="8" t="n"/>
      <c r="L205" s="8" t="n"/>
      <c r="M205" s="8" t="n"/>
      <c r="N205" s="8" t="n"/>
      <c r="O205" s="8" t="n"/>
      <c r="P205" s="8" t="n"/>
      <c r="Q205" s="8" t="n"/>
      <c r="R205" s="5">
        <f>IF($A205="","",IFERROR(INDEX(Companies!$I$2:$I$500,MATCH($A205,Companies!$A$2:$A$500,0)),""))</f>
        <v/>
      </c>
      <c r="S205" s="8" t="n"/>
      <c r="T205" s="8" t="n"/>
      <c r="U205" s="8" t="n"/>
      <c r="V205" s="8" t="n"/>
      <c r="W205" s="8" t="n"/>
    </row>
    <row r="206">
      <c r="C206" s="5">
        <f>IF($B206="","",TRIM(IF(INDEX('MOA role matrix'!$B$2:$D$13,1,MATCH($B206,'MOA role matrix'!$B$1:$D$1,0))="Fill","Project initiator, ","")IF(INDEX('MOA role matrix'!$B$2:$D$13,1,MATCH($B206,'MOA role matrix'!$B$1:$D$1,0))="If finance","Project initiator (if finance), ","")IF(INDEX('MOA role matrix'!$B$2:$D$13,1,MATCH($B206,'MOA role matrix'!$B$1:$D$1,0))="Auto","Project initiator (auto), ","")IF(INDEX('MOA role matrix'!$B$2:$D$13,2,MATCH($B206,'MOA role matrix'!$B$1:$D$1,0))="Fill","MOA signers (client), ","")IF(INDEX('MOA role matrix'!$B$2:$D$13,2,MATCH($B206,'MOA role matrix'!$B$1:$D$1,0))="If finance","MOA signers (client) (if finance), ","")IF(INDEX('MOA role matrix'!$B$2:$D$13,2,MATCH($B206,'MOA role matrix'!$B$1:$D$1,0))="Auto","MOA signers (client) (auto), ","")IF(INDEX('MOA role matrix'!$B$2:$D$13,3,MATCH($B206,'MOA role matrix'!$B$1:$D$1,0))="Fill","CFO / Head of Finance, ","")IF(INDEX('MOA role matrix'!$B$2:$D$13,3,MATCH($B206,'MOA role matrix'!$B$1:$D$1,0))="If finance","CFO / Head of Finance (if finance), ","")IF(INDEX('MOA role matrix'!$B$2:$D$13,3,MATCH($B206,'MOA role matrix'!$B$1:$D$1,0))="Auto","CFO / Head of Finance (auto), ","")IF(INDEX('MOA role matrix'!$B$2:$D$13,4,MATCH($B206,'MOA role matrix'!$B$1:$D$1,0))="Fill","CEO / COO / GM, ","")IF(INDEX('MOA role matrix'!$B$2:$D$13,4,MATCH($B206,'MOA role matrix'!$B$1:$D$1,0))="If finance","CEO / COO / GM (if finance), ","")IF(INDEX('MOA role matrix'!$B$2:$D$13,4,MATCH($B206,'MOA role matrix'!$B$1:$D$1,0))="Auto","CEO / COO / GM (auto), ","")IF(INDEX('MOA role matrix'!$B$2:$D$13,5,MATCH($B206,'MOA role matrix'!$B$1:$D$1,0))="Fill","Board member 1, ","")IF(INDEX('MOA role matrix'!$B$2:$D$13,5,MATCH($B206,'MOA role matrix'!$B$1:$D$1,0))="If finance","Board member 1 (if finance), ","")IF(INDEX('MOA role matrix'!$B$2:$D$13,5,MATCH($B206,'MOA role matrix'!$B$1:$D$1,0))="Auto","Board member 1 (auto), ","")IF(INDEX('MOA role matrix'!$B$2:$D$13,6,MATCH($B206,'MOA role matrix'!$B$1:$D$1,0))="Fill","Board member 2, ","")IF(INDEX('MOA role matrix'!$B$2:$D$13,6,MATCH($B206,'MOA role matrix'!$B$1:$D$1,0))="If finance","Board member 2 (if finance), ","")IF(INDEX('MOA role matrix'!$B$2:$D$13,6,MATCH($B206,'MOA role matrix'!$B$1:$D$1,0))="Auto","Board member 2 (auto), ","")IF(INDEX('MOA role matrix'!$B$2:$D$13,7,MATCH($B206,'MOA role matrix'!$B$1:$D$1,0))="Fill","LOA holder 1, ","")IF(INDEX('MOA role matrix'!$B$2:$D$13,7,MATCH($B206,'MOA role matrix'!$B$1:$D$1,0))="If finance","LOA holder 1 (if finance), ","")IF(INDEX('MOA role matrix'!$B$2:$D$13,7,MATCH($B206,'MOA role matrix'!$B$1:$D$1,0))="Auto","LOA holder 1 (auto), ","")IF(INDEX('MOA role matrix'!$B$2:$D$13,8,MATCH($B206,'MOA role matrix'!$B$1:$D$1,0))="Fill","LOA holder 2, ","")IF(INDEX('MOA role matrix'!$B$2:$D$13,8,MATCH($B206,'MOA role matrix'!$B$1:$D$1,0))="If finance","LOA holder 2 (if finance), ","")IF(INDEX('MOA role matrix'!$B$2:$D$13,8,MATCH($B206,'MOA role matrix'!$B$1:$D$1,0))="Auto","LOA holder 2 (auto), ","")IF(INDEX('MOA role matrix'!$B$2:$D$13,9,MATCH($B206,'MOA role matrix'!$B$1:$D$1,0))="Fill","Senior Manager CoSec, ","")IF(INDEX('MOA role matrix'!$B$2:$D$13,9,MATCH($B206,'MOA role matrix'!$B$1:$D$1,0))="If finance","Senior Manager CoSec (if finance), ","")IF(INDEX('MOA role matrix'!$B$2:$D$13,9,MATCH($B206,'MOA role matrix'!$B$1:$D$1,0))="Auto","Senior Manager CoSec (auto), ","")IF(INDEX('MOA role matrix'!$B$2:$D$13,10,MATCH($B206,'MOA role matrix'!$B$1:$D$1,0))="Fill","Division MOI managers, ","")IF(INDEX('MOA role matrix'!$B$2:$D$13,10,MATCH($B206,'MOA role matrix'!$B$1:$D$1,0))="If finance","Division MOI managers (if finance), ","")IF(INDEX('MOA role matrix'!$B$2:$D$13,10,MATCH($B206,'MOA role matrix'!$B$1:$D$1,0))="Auto","Division MOI managers (auto), ","")IF(INDEX('MOA role matrix'!$B$2:$D$13,11,MATCH($B206,'MOA role matrix'!$B$1:$D$1,0))="Fill","Ms Teh (bank), ","")IF(INDEX('MOA role matrix'!$B$2:$D$13,11,MATCH($B206,'MOA role matrix'!$B$1:$D$1,0))="If finance","Ms Teh (bank) (if finance), ","")IF(INDEX('MOA role matrix'!$B$2:$D$13,11,MATCH($B206,'MOA role matrix'!$B$1:$D$1,0))="Auto","Ms Teh (bank) (auto), ","")IF(INDEX('MOA role matrix'!$B$2:$D$13,12,MATCH($B206,'MOA role matrix'!$B$1:$D$1,0))="Fill","DLCM, ","")IF(INDEX('MOA role matrix'!$B$2:$D$13,12,MATCH($B206,'MOA role matrix'!$B$1:$D$1,0))="If finance","DLCM (if finance), ","")IF(INDEX('MOA role matrix'!$B$2:$D$13,12,MATCH($B206,'MOA role matrix'!$B$1:$D$1,0))="Auto","DLCM (auto), ","")))</f>
        <v/>
      </c>
      <c r="D206" s="5">
        <f>IF($A206="","",IFERROR(INDEX(FILTER('Client contacts'!$B$2:$B$500,('Client contacts'!$A$2:$A$500=$A206)*('Client contacts'!$H$2:$H$500="Y"),""),1),""))</f>
        <v/>
      </c>
      <c r="E206" s="5">
        <f>IF($A206="","",IFERROR(INDEX(FILTER('Client contacts'!$C$2:$C$500,('Client contacts'!$A$2:$A$500=$A206)*('Client contacts'!$H$2:$H$500="Y"),""),1),""))</f>
        <v/>
      </c>
      <c r="F206" s="5">
        <f>IF($A206="","",IFERROR(INDEX(FILTER('Client contacts'!$B$2:$B$500,('Client contacts'!$A$2:$A$500=$A206)*('Client contacts'!$G$2:$G$500="Y"),""),1),""))</f>
        <v/>
      </c>
      <c r="G206" s="5">
        <f>IF($A206="","",IFERROR(INDEX(FILTER('Client contacts'!$C$2:$C$500,('Client contacts'!$A$2:$A$500=$A206)*('Client contacts'!$G$2:$G$500="Y"),""),1),""))</f>
        <v/>
      </c>
      <c r="H206" s="5">
        <f>IF($A206="","",IFERROR(INDEX(FILTER('Client contacts'!$B$2:$B$500,('Client contacts'!$A$2:$A$500=$A206)*('Client contacts'!$G$2:$G$500="Y"),""),2),""))</f>
        <v/>
      </c>
      <c r="I206" s="5">
        <f>IF($A206="","",IFERROR(INDEX(FILTER('Client contacts'!$C$2:$C$500,('Client contacts'!$A$2:$A$500=$A206)*('Client contacts'!$G$2:$G$500="Y"),""),2),""))</f>
        <v/>
      </c>
      <c r="J206" s="8" t="n"/>
      <c r="K206" s="8" t="n"/>
      <c r="L206" s="8" t="n"/>
      <c r="M206" s="8" t="n"/>
      <c r="N206" s="8" t="n"/>
      <c r="O206" s="8" t="n"/>
      <c r="P206" s="8" t="n"/>
      <c r="Q206" s="8" t="n"/>
      <c r="R206" s="5">
        <f>IF($A206="","",IFERROR(INDEX(Companies!$I$2:$I$500,MATCH($A206,Companies!$A$2:$A$500,0)),""))</f>
        <v/>
      </c>
      <c r="S206" s="8" t="n"/>
      <c r="T206" s="8" t="n"/>
      <c r="U206" s="8" t="n"/>
      <c r="V206" s="8" t="n"/>
      <c r="W206" s="8" t="n"/>
    </row>
    <row r="207">
      <c r="C207" s="5">
        <f>IF($B207="","",TRIM(IF(INDEX('MOA role matrix'!$B$2:$D$13,1,MATCH($B207,'MOA role matrix'!$B$1:$D$1,0))="Fill","Project initiator, ","")IF(INDEX('MOA role matrix'!$B$2:$D$13,1,MATCH($B207,'MOA role matrix'!$B$1:$D$1,0))="If finance","Project initiator (if finance), ","")IF(INDEX('MOA role matrix'!$B$2:$D$13,1,MATCH($B207,'MOA role matrix'!$B$1:$D$1,0))="Auto","Project initiator (auto), ","")IF(INDEX('MOA role matrix'!$B$2:$D$13,2,MATCH($B207,'MOA role matrix'!$B$1:$D$1,0))="Fill","MOA signers (client), ","")IF(INDEX('MOA role matrix'!$B$2:$D$13,2,MATCH($B207,'MOA role matrix'!$B$1:$D$1,0))="If finance","MOA signers (client) (if finance), ","")IF(INDEX('MOA role matrix'!$B$2:$D$13,2,MATCH($B207,'MOA role matrix'!$B$1:$D$1,0))="Auto","MOA signers (client) (auto), ","")IF(INDEX('MOA role matrix'!$B$2:$D$13,3,MATCH($B207,'MOA role matrix'!$B$1:$D$1,0))="Fill","CFO / Head of Finance, ","")IF(INDEX('MOA role matrix'!$B$2:$D$13,3,MATCH($B207,'MOA role matrix'!$B$1:$D$1,0))="If finance","CFO / Head of Finance (if finance), ","")IF(INDEX('MOA role matrix'!$B$2:$D$13,3,MATCH($B207,'MOA role matrix'!$B$1:$D$1,0))="Auto","CFO / Head of Finance (auto), ","")IF(INDEX('MOA role matrix'!$B$2:$D$13,4,MATCH($B207,'MOA role matrix'!$B$1:$D$1,0))="Fill","CEO / COO / GM, ","")IF(INDEX('MOA role matrix'!$B$2:$D$13,4,MATCH($B207,'MOA role matrix'!$B$1:$D$1,0))="If finance","CEO / COO / GM (if finance), ","")IF(INDEX('MOA role matrix'!$B$2:$D$13,4,MATCH($B207,'MOA role matrix'!$B$1:$D$1,0))="Auto","CEO / COO / GM (auto), ","")IF(INDEX('MOA role matrix'!$B$2:$D$13,5,MATCH($B207,'MOA role matrix'!$B$1:$D$1,0))="Fill","Board member 1, ","")IF(INDEX('MOA role matrix'!$B$2:$D$13,5,MATCH($B207,'MOA role matrix'!$B$1:$D$1,0))="If finance","Board member 1 (if finance), ","")IF(INDEX('MOA role matrix'!$B$2:$D$13,5,MATCH($B207,'MOA role matrix'!$B$1:$D$1,0))="Auto","Board member 1 (auto), ","")IF(INDEX('MOA role matrix'!$B$2:$D$13,6,MATCH($B207,'MOA role matrix'!$B$1:$D$1,0))="Fill","Board member 2, ","")IF(INDEX('MOA role matrix'!$B$2:$D$13,6,MATCH($B207,'MOA role matrix'!$B$1:$D$1,0))="If finance","Board member 2 (if finance), ","")IF(INDEX('MOA role matrix'!$B$2:$D$13,6,MATCH($B207,'MOA role matrix'!$B$1:$D$1,0))="Auto","Board member 2 (auto), ","")IF(INDEX('MOA role matrix'!$B$2:$D$13,7,MATCH($B207,'MOA role matrix'!$B$1:$D$1,0))="Fill","LOA holder 1, ","")IF(INDEX('MOA role matrix'!$B$2:$D$13,7,MATCH($B207,'MOA role matrix'!$B$1:$D$1,0))="If finance","LOA holder 1 (if finance), ","")IF(INDEX('MOA role matrix'!$B$2:$D$13,7,MATCH($B207,'MOA role matrix'!$B$1:$D$1,0))="Auto","LOA holder 1 (auto), ","")IF(INDEX('MOA role matrix'!$B$2:$D$13,8,MATCH($B207,'MOA role matrix'!$B$1:$D$1,0))="Fill","LOA holder 2, ","")IF(INDEX('MOA role matrix'!$B$2:$D$13,8,MATCH($B207,'MOA role matrix'!$B$1:$D$1,0))="If finance","LOA holder 2 (if finance), ","")IF(INDEX('MOA role matrix'!$B$2:$D$13,8,MATCH($B207,'MOA role matrix'!$B$1:$D$1,0))="Auto","LOA holder 2 (auto), ","")IF(INDEX('MOA role matrix'!$B$2:$D$13,9,MATCH($B207,'MOA role matrix'!$B$1:$D$1,0))="Fill","Senior Manager CoSec, ","")IF(INDEX('MOA role matrix'!$B$2:$D$13,9,MATCH($B207,'MOA role matrix'!$B$1:$D$1,0))="If finance","Senior Manager CoSec (if finance), ","")IF(INDEX('MOA role matrix'!$B$2:$D$13,9,MATCH($B207,'MOA role matrix'!$B$1:$D$1,0))="Auto","Senior Manager CoSec (auto), ","")IF(INDEX('MOA role matrix'!$B$2:$D$13,10,MATCH($B207,'MOA role matrix'!$B$1:$D$1,0))="Fill","Division MOI managers, ","")IF(INDEX('MOA role matrix'!$B$2:$D$13,10,MATCH($B207,'MOA role matrix'!$B$1:$D$1,0))="If finance","Division MOI managers (if finance), ","")IF(INDEX('MOA role matrix'!$B$2:$D$13,10,MATCH($B207,'MOA role matrix'!$B$1:$D$1,0))="Auto","Division MOI managers (auto), ","")IF(INDEX('MOA role matrix'!$B$2:$D$13,11,MATCH($B207,'MOA role matrix'!$B$1:$D$1,0))="Fill","Ms Teh (bank), ","")IF(INDEX('MOA role matrix'!$B$2:$D$13,11,MATCH($B207,'MOA role matrix'!$B$1:$D$1,0))="If finance","Ms Teh (bank) (if finance), ","")IF(INDEX('MOA role matrix'!$B$2:$D$13,11,MATCH($B207,'MOA role matrix'!$B$1:$D$1,0))="Auto","Ms Teh (bank) (auto), ","")IF(INDEX('MOA role matrix'!$B$2:$D$13,12,MATCH($B207,'MOA role matrix'!$B$1:$D$1,0))="Fill","DLCM, ","")IF(INDEX('MOA role matrix'!$B$2:$D$13,12,MATCH($B207,'MOA role matrix'!$B$1:$D$1,0))="If finance","DLCM (if finance), ","")IF(INDEX('MOA role matrix'!$B$2:$D$13,12,MATCH($B207,'MOA role matrix'!$B$1:$D$1,0))="Auto","DLCM (auto), ","")))</f>
        <v/>
      </c>
      <c r="D207" s="5">
        <f>IF($A207="","",IFERROR(INDEX(FILTER('Client contacts'!$B$2:$B$500,('Client contacts'!$A$2:$A$500=$A207)*('Client contacts'!$H$2:$H$500="Y"),""),1),""))</f>
        <v/>
      </c>
      <c r="E207" s="5">
        <f>IF($A207="","",IFERROR(INDEX(FILTER('Client contacts'!$C$2:$C$500,('Client contacts'!$A$2:$A$500=$A207)*('Client contacts'!$H$2:$H$500="Y"),""),1),""))</f>
        <v/>
      </c>
      <c r="F207" s="5">
        <f>IF($A207="","",IFERROR(INDEX(FILTER('Client contacts'!$B$2:$B$500,('Client contacts'!$A$2:$A$500=$A207)*('Client contacts'!$G$2:$G$500="Y"),""),1),""))</f>
        <v/>
      </c>
      <c r="G207" s="5">
        <f>IF($A207="","",IFERROR(INDEX(FILTER('Client contacts'!$C$2:$C$500,('Client contacts'!$A$2:$A$500=$A207)*('Client contacts'!$G$2:$G$500="Y"),""),1),""))</f>
        <v/>
      </c>
      <c r="H207" s="5">
        <f>IF($A207="","",IFERROR(INDEX(FILTER('Client contacts'!$B$2:$B$500,('Client contacts'!$A$2:$A$500=$A207)*('Client contacts'!$G$2:$G$500="Y"),""),2),""))</f>
        <v/>
      </c>
      <c r="I207" s="5">
        <f>IF($A207="","",IFERROR(INDEX(FILTER('Client contacts'!$C$2:$C$500,('Client contacts'!$A$2:$A$500=$A207)*('Client contacts'!$G$2:$G$500="Y"),""),2),""))</f>
        <v/>
      </c>
      <c r="J207" s="8" t="n"/>
      <c r="K207" s="8" t="n"/>
      <c r="L207" s="8" t="n"/>
      <c r="M207" s="8" t="n"/>
      <c r="N207" s="8" t="n"/>
      <c r="O207" s="8" t="n"/>
      <c r="P207" s="8" t="n"/>
      <c r="Q207" s="8" t="n"/>
      <c r="R207" s="5">
        <f>IF($A207="","",IFERROR(INDEX(Companies!$I$2:$I$500,MATCH($A207,Companies!$A$2:$A$500,0)),""))</f>
        <v/>
      </c>
      <c r="S207" s="8" t="n"/>
      <c r="T207" s="8" t="n"/>
      <c r="U207" s="8" t="n"/>
      <c r="V207" s="8" t="n"/>
      <c r="W207" s="8" t="n"/>
    </row>
    <row r="208">
      <c r="C208" s="5">
        <f>IF($B208="","",TRIM(IF(INDEX('MOA role matrix'!$B$2:$D$13,1,MATCH($B208,'MOA role matrix'!$B$1:$D$1,0))="Fill","Project initiator, ","")IF(INDEX('MOA role matrix'!$B$2:$D$13,1,MATCH($B208,'MOA role matrix'!$B$1:$D$1,0))="If finance","Project initiator (if finance), ","")IF(INDEX('MOA role matrix'!$B$2:$D$13,1,MATCH($B208,'MOA role matrix'!$B$1:$D$1,0))="Auto","Project initiator (auto), ","")IF(INDEX('MOA role matrix'!$B$2:$D$13,2,MATCH($B208,'MOA role matrix'!$B$1:$D$1,0))="Fill","MOA signers (client), ","")IF(INDEX('MOA role matrix'!$B$2:$D$13,2,MATCH($B208,'MOA role matrix'!$B$1:$D$1,0))="If finance","MOA signers (client) (if finance), ","")IF(INDEX('MOA role matrix'!$B$2:$D$13,2,MATCH($B208,'MOA role matrix'!$B$1:$D$1,0))="Auto","MOA signers (client) (auto), ","")IF(INDEX('MOA role matrix'!$B$2:$D$13,3,MATCH($B208,'MOA role matrix'!$B$1:$D$1,0))="Fill","CFO / Head of Finance, ","")IF(INDEX('MOA role matrix'!$B$2:$D$13,3,MATCH($B208,'MOA role matrix'!$B$1:$D$1,0))="If finance","CFO / Head of Finance (if finance), ","")IF(INDEX('MOA role matrix'!$B$2:$D$13,3,MATCH($B208,'MOA role matrix'!$B$1:$D$1,0))="Auto","CFO / Head of Finance (auto), ","")IF(INDEX('MOA role matrix'!$B$2:$D$13,4,MATCH($B208,'MOA role matrix'!$B$1:$D$1,0))="Fill","CEO / COO / GM, ","")IF(INDEX('MOA role matrix'!$B$2:$D$13,4,MATCH($B208,'MOA role matrix'!$B$1:$D$1,0))="If finance","CEO / COO / GM (if finance), ","")IF(INDEX('MOA role matrix'!$B$2:$D$13,4,MATCH($B208,'MOA role matrix'!$B$1:$D$1,0))="Auto","CEO / COO / GM (auto), ","")IF(INDEX('MOA role matrix'!$B$2:$D$13,5,MATCH($B208,'MOA role matrix'!$B$1:$D$1,0))="Fill","Board member 1, ","")IF(INDEX('MOA role matrix'!$B$2:$D$13,5,MATCH($B208,'MOA role matrix'!$B$1:$D$1,0))="If finance","Board member 1 (if finance), ","")IF(INDEX('MOA role matrix'!$B$2:$D$13,5,MATCH($B208,'MOA role matrix'!$B$1:$D$1,0))="Auto","Board member 1 (auto), ","")IF(INDEX('MOA role matrix'!$B$2:$D$13,6,MATCH($B208,'MOA role matrix'!$B$1:$D$1,0))="Fill","Board member 2, ","")IF(INDEX('MOA role matrix'!$B$2:$D$13,6,MATCH($B208,'MOA role matrix'!$B$1:$D$1,0))="If finance","Board member 2 (if finance), ","")IF(INDEX('MOA role matrix'!$B$2:$D$13,6,MATCH($B208,'MOA role matrix'!$B$1:$D$1,0))="Auto","Board member 2 (auto), ","")IF(INDEX('MOA role matrix'!$B$2:$D$13,7,MATCH($B208,'MOA role matrix'!$B$1:$D$1,0))="Fill","LOA holder 1, ","")IF(INDEX('MOA role matrix'!$B$2:$D$13,7,MATCH($B208,'MOA role matrix'!$B$1:$D$1,0))="If finance","LOA holder 1 (if finance), ","")IF(INDEX('MOA role matrix'!$B$2:$D$13,7,MATCH($B208,'MOA role matrix'!$B$1:$D$1,0))="Auto","LOA holder 1 (auto), ","")IF(INDEX('MOA role matrix'!$B$2:$D$13,8,MATCH($B208,'MOA role matrix'!$B$1:$D$1,0))="Fill","LOA holder 2, ","")IF(INDEX('MOA role matrix'!$B$2:$D$13,8,MATCH($B208,'MOA role matrix'!$B$1:$D$1,0))="If finance","LOA holder 2 (if finance), ","")IF(INDEX('MOA role matrix'!$B$2:$D$13,8,MATCH($B208,'MOA role matrix'!$B$1:$D$1,0))="Auto","LOA holder 2 (auto), ","")IF(INDEX('MOA role matrix'!$B$2:$D$13,9,MATCH($B208,'MOA role matrix'!$B$1:$D$1,0))="Fill","Senior Manager CoSec, ","")IF(INDEX('MOA role matrix'!$B$2:$D$13,9,MATCH($B208,'MOA role matrix'!$B$1:$D$1,0))="If finance","Senior Manager CoSec (if finance), ","")IF(INDEX('MOA role matrix'!$B$2:$D$13,9,MATCH($B208,'MOA role matrix'!$B$1:$D$1,0))="Auto","Senior Manager CoSec (auto), ","")IF(INDEX('MOA role matrix'!$B$2:$D$13,10,MATCH($B208,'MOA role matrix'!$B$1:$D$1,0))="Fill","Division MOI managers, ","")IF(INDEX('MOA role matrix'!$B$2:$D$13,10,MATCH($B208,'MOA role matrix'!$B$1:$D$1,0))="If finance","Division MOI managers (if finance), ","")IF(INDEX('MOA role matrix'!$B$2:$D$13,10,MATCH($B208,'MOA role matrix'!$B$1:$D$1,0))="Auto","Division MOI managers (auto), ","")IF(INDEX('MOA role matrix'!$B$2:$D$13,11,MATCH($B208,'MOA role matrix'!$B$1:$D$1,0))="Fill","Ms Teh (bank), ","")IF(INDEX('MOA role matrix'!$B$2:$D$13,11,MATCH($B208,'MOA role matrix'!$B$1:$D$1,0))="If finance","Ms Teh (bank) (if finance), ","")IF(INDEX('MOA role matrix'!$B$2:$D$13,11,MATCH($B208,'MOA role matrix'!$B$1:$D$1,0))="Auto","Ms Teh (bank) (auto), ","")IF(INDEX('MOA role matrix'!$B$2:$D$13,12,MATCH($B208,'MOA role matrix'!$B$1:$D$1,0))="Fill","DLCM, ","")IF(INDEX('MOA role matrix'!$B$2:$D$13,12,MATCH($B208,'MOA role matrix'!$B$1:$D$1,0))="If finance","DLCM (if finance), ","")IF(INDEX('MOA role matrix'!$B$2:$D$13,12,MATCH($B208,'MOA role matrix'!$B$1:$D$1,0))="Auto","DLCM (auto), ","")))</f>
        <v/>
      </c>
      <c r="D208" s="5">
        <f>IF($A208="","",IFERROR(INDEX(FILTER('Client contacts'!$B$2:$B$500,('Client contacts'!$A$2:$A$500=$A208)*('Client contacts'!$H$2:$H$500="Y"),""),1),""))</f>
        <v/>
      </c>
      <c r="E208" s="5">
        <f>IF($A208="","",IFERROR(INDEX(FILTER('Client contacts'!$C$2:$C$500,('Client contacts'!$A$2:$A$500=$A208)*('Client contacts'!$H$2:$H$500="Y"),""),1),""))</f>
        <v/>
      </c>
      <c r="F208" s="5">
        <f>IF($A208="","",IFERROR(INDEX(FILTER('Client contacts'!$B$2:$B$500,('Client contacts'!$A$2:$A$500=$A208)*('Client contacts'!$G$2:$G$500="Y"),""),1),""))</f>
        <v/>
      </c>
      <c r="G208" s="5">
        <f>IF($A208="","",IFERROR(INDEX(FILTER('Client contacts'!$C$2:$C$500,('Client contacts'!$A$2:$A$500=$A208)*('Client contacts'!$G$2:$G$500="Y"),""),1),""))</f>
        <v/>
      </c>
      <c r="H208" s="5">
        <f>IF($A208="","",IFERROR(INDEX(FILTER('Client contacts'!$B$2:$B$500,('Client contacts'!$A$2:$A$500=$A208)*('Client contacts'!$G$2:$G$500="Y"),""),2),""))</f>
        <v/>
      </c>
      <c r="I208" s="5">
        <f>IF($A208="","",IFERROR(INDEX(FILTER('Client contacts'!$C$2:$C$500,('Client contacts'!$A$2:$A$500=$A208)*('Client contacts'!$G$2:$G$500="Y"),""),2),""))</f>
        <v/>
      </c>
      <c r="J208" s="8" t="n"/>
      <c r="K208" s="8" t="n"/>
      <c r="L208" s="8" t="n"/>
      <c r="M208" s="8" t="n"/>
      <c r="N208" s="8" t="n"/>
      <c r="O208" s="8" t="n"/>
      <c r="P208" s="8" t="n"/>
      <c r="Q208" s="8" t="n"/>
      <c r="R208" s="5">
        <f>IF($A208="","",IFERROR(INDEX(Companies!$I$2:$I$500,MATCH($A208,Companies!$A$2:$A$500,0)),""))</f>
        <v/>
      </c>
      <c r="S208" s="8" t="n"/>
      <c r="T208" s="8" t="n"/>
      <c r="U208" s="8" t="n"/>
      <c r="V208" s="8" t="n"/>
      <c r="W208" s="8" t="n"/>
    </row>
    <row r="209">
      <c r="C209" s="5">
        <f>IF($B209="","",TRIM(IF(INDEX('MOA role matrix'!$B$2:$D$13,1,MATCH($B209,'MOA role matrix'!$B$1:$D$1,0))="Fill","Project initiator, ","")IF(INDEX('MOA role matrix'!$B$2:$D$13,1,MATCH($B209,'MOA role matrix'!$B$1:$D$1,0))="If finance","Project initiator (if finance), ","")IF(INDEX('MOA role matrix'!$B$2:$D$13,1,MATCH($B209,'MOA role matrix'!$B$1:$D$1,0))="Auto","Project initiator (auto), ","")IF(INDEX('MOA role matrix'!$B$2:$D$13,2,MATCH($B209,'MOA role matrix'!$B$1:$D$1,0))="Fill","MOA signers (client), ","")IF(INDEX('MOA role matrix'!$B$2:$D$13,2,MATCH($B209,'MOA role matrix'!$B$1:$D$1,0))="If finance","MOA signers (client) (if finance), ","")IF(INDEX('MOA role matrix'!$B$2:$D$13,2,MATCH($B209,'MOA role matrix'!$B$1:$D$1,0))="Auto","MOA signers (client) (auto), ","")IF(INDEX('MOA role matrix'!$B$2:$D$13,3,MATCH($B209,'MOA role matrix'!$B$1:$D$1,0))="Fill","CFO / Head of Finance, ","")IF(INDEX('MOA role matrix'!$B$2:$D$13,3,MATCH($B209,'MOA role matrix'!$B$1:$D$1,0))="If finance","CFO / Head of Finance (if finance), ","")IF(INDEX('MOA role matrix'!$B$2:$D$13,3,MATCH($B209,'MOA role matrix'!$B$1:$D$1,0))="Auto","CFO / Head of Finance (auto), ","")IF(INDEX('MOA role matrix'!$B$2:$D$13,4,MATCH($B209,'MOA role matrix'!$B$1:$D$1,0))="Fill","CEO / COO / GM, ","")IF(INDEX('MOA role matrix'!$B$2:$D$13,4,MATCH($B209,'MOA role matrix'!$B$1:$D$1,0))="If finance","CEO / COO / GM (if finance), ","")IF(INDEX('MOA role matrix'!$B$2:$D$13,4,MATCH($B209,'MOA role matrix'!$B$1:$D$1,0))="Auto","CEO / COO / GM (auto), ","")IF(INDEX('MOA role matrix'!$B$2:$D$13,5,MATCH($B209,'MOA role matrix'!$B$1:$D$1,0))="Fill","Board member 1, ","")IF(INDEX('MOA role matrix'!$B$2:$D$13,5,MATCH($B209,'MOA role matrix'!$B$1:$D$1,0))="If finance","Board member 1 (if finance), ","")IF(INDEX('MOA role matrix'!$B$2:$D$13,5,MATCH($B209,'MOA role matrix'!$B$1:$D$1,0))="Auto","Board member 1 (auto), ","")IF(INDEX('MOA role matrix'!$B$2:$D$13,6,MATCH($B209,'MOA role matrix'!$B$1:$D$1,0))="Fill","Board member 2, ","")IF(INDEX('MOA role matrix'!$B$2:$D$13,6,MATCH($B209,'MOA role matrix'!$B$1:$D$1,0))="If finance","Board member 2 (if finance), ","")IF(INDEX('MOA role matrix'!$B$2:$D$13,6,MATCH($B209,'MOA role matrix'!$B$1:$D$1,0))="Auto","Board member 2 (auto), ","")IF(INDEX('MOA role matrix'!$B$2:$D$13,7,MATCH($B209,'MOA role matrix'!$B$1:$D$1,0))="Fill","LOA holder 1, ","")IF(INDEX('MOA role matrix'!$B$2:$D$13,7,MATCH($B209,'MOA role matrix'!$B$1:$D$1,0))="If finance","LOA holder 1 (if finance), ","")IF(INDEX('MOA role matrix'!$B$2:$D$13,7,MATCH($B209,'MOA role matrix'!$B$1:$D$1,0))="Auto","LOA holder 1 (auto), ","")IF(INDEX('MOA role matrix'!$B$2:$D$13,8,MATCH($B209,'MOA role matrix'!$B$1:$D$1,0))="Fill","LOA holder 2, ","")IF(INDEX('MOA role matrix'!$B$2:$D$13,8,MATCH($B209,'MOA role matrix'!$B$1:$D$1,0))="If finance","LOA holder 2 (if finance), ","")IF(INDEX('MOA role matrix'!$B$2:$D$13,8,MATCH($B209,'MOA role matrix'!$B$1:$D$1,0))="Auto","LOA holder 2 (auto), ","")IF(INDEX('MOA role matrix'!$B$2:$D$13,9,MATCH($B209,'MOA role matrix'!$B$1:$D$1,0))="Fill","Senior Manager CoSec, ","")IF(INDEX('MOA role matrix'!$B$2:$D$13,9,MATCH($B209,'MOA role matrix'!$B$1:$D$1,0))="If finance","Senior Manager CoSec (if finance), ","")IF(INDEX('MOA role matrix'!$B$2:$D$13,9,MATCH($B209,'MOA role matrix'!$B$1:$D$1,0))="Auto","Senior Manager CoSec (auto), ","")IF(INDEX('MOA role matrix'!$B$2:$D$13,10,MATCH($B209,'MOA role matrix'!$B$1:$D$1,0))="Fill","Division MOI managers, ","")IF(INDEX('MOA role matrix'!$B$2:$D$13,10,MATCH($B209,'MOA role matrix'!$B$1:$D$1,0))="If finance","Division MOI managers (if finance), ","")IF(INDEX('MOA role matrix'!$B$2:$D$13,10,MATCH($B209,'MOA role matrix'!$B$1:$D$1,0))="Auto","Division MOI managers (auto), ","")IF(INDEX('MOA role matrix'!$B$2:$D$13,11,MATCH($B209,'MOA role matrix'!$B$1:$D$1,0))="Fill","Ms Teh (bank), ","")IF(INDEX('MOA role matrix'!$B$2:$D$13,11,MATCH($B209,'MOA role matrix'!$B$1:$D$1,0))="If finance","Ms Teh (bank) (if finance), ","")IF(INDEX('MOA role matrix'!$B$2:$D$13,11,MATCH($B209,'MOA role matrix'!$B$1:$D$1,0))="Auto","Ms Teh (bank) (auto), ","")IF(INDEX('MOA role matrix'!$B$2:$D$13,12,MATCH($B209,'MOA role matrix'!$B$1:$D$1,0))="Fill","DLCM, ","")IF(INDEX('MOA role matrix'!$B$2:$D$13,12,MATCH($B209,'MOA role matrix'!$B$1:$D$1,0))="If finance","DLCM (if finance), ","")IF(INDEX('MOA role matrix'!$B$2:$D$13,12,MATCH($B209,'MOA role matrix'!$B$1:$D$1,0))="Auto","DLCM (auto), ","")))</f>
        <v/>
      </c>
      <c r="D209" s="5">
        <f>IF($A209="","",IFERROR(INDEX(FILTER('Client contacts'!$B$2:$B$500,('Client contacts'!$A$2:$A$500=$A209)*('Client contacts'!$H$2:$H$500="Y"),""),1),""))</f>
        <v/>
      </c>
      <c r="E209" s="5">
        <f>IF($A209="","",IFERROR(INDEX(FILTER('Client contacts'!$C$2:$C$500,('Client contacts'!$A$2:$A$500=$A209)*('Client contacts'!$H$2:$H$500="Y"),""),1),""))</f>
        <v/>
      </c>
      <c r="F209" s="5">
        <f>IF($A209="","",IFERROR(INDEX(FILTER('Client contacts'!$B$2:$B$500,('Client contacts'!$A$2:$A$500=$A209)*('Client contacts'!$G$2:$G$500="Y"),""),1),""))</f>
        <v/>
      </c>
      <c r="G209" s="5">
        <f>IF($A209="","",IFERROR(INDEX(FILTER('Client contacts'!$C$2:$C$500,('Client contacts'!$A$2:$A$500=$A209)*('Client contacts'!$G$2:$G$500="Y"),""),1),""))</f>
        <v/>
      </c>
      <c r="H209" s="5">
        <f>IF($A209="","",IFERROR(INDEX(FILTER('Client contacts'!$B$2:$B$500,('Client contacts'!$A$2:$A$500=$A209)*('Client contacts'!$G$2:$G$500="Y"),""),2),""))</f>
        <v/>
      </c>
      <c r="I209" s="5">
        <f>IF($A209="","",IFERROR(INDEX(FILTER('Client contacts'!$C$2:$C$500,('Client contacts'!$A$2:$A$500=$A209)*('Client contacts'!$G$2:$G$500="Y"),""),2),""))</f>
        <v/>
      </c>
      <c r="J209" s="8" t="n"/>
      <c r="K209" s="8" t="n"/>
      <c r="L209" s="8" t="n"/>
      <c r="M209" s="8" t="n"/>
      <c r="N209" s="8" t="n"/>
      <c r="O209" s="8" t="n"/>
      <c r="P209" s="8" t="n"/>
      <c r="Q209" s="8" t="n"/>
      <c r="R209" s="5">
        <f>IF($A209="","",IFERROR(INDEX(Companies!$I$2:$I$500,MATCH($A209,Companies!$A$2:$A$500,0)),""))</f>
        <v/>
      </c>
      <c r="S209" s="8" t="n"/>
      <c r="T209" s="8" t="n"/>
      <c r="U209" s="8" t="n"/>
      <c r="V209" s="8" t="n"/>
      <c r="W209" s="8" t="n"/>
    </row>
    <row r="210">
      <c r="C210" s="5">
        <f>IF($B210="","",TRIM(IF(INDEX('MOA role matrix'!$B$2:$D$13,1,MATCH($B210,'MOA role matrix'!$B$1:$D$1,0))="Fill","Project initiator, ","")IF(INDEX('MOA role matrix'!$B$2:$D$13,1,MATCH($B210,'MOA role matrix'!$B$1:$D$1,0))="If finance","Project initiator (if finance), ","")IF(INDEX('MOA role matrix'!$B$2:$D$13,1,MATCH($B210,'MOA role matrix'!$B$1:$D$1,0))="Auto","Project initiator (auto), ","")IF(INDEX('MOA role matrix'!$B$2:$D$13,2,MATCH($B210,'MOA role matrix'!$B$1:$D$1,0))="Fill","MOA signers (client), ","")IF(INDEX('MOA role matrix'!$B$2:$D$13,2,MATCH($B210,'MOA role matrix'!$B$1:$D$1,0))="If finance","MOA signers (client) (if finance), ","")IF(INDEX('MOA role matrix'!$B$2:$D$13,2,MATCH($B210,'MOA role matrix'!$B$1:$D$1,0))="Auto","MOA signers (client) (auto), ","")IF(INDEX('MOA role matrix'!$B$2:$D$13,3,MATCH($B210,'MOA role matrix'!$B$1:$D$1,0))="Fill","CFO / Head of Finance, ","")IF(INDEX('MOA role matrix'!$B$2:$D$13,3,MATCH($B210,'MOA role matrix'!$B$1:$D$1,0))="If finance","CFO / Head of Finance (if finance), ","")IF(INDEX('MOA role matrix'!$B$2:$D$13,3,MATCH($B210,'MOA role matrix'!$B$1:$D$1,0))="Auto","CFO / Head of Finance (auto), ","")IF(INDEX('MOA role matrix'!$B$2:$D$13,4,MATCH($B210,'MOA role matrix'!$B$1:$D$1,0))="Fill","CEO / COO / GM, ","")IF(INDEX('MOA role matrix'!$B$2:$D$13,4,MATCH($B210,'MOA role matrix'!$B$1:$D$1,0))="If finance","CEO / COO / GM (if finance), ","")IF(INDEX('MOA role matrix'!$B$2:$D$13,4,MATCH($B210,'MOA role matrix'!$B$1:$D$1,0))="Auto","CEO / COO / GM (auto), ","")IF(INDEX('MOA role matrix'!$B$2:$D$13,5,MATCH($B210,'MOA role matrix'!$B$1:$D$1,0))="Fill","Board member 1, ","")IF(INDEX('MOA role matrix'!$B$2:$D$13,5,MATCH($B210,'MOA role matrix'!$B$1:$D$1,0))="If finance","Board member 1 (if finance), ","")IF(INDEX('MOA role matrix'!$B$2:$D$13,5,MATCH($B210,'MOA role matrix'!$B$1:$D$1,0))="Auto","Board member 1 (auto), ","")IF(INDEX('MOA role matrix'!$B$2:$D$13,6,MATCH($B210,'MOA role matrix'!$B$1:$D$1,0))="Fill","Board member 2, ","")IF(INDEX('MOA role matrix'!$B$2:$D$13,6,MATCH($B210,'MOA role matrix'!$B$1:$D$1,0))="If finance","Board member 2 (if finance), ","")IF(INDEX('MOA role matrix'!$B$2:$D$13,6,MATCH($B210,'MOA role matrix'!$B$1:$D$1,0))="Auto","Board member 2 (auto), ","")IF(INDEX('MOA role matrix'!$B$2:$D$13,7,MATCH($B210,'MOA role matrix'!$B$1:$D$1,0))="Fill","LOA holder 1, ","")IF(INDEX('MOA role matrix'!$B$2:$D$13,7,MATCH($B210,'MOA role matrix'!$B$1:$D$1,0))="If finance","LOA holder 1 (if finance), ","")IF(INDEX('MOA role matrix'!$B$2:$D$13,7,MATCH($B210,'MOA role matrix'!$B$1:$D$1,0))="Auto","LOA holder 1 (auto), ","")IF(INDEX('MOA role matrix'!$B$2:$D$13,8,MATCH($B210,'MOA role matrix'!$B$1:$D$1,0))="Fill","LOA holder 2, ","")IF(INDEX('MOA role matrix'!$B$2:$D$13,8,MATCH($B210,'MOA role matrix'!$B$1:$D$1,0))="If finance","LOA holder 2 (if finance), ","")IF(INDEX('MOA role matrix'!$B$2:$D$13,8,MATCH($B210,'MOA role matrix'!$B$1:$D$1,0))="Auto","LOA holder 2 (auto), ","")IF(INDEX('MOA role matrix'!$B$2:$D$13,9,MATCH($B210,'MOA role matrix'!$B$1:$D$1,0))="Fill","Senior Manager CoSec, ","")IF(INDEX('MOA role matrix'!$B$2:$D$13,9,MATCH($B210,'MOA role matrix'!$B$1:$D$1,0))="If finance","Senior Manager CoSec (if finance), ","")IF(INDEX('MOA role matrix'!$B$2:$D$13,9,MATCH($B210,'MOA role matrix'!$B$1:$D$1,0))="Auto","Senior Manager CoSec (auto), ","")IF(INDEX('MOA role matrix'!$B$2:$D$13,10,MATCH($B210,'MOA role matrix'!$B$1:$D$1,0))="Fill","Division MOI managers, ","")IF(INDEX('MOA role matrix'!$B$2:$D$13,10,MATCH($B210,'MOA role matrix'!$B$1:$D$1,0))="If finance","Division MOI managers (if finance), ","")IF(INDEX('MOA role matrix'!$B$2:$D$13,10,MATCH($B210,'MOA role matrix'!$B$1:$D$1,0))="Auto","Division MOI managers (auto), ","")IF(INDEX('MOA role matrix'!$B$2:$D$13,11,MATCH($B210,'MOA role matrix'!$B$1:$D$1,0))="Fill","Ms Teh (bank), ","")IF(INDEX('MOA role matrix'!$B$2:$D$13,11,MATCH($B210,'MOA role matrix'!$B$1:$D$1,0))="If finance","Ms Teh (bank) (if finance), ","")IF(INDEX('MOA role matrix'!$B$2:$D$13,11,MATCH($B210,'MOA role matrix'!$B$1:$D$1,0))="Auto","Ms Teh (bank) (auto), ","")IF(INDEX('MOA role matrix'!$B$2:$D$13,12,MATCH($B210,'MOA role matrix'!$B$1:$D$1,0))="Fill","DLCM, ","")IF(INDEX('MOA role matrix'!$B$2:$D$13,12,MATCH($B210,'MOA role matrix'!$B$1:$D$1,0))="If finance","DLCM (if finance), ","")IF(INDEX('MOA role matrix'!$B$2:$D$13,12,MATCH($B210,'MOA role matrix'!$B$1:$D$1,0))="Auto","DLCM (auto), ","")))</f>
        <v/>
      </c>
      <c r="D210" s="5">
        <f>IF($A210="","",IFERROR(INDEX(FILTER('Client contacts'!$B$2:$B$500,('Client contacts'!$A$2:$A$500=$A210)*('Client contacts'!$H$2:$H$500="Y"),""),1),""))</f>
        <v/>
      </c>
      <c r="E210" s="5">
        <f>IF($A210="","",IFERROR(INDEX(FILTER('Client contacts'!$C$2:$C$500,('Client contacts'!$A$2:$A$500=$A210)*('Client contacts'!$H$2:$H$500="Y"),""),1),""))</f>
        <v/>
      </c>
      <c r="F210" s="5">
        <f>IF($A210="","",IFERROR(INDEX(FILTER('Client contacts'!$B$2:$B$500,('Client contacts'!$A$2:$A$500=$A210)*('Client contacts'!$G$2:$G$500="Y"),""),1),""))</f>
        <v/>
      </c>
      <c r="G210" s="5">
        <f>IF($A210="","",IFERROR(INDEX(FILTER('Client contacts'!$C$2:$C$500,('Client contacts'!$A$2:$A$500=$A210)*('Client contacts'!$G$2:$G$500="Y"),""),1),""))</f>
        <v/>
      </c>
      <c r="H210" s="5">
        <f>IF($A210="","",IFERROR(INDEX(FILTER('Client contacts'!$B$2:$B$500,('Client contacts'!$A$2:$A$500=$A210)*('Client contacts'!$G$2:$G$500="Y"),""),2),""))</f>
        <v/>
      </c>
      <c r="I210" s="5">
        <f>IF($A210="","",IFERROR(INDEX(FILTER('Client contacts'!$C$2:$C$500,('Client contacts'!$A$2:$A$500=$A210)*('Client contacts'!$G$2:$G$500="Y"),""),2),""))</f>
        <v/>
      </c>
      <c r="J210" s="8" t="n"/>
      <c r="K210" s="8" t="n"/>
      <c r="L210" s="8" t="n"/>
      <c r="M210" s="8" t="n"/>
      <c r="N210" s="8" t="n"/>
      <c r="O210" s="8" t="n"/>
      <c r="P210" s="8" t="n"/>
      <c r="Q210" s="8" t="n"/>
      <c r="R210" s="5">
        <f>IF($A210="","",IFERROR(INDEX(Companies!$I$2:$I$500,MATCH($A210,Companies!$A$2:$A$500,0)),""))</f>
        <v/>
      </c>
      <c r="S210" s="8" t="n"/>
      <c r="T210" s="8" t="n"/>
      <c r="U210" s="8" t="n"/>
      <c r="V210" s="8" t="n"/>
      <c r="W210" s="8" t="n"/>
    </row>
    <row r="211">
      <c r="C211" s="5">
        <f>IF($B211="","",TRIM(IF(INDEX('MOA role matrix'!$B$2:$D$13,1,MATCH($B211,'MOA role matrix'!$B$1:$D$1,0))="Fill","Project initiator, ","")IF(INDEX('MOA role matrix'!$B$2:$D$13,1,MATCH($B211,'MOA role matrix'!$B$1:$D$1,0))="If finance","Project initiator (if finance), ","")IF(INDEX('MOA role matrix'!$B$2:$D$13,1,MATCH($B211,'MOA role matrix'!$B$1:$D$1,0))="Auto","Project initiator (auto), ","")IF(INDEX('MOA role matrix'!$B$2:$D$13,2,MATCH($B211,'MOA role matrix'!$B$1:$D$1,0))="Fill","MOA signers (client), ","")IF(INDEX('MOA role matrix'!$B$2:$D$13,2,MATCH($B211,'MOA role matrix'!$B$1:$D$1,0))="If finance","MOA signers (client) (if finance), ","")IF(INDEX('MOA role matrix'!$B$2:$D$13,2,MATCH($B211,'MOA role matrix'!$B$1:$D$1,0))="Auto","MOA signers (client) (auto), ","")IF(INDEX('MOA role matrix'!$B$2:$D$13,3,MATCH($B211,'MOA role matrix'!$B$1:$D$1,0))="Fill","CFO / Head of Finance, ","")IF(INDEX('MOA role matrix'!$B$2:$D$13,3,MATCH($B211,'MOA role matrix'!$B$1:$D$1,0))="If finance","CFO / Head of Finance (if finance), ","")IF(INDEX('MOA role matrix'!$B$2:$D$13,3,MATCH($B211,'MOA role matrix'!$B$1:$D$1,0))="Auto","CFO / Head of Finance (auto), ","")IF(INDEX('MOA role matrix'!$B$2:$D$13,4,MATCH($B211,'MOA role matrix'!$B$1:$D$1,0))="Fill","CEO / COO / GM, ","")IF(INDEX('MOA role matrix'!$B$2:$D$13,4,MATCH($B211,'MOA role matrix'!$B$1:$D$1,0))="If finance","CEO / COO / GM (if finance), ","")IF(INDEX('MOA role matrix'!$B$2:$D$13,4,MATCH($B211,'MOA role matrix'!$B$1:$D$1,0))="Auto","CEO / COO / GM (auto), ","")IF(INDEX('MOA role matrix'!$B$2:$D$13,5,MATCH($B211,'MOA role matrix'!$B$1:$D$1,0))="Fill","Board member 1, ","")IF(INDEX('MOA role matrix'!$B$2:$D$13,5,MATCH($B211,'MOA role matrix'!$B$1:$D$1,0))="If finance","Board member 1 (if finance), ","")IF(INDEX('MOA role matrix'!$B$2:$D$13,5,MATCH($B211,'MOA role matrix'!$B$1:$D$1,0))="Auto","Board member 1 (auto), ","")IF(INDEX('MOA role matrix'!$B$2:$D$13,6,MATCH($B211,'MOA role matrix'!$B$1:$D$1,0))="Fill","Board member 2, ","")IF(INDEX('MOA role matrix'!$B$2:$D$13,6,MATCH($B211,'MOA role matrix'!$B$1:$D$1,0))="If finance","Board member 2 (if finance), ","")IF(INDEX('MOA role matrix'!$B$2:$D$13,6,MATCH($B211,'MOA role matrix'!$B$1:$D$1,0))="Auto","Board member 2 (auto), ","")IF(INDEX('MOA role matrix'!$B$2:$D$13,7,MATCH($B211,'MOA role matrix'!$B$1:$D$1,0))="Fill","LOA holder 1, ","")IF(INDEX('MOA role matrix'!$B$2:$D$13,7,MATCH($B211,'MOA role matrix'!$B$1:$D$1,0))="If finance","LOA holder 1 (if finance), ","")IF(INDEX('MOA role matrix'!$B$2:$D$13,7,MATCH($B211,'MOA role matrix'!$B$1:$D$1,0))="Auto","LOA holder 1 (auto), ","")IF(INDEX('MOA role matrix'!$B$2:$D$13,8,MATCH($B211,'MOA role matrix'!$B$1:$D$1,0))="Fill","LOA holder 2, ","")IF(INDEX('MOA role matrix'!$B$2:$D$13,8,MATCH($B211,'MOA role matrix'!$B$1:$D$1,0))="If finance","LOA holder 2 (if finance), ","")IF(INDEX('MOA role matrix'!$B$2:$D$13,8,MATCH($B211,'MOA role matrix'!$B$1:$D$1,0))="Auto","LOA holder 2 (auto), ","")IF(INDEX('MOA role matrix'!$B$2:$D$13,9,MATCH($B211,'MOA role matrix'!$B$1:$D$1,0))="Fill","Senior Manager CoSec, ","")IF(INDEX('MOA role matrix'!$B$2:$D$13,9,MATCH($B211,'MOA role matrix'!$B$1:$D$1,0))="If finance","Senior Manager CoSec (if finance), ","")IF(INDEX('MOA role matrix'!$B$2:$D$13,9,MATCH($B211,'MOA role matrix'!$B$1:$D$1,0))="Auto","Senior Manager CoSec (auto), ","")IF(INDEX('MOA role matrix'!$B$2:$D$13,10,MATCH($B211,'MOA role matrix'!$B$1:$D$1,0))="Fill","Division MOI managers, ","")IF(INDEX('MOA role matrix'!$B$2:$D$13,10,MATCH($B211,'MOA role matrix'!$B$1:$D$1,0))="If finance","Division MOI managers (if finance), ","")IF(INDEX('MOA role matrix'!$B$2:$D$13,10,MATCH($B211,'MOA role matrix'!$B$1:$D$1,0))="Auto","Division MOI managers (auto), ","")IF(INDEX('MOA role matrix'!$B$2:$D$13,11,MATCH($B211,'MOA role matrix'!$B$1:$D$1,0))="Fill","Ms Teh (bank), ","")IF(INDEX('MOA role matrix'!$B$2:$D$13,11,MATCH($B211,'MOA role matrix'!$B$1:$D$1,0))="If finance","Ms Teh (bank) (if finance), ","")IF(INDEX('MOA role matrix'!$B$2:$D$13,11,MATCH($B211,'MOA role matrix'!$B$1:$D$1,0))="Auto","Ms Teh (bank) (auto), ","")IF(INDEX('MOA role matrix'!$B$2:$D$13,12,MATCH($B211,'MOA role matrix'!$B$1:$D$1,0))="Fill","DLCM, ","")IF(INDEX('MOA role matrix'!$B$2:$D$13,12,MATCH($B211,'MOA role matrix'!$B$1:$D$1,0))="If finance","DLCM (if finance), ","")IF(INDEX('MOA role matrix'!$B$2:$D$13,12,MATCH($B211,'MOA role matrix'!$B$1:$D$1,0))="Auto","DLCM (auto), ","")))</f>
        <v/>
      </c>
      <c r="D211" s="5">
        <f>IF($A211="","",IFERROR(INDEX(FILTER('Client contacts'!$B$2:$B$500,('Client contacts'!$A$2:$A$500=$A211)*('Client contacts'!$H$2:$H$500="Y"),""),1),""))</f>
        <v/>
      </c>
      <c r="E211" s="5">
        <f>IF($A211="","",IFERROR(INDEX(FILTER('Client contacts'!$C$2:$C$500,('Client contacts'!$A$2:$A$500=$A211)*('Client contacts'!$H$2:$H$500="Y"),""),1),""))</f>
        <v/>
      </c>
      <c r="F211" s="5">
        <f>IF($A211="","",IFERROR(INDEX(FILTER('Client contacts'!$B$2:$B$500,('Client contacts'!$A$2:$A$500=$A211)*('Client contacts'!$G$2:$G$500="Y"),""),1),""))</f>
        <v/>
      </c>
      <c r="G211" s="5">
        <f>IF($A211="","",IFERROR(INDEX(FILTER('Client contacts'!$C$2:$C$500,('Client contacts'!$A$2:$A$500=$A211)*('Client contacts'!$G$2:$G$500="Y"),""),1),""))</f>
        <v/>
      </c>
      <c r="H211" s="5">
        <f>IF($A211="","",IFERROR(INDEX(FILTER('Client contacts'!$B$2:$B$500,('Client contacts'!$A$2:$A$500=$A211)*('Client contacts'!$G$2:$G$500="Y"),""),2),""))</f>
        <v/>
      </c>
      <c r="I211" s="5">
        <f>IF($A211="","",IFERROR(INDEX(FILTER('Client contacts'!$C$2:$C$500,('Client contacts'!$A$2:$A$500=$A211)*('Client contacts'!$G$2:$G$500="Y"),""),2),""))</f>
        <v/>
      </c>
      <c r="J211" s="8" t="n"/>
      <c r="K211" s="8" t="n"/>
      <c r="L211" s="8" t="n"/>
      <c r="M211" s="8" t="n"/>
      <c r="N211" s="8" t="n"/>
      <c r="O211" s="8" t="n"/>
      <c r="P211" s="8" t="n"/>
      <c r="Q211" s="8" t="n"/>
      <c r="R211" s="5">
        <f>IF($A211="","",IFERROR(INDEX(Companies!$I$2:$I$500,MATCH($A211,Companies!$A$2:$A$500,0)),""))</f>
        <v/>
      </c>
      <c r="S211" s="8" t="n"/>
      <c r="T211" s="8" t="n"/>
      <c r="U211" s="8" t="n"/>
      <c r="V211" s="8" t="n"/>
      <c r="W211" s="8" t="n"/>
    </row>
    <row r="212">
      <c r="C212" s="5">
        <f>IF($B212="","",TRIM(IF(INDEX('MOA role matrix'!$B$2:$D$13,1,MATCH($B212,'MOA role matrix'!$B$1:$D$1,0))="Fill","Project initiator, ","")IF(INDEX('MOA role matrix'!$B$2:$D$13,1,MATCH($B212,'MOA role matrix'!$B$1:$D$1,0))="If finance","Project initiator (if finance), ","")IF(INDEX('MOA role matrix'!$B$2:$D$13,1,MATCH($B212,'MOA role matrix'!$B$1:$D$1,0))="Auto","Project initiator (auto), ","")IF(INDEX('MOA role matrix'!$B$2:$D$13,2,MATCH($B212,'MOA role matrix'!$B$1:$D$1,0))="Fill","MOA signers (client), ","")IF(INDEX('MOA role matrix'!$B$2:$D$13,2,MATCH($B212,'MOA role matrix'!$B$1:$D$1,0))="If finance","MOA signers (client) (if finance), ","")IF(INDEX('MOA role matrix'!$B$2:$D$13,2,MATCH($B212,'MOA role matrix'!$B$1:$D$1,0))="Auto","MOA signers (client) (auto), ","")IF(INDEX('MOA role matrix'!$B$2:$D$13,3,MATCH($B212,'MOA role matrix'!$B$1:$D$1,0))="Fill","CFO / Head of Finance, ","")IF(INDEX('MOA role matrix'!$B$2:$D$13,3,MATCH($B212,'MOA role matrix'!$B$1:$D$1,0))="If finance","CFO / Head of Finance (if finance), ","")IF(INDEX('MOA role matrix'!$B$2:$D$13,3,MATCH($B212,'MOA role matrix'!$B$1:$D$1,0))="Auto","CFO / Head of Finance (auto), ","")IF(INDEX('MOA role matrix'!$B$2:$D$13,4,MATCH($B212,'MOA role matrix'!$B$1:$D$1,0))="Fill","CEO / COO / GM, ","")IF(INDEX('MOA role matrix'!$B$2:$D$13,4,MATCH($B212,'MOA role matrix'!$B$1:$D$1,0))="If finance","CEO / COO / GM (if finance), ","")IF(INDEX('MOA role matrix'!$B$2:$D$13,4,MATCH($B212,'MOA role matrix'!$B$1:$D$1,0))="Auto","CEO / COO / GM (auto), ","")IF(INDEX('MOA role matrix'!$B$2:$D$13,5,MATCH($B212,'MOA role matrix'!$B$1:$D$1,0))="Fill","Board member 1, ","")IF(INDEX('MOA role matrix'!$B$2:$D$13,5,MATCH($B212,'MOA role matrix'!$B$1:$D$1,0))="If finance","Board member 1 (if finance), ","")IF(INDEX('MOA role matrix'!$B$2:$D$13,5,MATCH($B212,'MOA role matrix'!$B$1:$D$1,0))="Auto","Board member 1 (auto), ","")IF(INDEX('MOA role matrix'!$B$2:$D$13,6,MATCH($B212,'MOA role matrix'!$B$1:$D$1,0))="Fill","Board member 2, ","")IF(INDEX('MOA role matrix'!$B$2:$D$13,6,MATCH($B212,'MOA role matrix'!$B$1:$D$1,0))="If finance","Board member 2 (if finance), ","")IF(INDEX('MOA role matrix'!$B$2:$D$13,6,MATCH($B212,'MOA role matrix'!$B$1:$D$1,0))="Auto","Board member 2 (auto), ","")IF(INDEX('MOA role matrix'!$B$2:$D$13,7,MATCH($B212,'MOA role matrix'!$B$1:$D$1,0))="Fill","LOA holder 1, ","")IF(INDEX('MOA role matrix'!$B$2:$D$13,7,MATCH($B212,'MOA role matrix'!$B$1:$D$1,0))="If finance","LOA holder 1 (if finance), ","")IF(INDEX('MOA role matrix'!$B$2:$D$13,7,MATCH($B212,'MOA role matrix'!$B$1:$D$1,0))="Auto","LOA holder 1 (auto), ","")IF(INDEX('MOA role matrix'!$B$2:$D$13,8,MATCH($B212,'MOA role matrix'!$B$1:$D$1,0))="Fill","LOA holder 2, ","")IF(INDEX('MOA role matrix'!$B$2:$D$13,8,MATCH($B212,'MOA role matrix'!$B$1:$D$1,0))="If finance","LOA holder 2 (if finance), ","")IF(INDEX('MOA role matrix'!$B$2:$D$13,8,MATCH($B212,'MOA role matrix'!$B$1:$D$1,0))="Auto","LOA holder 2 (auto), ","")IF(INDEX('MOA role matrix'!$B$2:$D$13,9,MATCH($B212,'MOA role matrix'!$B$1:$D$1,0))="Fill","Senior Manager CoSec, ","")IF(INDEX('MOA role matrix'!$B$2:$D$13,9,MATCH($B212,'MOA role matrix'!$B$1:$D$1,0))="If finance","Senior Manager CoSec (if finance), ","")IF(INDEX('MOA role matrix'!$B$2:$D$13,9,MATCH($B212,'MOA role matrix'!$B$1:$D$1,0))="Auto","Senior Manager CoSec (auto), ","")IF(INDEX('MOA role matrix'!$B$2:$D$13,10,MATCH($B212,'MOA role matrix'!$B$1:$D$1,0))="Fill","Division MOI managers, ","")IF(INDEX('MOA role matrix'!$B$2:$D$13,10,MATCH($B212,'MOA role matrix'!$B$1:$D$1,0))="If finance","Division MOI managers (if finance), ","")IF(INDEX('MOA role matrix'!$B$2:$D$13,10,MATCH($B212,'MOA role matrix'!$B$1:$D$1,0))="Auto","Division MOI managers (auto), ","")IF(INDEX('MOA role matrix'!$B$2:$D$13,11,MATCH($B212,'MOA role matrix'!$B$1:$D$1,0))="Fill","Ms Teh (bank), ","")IF(INDEX('MOA role matrix'!$B$2:$D$13,11,MATCH($B212,'MOA role matrix'!$B$1:$D$1,0))="If finance","Ms Teh (bank) (if finance), ","")IF(INDEX('MOA role matrix'!$B$2:$D$13,11,MATCH($B212,'MOA role matrix'!$B$1:$D$1,0))="Auto","Ms Teh (bank) (auto), ","")IF(INDEX('MOA role matrix'!$B$2:$D$13,12,MATCH($B212,'MOA role matrix'!$B$1:$D$1,0))="Fill","DLCM, ","")IF(INDEX('MOA role matrix'!$B$2:$D$13,12,MATCH($B212,'MOA role matrix'!$B$1:$D$1,0))="If finance","DLCM (if finance), ","")IF(INDEX('MOA role matrix'!$B$2:$D$13,12,MATCH($B212,'MOA role matrix'!$B$1:$D$1,0))="Auto","DLCM (auto), ","")))</f>
        <v/>
      </c>
      <c r="D212" s="5">
        <f>IF($A212="","",IFERROR(INDEX(FILTER('Client contacts'!$B$2:$B$500,('Client contacts'!$A$2:$A$500=$A212)*('Client contacts'!$H$2:$H$500="Y"),""),1),""))</f>
        <v/>
      </c>
      <c r="E212" s="5">
        <f>IF($A212="","",IFERROR(INDEX(FILTER('Client contacts'!$C$2:$C$500,('Client contacts'!$A$2:$A$500=$A212)*('Client contacts'!$H$2:$H$500="Y"),""),1),""))</f>
        <v/>
      </c>
      <c r="F212" s="5">
        <f>IF($A212="","",IFERROR(INDEX(FILTER('Client contacts'!$B$2:$B$500,('Client contacts'!$A$2:$A$500=$A212)*('Client contacts'!$G$2:$G$500="Y"),""),1),""))</f>
        <v/>
      </c>
      <c r="G212" s="5">
        <f>IF($A212="","",IFERROR(INDEX(FILTER('Client contacts'!$C$2:$C$500,('Client contacts'!$A$2:$A$500=$A212)*('Client contacts'!$G$2:$G$500="Y"),""),1),""))</f>
        <v/>
      </c>
      <c r="H212" s="5">
        <f>IF($A212="","",IFERROR(INDEX(FILTER('Client contacts'!$B$2:$B$500,('Client contacts'!$A$2:$A$500=$A212)*('Client contacts'!$G$2:$G$500="Y"),""),2),""))</f>
        <v/>
      </c>
      <c r="I212" s="5">
        <f>IF($A212="","",IFERROR(INDEX(FILTER('Client contacts'!$C$2:$C$500,('Client contacts'!$A$2:$A$500=$A212)*('Client contacts'!$G$2:$G$500="Y"),""),2),""))</f>
        <v/>
      </c>
      <c r="J212" s="8" t="n"/>
      <c r="K212" s="8" t="n"/>
      <c r="L212" s="8" t="n"/>
      <c r="M212" s="8" t="n"/>
      <c r="N212" s="8" t="n"/>
      <c r="O212" s="8" t="n"/>
      <c r="P212" s="8" t="n"/>
      <c r="Q212" s="8" t="n"/>
      <c r="R212" s="5">
        <f>IF($A212="","",IFERROR(INDEX(Companies!$I$2:$I$500,MATCH($A212,Companies!$A$2:$A$500,0)),""))</f>
        <v/>
      </c>
      <c r="S212" s="8" t="n"/>
      <c r="T212" s="8" t="n"/>
      <c r="U212" s="8" t="n"/>
      <c r="V212" s="8" t="n"/>
      <c r="W212" s="8" t="n"/>
    </row>
    <row r="213">
      <c r="C213" s="5">
        <f>IF($B213="","",TRIM(IF(INDEX('MOA role matrix'!$B$2:$D$13,1,MATCH($B213,'MOA role matrix'!$B$1:$D$1,0))="Fill","Project initiator, ","")IF(INDEX('MOA role matrix'!$B$2:$D$13,1,MATCH($B213,'MOA role matrix'!$B$1:$D$1,0))="If finance","Project initiator (if finance), ","")IF(INDEX('MOA role matrix'!$B$2:$D$13,1,MATCH($B213,'MOA role matrix'!$B$1:$D$1,0))="Auto","Project initiator (auto), ","")IF(INDEX('MOA role matrix'!$B$2:$D$13,2,MATCH($B213,'MOA role matrix'!$B$1:$D$1,0))="Fill","MOA signers (client), ","")IF(INDEX('MOA role matrix'!$B$2:$D$13,2,MATCH($B213,'MOA role matrix'!$B$1:$D$1,0))="If finance","MOA signers (client) (if finance), ","")IF(INDEX('MOA role matrix'!$B$2:$D$13,2,MATCH($B213,'MOA role matrix'!$B$1:$D$1,0))="Auto","MOA signers (client) (auto), ","")IF(INDEX('MOA role matrix'!$B$2:$D$13,3,MATCH($B213,'MOA role matrix'!$B$1:$D$1,0))="Fill","CFO / Head of Finance, ","")IF(INDEX('MOA role matrix'!$B$2:$D$13,3,MATCH($B213,'MOA role matrix'!$B$1:$D$1,0))="If finance","CFO / Head of Finance (if finance), ","")IF(INDEX('MOA role matrix'!$B$2:$D$13,3,MATCH($B213,'MOA role matrix'!$B$1:$D$1,0))="Auto","CFO / Head of Finance (auto), ","")IF(INDEX('MOA role matrix'!$B$2:$D$13,4,MATCH($B213,'MOA role matrix'!$B$1:$D$1,0))="Fill","CEO / COO / GM, ","")IF(INDEX('MOA role matrix'!$B$2:$D$13,4,MATCH($B213,'MOA role matrix'!$B$1:$D$1,0))="If finance","CEO / COO / GM (if finance), ","")IF(INDEX('MOA role matrix'!$B$2:$D$13,4,MATCH($B213,'MOA role matrix'!$B$1:$D$1,0))="Auto","CEO / COO / GM (auto), ","")IF(INDEX('MOA role matrix'!$B$2:$D$13,5,MATCH($B213,'MOA role matrix'!$B$1:$D$1,0))="Fill","Board member 1, ","")IF(INDEX('MOA role matrix'!$B$2:$D$13,5,MATCH($B213,'MOA role matrix'!$B$1:$D$1,0))="If finance","Board member 1 (if finance), ","")IF(INDEX('MOA role matrix'!$B$2:$D$13,5,MATCH($B213,'MOA role matrix'!$B$1:$D$1,0))="Auto","Board member 1 (auto), ","")IF(INDEX('MOA role matrix'!$B$2:$D$13,6,MATCH($B213,'MOA role matrix'!$B$1:$D$1,0))="Fill","Board member 2, ","")IF(INDEX('MOA role matrix'!$B$2:$D$13,6,MATCH($B213,'MOA role matrix'!$B$1:$D$1,0))="If finance","Board member 2 (if finance), ","")IF(INDEX('MOA role matrix'!$B$2:$D$13,6,MATCH($B213,'MOA role matrix'!$B$1:$D$1,0))="Auto","Board member 2 (auto), ","")IF(INDEX('MOA role matrix'!$B$2:$D$13,7,MATCH($B213,'MOA role matrix'!$B$1:$D$1,0))="Fill","LOA holder 1, ","")IF(INDEX('MOA role matrix'!$B$2:$D$13,7,MATCH($B213,'MOA role matrix'!$B$1:$D$1,0))="If finance","LOA holder 1 (if finance), ","")IF(INDEX('MOA role matrix'!$B$2:$D$13,7,MATCH($B213,'MOA role matrix'!$B$1:$D$1,0))="Auto","LOA holder 1 (auto), ","")IF(INDEX('MOA role matrix'!$B$2:$D$13,8,MATCH($B213,'MOA role matrix'!$B$1:$D$1,0))="Fill","LOA holder 2, ","")IF(INDEX('MOA role matrix'!$B$2:$D$13,8,MATCH($B213,'MOA role matrix'!$B$1:$D$1,0))="If finance","LOA holder 2 (if finance), ","")IF(INDEX('MOA role matrix'!$B$2:$D$13,8,MATCH($B213,'MOA role matrix'!$B$1:$D$1,0))="Auto","LOA holder 2 (auto), ","")IF(INDEX('MOA role matrix'!$B$2:$D$13,9,MATCH($B213,'MOA role matrix'!$B$1:$D$1,0))="Fill","Senior Manager CoSec, ","")IF(INDEX('MOA role matrix'!$B$2:$D$13,9,MATCH($B213,'MOA role matrix'!$B$1:$D$1,0))="If finance","Senior Manager CoSec (if finance), ","")IF(INDEX('MOA role matrix'!$B$2:$D$13,9,MATCH($B213,'MOA role matrix'!$B$1:$D$1,0))="Auto","Senior Manager CoSec (auto), ","")IF(INDEX('MOA role matrix'!$B$2:$D$13,10,MATCH($B213,'MOA role matrix'!$B$1:$D$1,0))="Fill","Division MOI managers, ","")IF(INDEX('MOA role matrix'!$B$2:$D$13,10,MATCH($B213,'MOA role matrix'!$B$1:$D$1,0))="If finance","Division MOI managers (if finance), ","")IF(INDEX('MOA role matrix'!$B$2:$D$13,10,MATCH($B213,'MOA role matrix'!$B$1:$D$1,0))="Auto","Division MOI managers (auto), ","")IF(INDEX('MOA role matrix'!$B$2:$D$13,11,MATCH($B213,'MOA role matrix'!$B$1:$D$1,0))="Fill","Ms Teh (bank), ","")IF(INDEX('MOA role matrix'!$B$2:$D$13,11,MATCH($B213,'MOA role matrix'!$B$1:$D$1,0))="If finance","Ms Teh (bank) (if finance), ","")IF(INDEX('MOA role matrix'!$B$2:$D$13,11,MATCH($B213,'MOA role matrix'!$B$1:$D$1,0))="Auto","Ms Teh (bank) (auto), ","")IF(INDEX('MOA role matrix'!$B$2:$D$13,12,MATCH($B213,'MOA role matrix'!$B$1:$D$1,0))="Fill","DLCM, ","")IF(INDEX('MOA role matrix'!$B$2:$D$13,12,MATCH($B213,'MOA role matrix'!$B$1:$D$1,0))="If finance","DLCM (if finance), ","")IF(INDEX('MOA role matrix'!$B$2:$D$13,12,MATCH($B213,'MOA role matrix'!$B$1:$D$1,0))="Auto","DLCM (auto), ","")))</f>
        <v/>
      </c>
      <c r="D213" s="5">
        <f>IF($A213="","",IFERROR(INDEX(FILTER('Client contacts'!$B$2:$B$500,('Client contacts'!$A$2:$A$500=$A213)*('Client contacts'!$H$2:$H$500="Y"),""),1),""))</f>
        <v/>
      </c>
      <c r="E213" s="5">
        <f>IF($A213="","",IFERROR(INDEX(FILTER('Client contacts'!$C$2:$C$500,('Client contacts'!$A$2:$A$500=$A213)*('Client contacts'!$H$2:$H$500="Y"),""),1),""))</f>
        <v/>
      </c>
      <c r="F213" s="5">
        <f>IF($A213="","",IFERROR(INDEX(FILTER('Client contacts'!$B$2:$B$500,('Client contacts'!$A$2:$A$500=$A213)*('Client contacts'!$G$2:$G$500="Y"),""),1),""))</f>
        <v/>
      </c>
      <c r="G213" s="5">
        <f>IF($A213="","",IFERROR(INDEX(FILTER('Client contacts'!$C$2:$C$500,('Client contacts'!$A$2:$A$500=$A213)*('Client contacts'!$G$2:$G$500="Y"),""),1),""))</f>
        <v/>
      </c>
      <c r="H213" s="5">
        <f>IF($A213="","",IFERROR(INDEX(FILTER('Client contacts'!$B$2:$B$500,('Client contacts'!$A$2:$A$500=$A213)*('Client contacts'!$G$2:$G$500="Y"),""),2),""))</f>
        <v/>
      </c>
      <c r="I213" s="5">
        <f>IF($A213="","",IFERROR(INDEX(FILTER('Client contacts'!$C$2:$C$500,('Client contacts'!$A$2:$A$500=$A213)*('Client contacts'!$G$2:$G$500="Y"),""),2),""))</f>
        <v/>
      </c>
      <c r="J213" s="8" t="n"/>
      <c r="K213" s="8" t="n"/>
      <c r="L213" s="8" t="n"/>
      <c r="M213" s="8" t="n"/>
      <c r="N213" s="8" t="n"/>
      <c r="O213" s="8" t="n"/>
      <c r="P213" s="8" t="n"/>
      <c r="Q213" s="8" t="n"/>
      <c r="R213" s="5">
        <f>IF($A213="","",IFERROR(INDEX(Companies!$I$2:$I$500,MATCH($A213,Companies!$A$2:$A$500,0)),""))</f>
        <v/>
      </c>
      <c r="S213" s="8" t="n"/>
      <c r="T213" s="8" t="n"/>
      <c r="U213" s="8" t="n"/>
      <c r="V213" s="8" t="n"/>
      <c r="W213" s="8" t="n"/>
    </row>
    <row r="214">
      <c r="C214" s="5">
        <f>IF($B214="","",TRIM(IF(INDEX('MOA role matrix'!$B$2:$D$13,1,MATCH($B214,'MOA role matrix'!$B$1:$D$1,0))="Fill","Project initiator, ","")IF(INDEX('MOA role matrix'!$B$2:$D$13,1,MATCH($B214,'MOA role matrix'!$B$1:$D$1,0))="If finance","Project initiator (if finance), ","")IF(INDEX('MOA role matrix'!$B$2:$D$13,1,MATCH($B214,'MOA role matrix'!$B$1:$D$1,0))="Auto","Project initiator (auto), ","")IF(INDEX('MOA role matrix'!$B$2:$D$13,2,MATCH($B214,'MOA role matrix'!$B$1:$D$1,0))="Fill","MOA signers (client), ","")IF(INDEX('MOA role matrix'!$B$2:$D$13,2,MATCH($B214,'MOA role matrix'!$B$1:$D$1,0))="If finance","MOA signers (client) (if finance), ","")IF(INDEX('MOA role matrix'!$B$2:$D$13,2,MATCH($B214,'MOA role matrix'!$B$1:$D$1,0))="Auto","MOA signers (client) (auto), ","")IF(INDEX('MOA role matrix'!$B$2:$D$13,3,MATCH($B214,'MOA role matrix'!$B$1:$D$1,0))="Fill","CFO / Head of Finance, ","")IF(INDEX('MOA role matrix'!$B$2:$D$13,3,MATCH($B214,'MOA role matrix'!$B$1:$D$1,0))="If finance","CFO / Head of Finance (if finance), ","")IF(INDEX('MOA role matrix'!$B$2:$D$13,3,MATCH($B214,'MOA role matrix'!$B$1:$D$1,0))="Auto","CFO / Head of Finance (auto), ","")IF(INDEX('MOA role matrix'!$B$2:$D$13,4,MATCH($B214,'MOA role matrix'!$B$1:$D$1,0))="Fill","CEO / COO / GM, ","")IF(INDEX('MOA role matrix'!$B$2:$D$13,4,MATCH($B214,'MOA role matrix'!$B$1:$D$1,0))="If finance","CEO / COO / GM (if finance), ","")IF(INDEX('MOA role matrix'!$B$2:$D$13,4,MATCH($B214,'MOA role matrix'!$B$1:$D$1,0))="Auto","CEO / COO / GM (auto), ","")IF(INDEX('MOA role matrix'!$B$2:$D$13,5,MATCH($B214,'MOA role matrix'!$B$1:$D$1,0))="Fill","Board member 1, ","")IF(INDEX('MOA role matrix'!$B$2:$D$13,5,MATCH($B214,'MOA role matrix'!$B$1:$D$1,0))="If finance","Board member 1 (if finance), ","")IF(INDEX('MOA role matrix'!$B$2:$D$13,5,MATCH($B214,'MOA role matrix'!$B$1:$D$1,0))="Auto","Board member 1 (auto), ","")IF(INDEX('MOA role matrix'!$B$2:$D$13,6,MATCH($B214,'MOA role matrix'!$B$1:$D$1,0))="Fill","Board member 2, ","")IF(INDEX('MOA role matrix'!$B$2:$D$13,6,MATCH($B214,'MOA role matrix'!$B$1:$D$1,0))="If finance","Board member 2 (if finance), ","")IF(INDEX('MOA role matrix'!$B$2:$D$13,6,MATCH($B214,'MOA role matrix'!$B$1:$D$1,0))="Auto","Board member 2 (auto), ","")IF(INDEX('MOA role matrix'!$B$2:$D$13,7,MATCH($B214,'MOA role matrix'!$B$1:$D$1,0))="Fill","LOA holder 1, ","")IF(INDEX('MOA role matrix'!$B$2:$D$13,7,MATCH($B214,'MOA role matrix'!$B$1:$D$1,0))="If finance","LOA holder 1 (if finance), ","")IF(INDEX('MOA role matrix'!$B$2:$D$13,7,MATCH($B214,'MOA role matrix'!$B$1:$D$1,0))="Auto","LOA holder 1 (auto), ","")IF(INDEX('MOA role matrix'!$B$2:$D$13,8,MATCH($B214,'MOA role matrix'!$B$1:$D$1,0))="Fill","LOA holder 2, ","")IF(INDEX('MOA role matrix'!$B$2:$D$13,8,MATCH($B214,'MOA role matrix'!$B$1:$D$1,0))="If finance","LOA holder 2 (if finance), ","")IF(INDEX('MOA role matrix'!$B$2:$D$13,8,MATCH($B214,'MOA role matrix'!$B$1:$D$1,0))="Auto","LOA holder 2 (auto), ","")IF(INDEX('MOA role matrix'!$B$2:$D$13,9,MATCH($B214,'MOA role matrix'!$B$1:$D$1,0))="Fill","Senior Manager CoSec, ","")IF(INDEX('MOA role matrix'!$B$2:$D$13,9,MATCH($B214,'MOA role matrix'!$B$1:$D$1,0))="If finance","Senior Manager CoSec (if finance), ","")IF(INDEX('MOA role matrix'!$B$2:$D$13,9,MATCH($B214,'MOA role matrix'!$B$1:$D$1,0))="Auto","Senior Manager CoSec (auto), ","")IF(INDEX('MOA role matrix'!$B$2:$D$13,10,MATCH($B214,'MOA role matrix'!$B$1:$D$1,0))="Fill","Division MOI managers, ","")IF(INDEX('MOA role matrix'!$B$2:$D$13,10,MATCH($B214,'MOA role matrix'!$B$1:$D$1,0))="If finance","Division MOI managers (if finance), ","")IF(INDEX('MOA role matrix'!$B$2:$D$13,10,MATCH($B214,'MOA role matrix'!$B$1:$D$1,0))="Auto","Division MOI managers (auto), ","")IF(INDEX('MOA role matrix'!$B$2:$D$13,11,MATCH($B214,'MOA role matrix'!$B$1:$D$1,0))="Fill","Ms Teh (bank), ","")IF(INDEX('MOA role matrix'!$B$2:$D$13,11,MATCH($B214,'MOA role matrix'!$B$1:$D$1,0))="If finance","Ms Teh (bank) (if finance), ","")IF(INDEX('MOA role matrix'!$B$2:$D$13,11,MATCH($B214,'MOA role matrix'!$B$1:$D$1,0))="Auto","Ms Teh (bank) (auto), ","")IF(INDEX('MOA role matrix'!$B$2:$D$13,12,MATCH($B214,'MOA role matrix'!$B$1:$D$1,0))="Fill","DLCM, ","")IF(INDEX('MOA role matrix'!$B$2:$D$13,12,MATCH($B214,'MOA role matrix'!$B$1:$D$1,0))="If finance","DLCM (if finance), ","")IF(INDEX('MOA role matrix'!$B$2:$D$13,12,MATCH($B214,'MOA role matrix'!$B$1:$D$1,0))="Auto","DLCM (auto), ","")))</f>
        <v/>
      </c>
      <c r="D214" s="5">
        <f>IF($A214="","",IFERROR(INDEX(FILTER('Client contacts'!$B$2:$B$500,('Client contacts'!$A$2:$A$500=$A214)*('Client contacts'!$H$2:$H$500="Y"),""),1),""))</f>
        <v/>
      </c>
      <c r="E214" s="5">
        <f>IF($A214="","",IFERROR(INDEX(FILTER('Client contacts'!$C$2:$C$500,('Client contacts'!$A$2:$A$500=$A214)*('Client contacts'!$H$2:$H$500="Y"),""),1),""))</f>
        <v/>
      </c>
      <c r="F214" s="5">
        <f>IF($A214="","",IFERROR(INDEX(FILTER('Client contacts'!$B$2:$B$500,('Client contacts'!$A$2:$A$500=$A214)*('Client contacts'!$G$2:$G$500="Y"),""),1),""))</f>
        <v/>
      </c>
      <c r="G214" s="5">
        <f>IF($A214="","",IFERROR(INDEX(FILTER('Client contacts'!$C$2:$C$500,('Client contacts'!$A$2:$A$500=$A214)*('Client contacts'!$G$2:$G$500="Y"),""),1),""))</f>
        <v/>
      </c>
      <c r="H214" s="5">
        <f>IF($A214="","",IFERROR(INDEX(FILTER('Client contacts'!$B$2:$B$500,('Client contacts'!$A$2:$A$500=$A214)*('Client contacts'!$G$2:$G$500="Y"),""),2),""))</f>
        <v/>
      </c>
      <c r="I214" s="5">
        <f>IF($A214="","",IFERROR(INDEX(FILTER('Client contacts'!$C$2:$C$500,('Client contacts'!$A$2:$A$500=$A214)*('Client contacts'!$G$2:$G$500="Y"),""),2),""))</f>
        <v/>
      </c>
      <c r="J214" s="8" t="n"/>
      <c r="K214" s="8" t="n"/>
      <c r="L214" s="8" t="n"/>
      <c r="M214" s="8" t="n"/>
      <c r="N214" s="8" t="n"/>
      <c r="O214" s="8" t="n"/>
      <c r="P214" s="8" t="n"/>
      <c r="Q214" s="8" t="n"/>
      <c r="R214" s="5">
        <f>IF($A214="","",IFERROR(INDEX(Companies!$I$2:$I$500,MATCH($A214,Companies!$A$2:$A$500,0)),""))</f>
        <v/>
      </c>
      <c r="S214" s="8" t="n"/>
      <c r="T214" s="8" t="n"/>
      <c r="U214" s="8" t="n"/>
      <c r="V214" s="8" t="n"/>
      <c r="W214" s="8" t="n"/>
    </row>
    <row r="215">
      <c r="C215" s="5">
        <f>IF($B215="","",TRIM(IF(INDEX('MOA role matrix'!$B$2:$D$13,1,MATCH($B215,'MOA role matrix'!$B$1:$D$1,0))="Fill","Project initiator, ","")IF(INDEX('MOA role matrix'!$B$2:$D$13,1,MATCH($B215,'MOA role matrix'!$B$1:$D$1,0))="If finance","Project initiator (if finance), ","")IF(INDEX('MOA role matrix'!$B$2:$D$13,1,MATCH($B215,'MOA role matrix'!$B$1:$D$1,0))="Auto","Project initiator (auto), ","")IF(INDEX('MOA role matrix'!$B$2:$D$13,2,MATCH($B215,'MOA role matrix'!$B$1:$D$1,0))="Fill","MOA signers (client), ","")IF(INDEX('MOA role matrix'!$B$2:$D$13,2,MATCH($B215,'MOA role matrix'!$B$1:$D$1,0))="If finance","MOA signers (client) (if finance), ","")IF(INDEX('MOA role matrix'!$B$2:$D$13,2,MATCH($B215,'MOA role matrix'!$B$1:$D$1,0))="Auto","MOA signers (client) (auto), ","")IF(INDEX('MOA role matrix'!$B$2:$D$13,3,MATCH($B215,'MOA role matrix'!$B$1:$D$1,0))="Fill","CFO / Head of Finance, ","")IF(INDEX('MOA role matrix'!$B$2:$D$13,3,MATCH($B215,'MOA role matrix'!$B$1:$D$1,0))="If finance","CFO / Head of Finance (if finance), ","")IF(INDEX('MOA role matrix'!$B$2:$D$13,3,MATCH($B215,'MOA role matrix'!$B$1:$D$1,0))="Auto","CFO / Head of Finance (auto), ","")IF(INDEX('MOA role matrix'!$B$2:$D$13,4,MATCH($B215,'MOA role matrix'!$B$1:$D$1,0))="Fill","CEO / COO / GM, ","")IF(INDEX('MOA role matrix'!$B$2:$D$13,4,MATCH($B215,'MOA role matrix'!$B$1:$D$1,0))="If finance","CEO / COO / GM (if finance), ","")IF(INDEX('MOA role matrix'!$B$2:$D$13,4,MATCH($B215,'MOA role matrix'!$B$1:$D$1,0))="Auto","CEO / COO / GM (auto), ","")IF(INDEX('MOA role matrix'!$B$2:$D$13,5,MATCH($B215,'MOA role matrix'!$B$1:$D$1,0))="Fill","Board member 1, ","")IF(INDEX('MOA role matrix'!$B$2:$D$13,5,MATCH($B215,'MOA role matrix'!$B$1:$D$1,0))="If finance","Board member 1 (if finance), ","")IF(INDEX('MOA role matrix'!$B$2:$D$13,5,MATCH($B215,'MOA role matrix'!$B$1:$D$1,0))="Auto","Board member 1 (auto), ","")IF(INDEX('MOA role matrix'!$B$2:$D$13,6,MATCH($B215,'MOA role matrix'!$B$1:$D$1,0))="Fill","Board member 2, ","")IF(INDEX('MOA role matrix'!$B$2:$D$13,6,MATCH($B215,'MOA role matrix'!$B$1:$D$1,0))="If finance","Board member 2 (if finance), ","")IF(INDEX('MOA role matrix'!$B$2:$D$13,6,MATCH($B215,'MOA role matrix'!$B$1:$D$1,0))="Auto","Board member 2 (auto), ","")IF(INDEX('MOA role matrix'!$B$2:$D$13,7,MATCH($B215,'MOA role matrix'!$B$1:$D$1,0))="Fill","LOA holder 1, ","")IF(INDEX('MOA role matrix'!$B$2:$D$13,7,MATCH($B215,'MOA role matrix'!$B$1:$D$1,0))="If finance","LOA holder 1 (if finance), ","")IF(INDEX('MOA role matrix'!$B$2:$D$13,7,MATCH($B215,'MOA role matrix'!$B$1:$D$1,0))="Auto","LOA holder 1 (auto), ","")IF(INDEX('MOA role matrix'!$B$2:$D$13,8,MATCH($B215,'MOA role matrix'!$B$1:$D$1,0))="Fill","LOA holder 2, ","")IF(INDEX('MOA role matrix'!$B$2:$D$13,8,MATCH($B215,'MOA role matrix'!$B$1:$D$1,0))="If finance","LOA holder 2 (if finance), ","")IF(INDEX('MOA role matrix'!$B$2:$D$13,8,MATCH($B215,'MOA role matrix'!$B$1:$D$1,0))="Auto","LOA holder 2 (auto), ","")IF(INDEX('MOA role matrix'!$B$2:$D$13,9,MATCH($B215,'MOA role matrix'!$B$1:$D$1,0))="Fill","Senior Manager CoSec, ","")IF(INDEX('MOA role matrix'!$B$2:$D$13,9,MATCH($B215,'MOA role matrix'!$B$1:$D$1,0))="If finance","Senior Manager CoSec (if finance), ","")IF(INDEX('MOA role matrix'!$B$2:$D$13,9,MATCH($B215,'MOA role matrix'!$B$1:$D$1,0))="Auto","Senior Manager CoSec (auto), ","")IF(INDEX('MOA role matrix'!$B$2:$D$13,10,MATCH($B215,'MOA role matrix'!$B$1:$D$1,0))="Fill","Division MOI managers, ","")IF(INDEX('MOA role matrix'!$B$2:$D$13,10,MATCH($B215,'MOA role matrix'!$B$1:$D$1,0))="If finance","Division MOI managers (if finance), ","")IF(INDEX('MOA role matrix'!$B$2:$D$13,10,MATCH($B215,'MOA role matrix'!$B$1:$D$1,0))="Auto","Division MOI managers (auto), ","")IF(INDEX('MOA role matrix'!$B$2:$D$13,11,MATCH($B215,'MOA role matrix'!$B$1:$D$1,0))="Fill","Ms Teh (bank), ","")IF(INDEX('MOA role matrix'!$B$2:$D$13,11,MATCH($B215,'MOA role matrix'!$B$1:$D$1,0))="If finance","Ms Teh (bank) (if finance), ","")IF(INDEX('MOA role matrix'!$B$2:$D$13,11,MATCH($B215,'MOA role matrix'!$B$1:$D$1,0))="Auto","Ms Teh (bank) (auto), ","")IF(INDEX('MOA role matrix'!$B$2:$D$13,12,MATCH($B215,'MOA role matrix'!$B$1:$D$1,0))="Fill","DLCM, ","")IF(INDEX('MOA role matrix'!$B$2:$D$13,12,MATCH($B215,'MOA role matrix'!$B$1:$D$1,0))="If finance","DLCM (if finance), ","")IF(INDEX('MOA role matrix'!$B$2:$D$13,12,MATCH($B215,'MOA role matrix'!$B$1:$D$1,0))="Auto","DLCM (auto), ","")))</f>
        <v/>
      </c>
      <c r="D215" s="5">
        <f>IF($A215="","",IFERROR(INDEX(FILTER('Client contacts'!$B$2:$B$500,('Client contacts'!$A$2:$A$500=$A215)*('Client contacts'!$H$2:$H$500="Y"),""),1),""))</f>
        <v/>
      </c>
      <c r="E215" s="5">
        <f>IF($A215="","",IFERROR(INDEX(FILTER('Client contacts'!$C$2:$C$500,('Client contacts'!$A$2:$A$500=$A215)*('Client contacts'!$H$2:$H$500="Y"),""),1),""))</f>
        <v/>
      </c>
      <c r="F215" s="5">
        <f>IF($A215="","",IFERROR(INDEX(FILTER('Client contacts'!$B$2:$B$500,('Client contacts'!$A$2:$A$500=$A215)*('Client contacts'!$G$2:$G$500="Y"),""),1),""))</f>
        <v/>
      </c>
      <c r="G215" s="5">
        <f>IF($A215="","",IFERROR(INDEX(FILTER('Client contacts'!$C$2:$C$500,('Client contacts'!$A$2:$A$500=$A215)*('Client contacts'!$G$2:$G$500="Y"),""),1),""))</f>
        <v/>
      </c>
      <c r="H215" s="5">
        <f>IF($A215="","",IFERROR(INDEX(FILTER('Client contacts'!$B$2:$B$500,('Client contacts'!$A$2:$A$500=$A215)*('Client contacts'!$G$2:$G$500="Y"),""),2),""))</f>
        <v/>
      </c>
      <c r="I215" s="5">
        <f>IF($A215="","",IFERROR(INDEX(FILTER('Client contacts'!$C$2:$C$500,('Client contacts'!$A$2:$A$500=$A215)*('Client contacts'!$G$2:$G$500="Y"),""),2),""))</f>
        <v/>
      </c>
      <c r="J215" s="8" t="n"/>
      <c r="K215" s="8" t="n"/>
      <c r="L215" s="8" t="n"/>
      <c r="M215" s="8" t="n"/>
      <c r="N215" s="8" t="n"/>
      <c r="O215" s="8" t="n"/>
      <c r="P215" s="8" t="n"/>
      <c r="Q215" s="8" t="n"/>
      <c r="R215" s="5">
        <f>IF($A215="","",IFERROR(INDEX(Companies!$I$2:$I$500,MATCH($A215,Companies!$A$2:$A$500,0)),""))</f>
        <v/>
      </c>
      <c r="S215" s="8" t="n"/>
      <c r="T215" s="8" t="n"/>
      <c r="U215" s="8" t="n"/>
      <c r="V215" s="8" t="n"/>
      <c r="W215" s="8" t="n"/>
    </row>
    <row r="216">
      <c r="C216" s="5">
        <f>IF($B216="","",TRIM(IF(INDEX('MOA role matrix'!$B$2:$D$13,1,MATCH($B216,'MOA role matrix'!$B$1:$D$1,0))="Fill","Project initiator, ","")IF(INDEX('MOA role matrix'!$B$2:$D$13,1,MATCH($B216,'MOA role matrix'!$B$1:$D$1,0))="If finance","Project initiator (if finance), ","")IF(INDEX('MOA role matrix'!$B$2:$D$13,1,MATCH($B216,'MOA role matrix'!$B$1:$D$1,0))="Auto","Project initiator (auto), ","")IF(INDEX('MOA role matrix'!$B$2:$D$13,2,MATCH($B216,'MOA role matrix'!$B$1:$D$1,0))="Fill","MOA signers (client), ","")IF(INDEX('MOA role matrix'!$B$2:$D$13,2,MATCH($B216,'MOA role matrix'!$B$1:$D$1,0))="If finance","MOA signers (client) (if finance), ","")IF(INDEX('MOA role matrix'!$B$2:$D$13,2,MATCH($B216,'MOA role matrix'!$B$1:$D$1,0))="Auto","MOA signers (client) (auto), ","")IF(INDEX('MOA role matrix'!$B$2:$D$13,3,MATCH($B216,'MOA role matrix'!$B$1:$D$1,0))="Fill","CFO / Head of Finance, ","")IF(INDEX('MOA role matrix'!$B$2:$D$13,3,MATCH($B216,'MOA role matrix'!$B$1:$D$1,0))="If finance","CFO / Head of Finance (if finance), ","")IF(INDEX('MOA role matrix'!$B$2:$D$13,3,MATCH($B216,'MOA role matrix'!$B$1:$D$1,0))="Auto","CFO / Head of Finance (auto), ","")IF(INDEX('MOA role matrix'!$B$2:$D$13,4,MATCH($B216,'MOA role matrix'!$B$1:$D$1,0))="Fill","CEO / COO / GM, ","")IF(INDEX('MOA role matrix'!$B$2:$D$13,4,MATCH($B216,'MOA role matrix'!$B$1:$D$1,0))="If finance","CEO / COO / GM (if finance), ","")IF(INDEX('MOA role matrix'!$B$2:$D$13,4,MATCH($B216,'MOA role matrix'!$B$1:$D$1,0))="Auto","CEO / COO / GM (auto), ","")IF(INDEX('MOA role matrix'!$B$2:$D$13,5,MATCH($B216,'MOA role matrix'!$B$1:$D$1,0))="Fill","Board member 1, ","")IF(INDEX('MOA role matrix'!$B$2:$D$13,5,MATCH($B216,'MOA role matrix'!$B$1:$D$1,0))="If finance","Board member 1 (if finance), ","")IF(INDEX('MOA role matrix'!$B$2:$D$13,5,MATCH($B216,'MOA role matrix'!$B$1:$D$1,0))="Auto","Board member 1 (auto), ","")IF(INDEX('MOA role matrix'!$B$2:$D$13,6,MATCH($B216,'MOA role matrix'!$B$1:$D$1,0))="Fill","Board member 2, ","")IF(INDEX('MOA role matrix'!$B$2:$D$13,6,MATCH($B216,'MOA role matrix'!$B$1:$D$1,0))="If finance","Board member 2 (if finance), ","")IF(INDEX('MOA role matrix'!$B$2:$D$13,6,MATCH($B216,'MOA role matrix'!$B$1:$D$1,0))="Auto","Board member 2 (auto), ","")IF(INDEX('MOA role matrix'!$B$2:$D$13,7,MATCH($B216,'MOA role matrix'!$B$1:$D$1,0))="Fill","LOA holder 1, ","")IF(INDEX('MOA role matrix'!$B$2:$D$13,7,MATCH($B216,'MOA role matrix'!$B$1:$D$1,0))="If finance","LOA holder 1 (if finance), ","")IF(INDEX('MOA role matrix'!$B$2:$D$13,7,MATCH($B216,'MOA role matrix'!$B$1:$D$1,0))="Auto","LOA holder 1 (auto), ","")IF(INDEX('MOA role matrix'!$B$2:$D$13,8,MATCH($B216,'MOA role matrix'!$B$1:$D$1,0))="Fill","LOA holder 2, ","")IF(INDEX('MOA role matrix'!$B$2:$D$13,8,MATCH($B216,'MOA role matrix'!$B$1:$D$1,0))="If finance","LOA holder 2 (if finance), ","")IF(INDEX('MOA role matrix'!$B$2:$D$13,8,MATCH($B216,'MOA role matrix'!$B$1:$D$1,0))="Auto","LOA holder 2 (auto), ","")IF(INDEX('MOA role matrix'!$B$2:$D$13,9,MATCH($B216,'MOA role matrix'!$B$1:$D$1,0))="Fill","Senior Manager CoSec, ","")IF(INDEX('MOA role matrix'!$B$2:$D$13,9,MATCH($B216,'MOA role matrix'!$B$1:$D$1,0))="If finance","Senior Manager CoSec (if finance), ","")IF(INDEX('MOA role matrix'!$B$2:$D$13,9,MATCH($B216,'MOA role matrix'!$B$1:$D$1,0))="Auto","Senior Manager CoSec (auto), ","")IF(INDEX('MOA role matrix'!$B$2:$D$13,10,MATCH($B216,'MOA role matrix'!$B$1:$D$1,0))="Fill","Division MOI managers, ","")IF(INDEX('MOA role matrix'!$B$2:$D$13,10,MATCH($B216,'MOA role matrix'!$B$1:$D$1,0))="If finance","Division MOI managers (if finance), ","")IF(INDEX('MOA role matrix'!$B$2:$D$13,10,MATCH($B216,'MOA role matrix'!$B$1:$D$1,0))="Auto","Division MOI managers (auto), ","")IF(INDEX('MOA role matrix'!$B$2:$D$13,11,MATCH($B216,'MOA role matrix'!$B$1:$D$1,0))="Fill","Ms Teh (bank), ","")IF(INDEX('MOA role matrix'!$B$2:$D$13,11,MATCH($B216,'MOA role matrix'!$B$1:$D$1,0))="If finance","Ms Teh (bank) (if finance), ","")IF(INDEX('MOA role matrix'!$B$2:$D$13,11,MATCH($B216,'MOA role matrix'!$B$1:$D$1,0))="Auto","Ms Teh (bank) (auto), ","")IF(INDEX('MOA role matrix'!$B$2:$D$13,12,MATCH($B216,'MOA role matrix'!$B$1:$D$1,0))="Fill","DLCM, ","")IF(INDEX('MOA role matrix'!$B$2:$D$13,12,MATCH($B216,'MOA role matrix'!$B$1:$D$1,0))="If finance","DLCM (if finance), ","")IF(INDEX('MOA role matrix'!$B$2:$D$13,12,MATCH($B216,'MOA role matrix'!$B$1:$D$1,0))="Auto","DLCM (auto), ","")))</f>
        <v/>
      </c>
      <c r="D216" s="5">
        <f>IF($A216="","",IFERROR(INDEX(FILTER('Client contacts'!$B$2:$B$500,('Client contacts'!$A$2:$A$500=$A216)*('Client contacts'!$H$2:$H$500="Y"),""),1),""))</f>
        <v/>
      </c>
      <c r="E216" s="5">
        <f>IF($A216="","",IFERROR(INDEX(FILTER('Client contacts'!$C$2:$C$500,('Client contacts'!$A$2:$A$500=$A216)*('Client contacts'!$H$2:$H$500="Y"),""),1),""))</f>
        <v/>
      </c>
      <c r="F216" s="5">
        <f>IF($A216="","",IFERROR(INDEX(FILTER('Client contacts'!$B$2:$B$500,('Client contacts'!$A$2:$A$500=$A216)*('Client contacts'!$G$2:$G$500="Y"),""),1),""))</f>
        <v/>
      </c>
      <c r="G216" s="5">
        <f>IF($A216="","",IFERROR(INDEX(FILTER('Client contacts'!$C$2:$C$500,('Client contacts'!$A$2:$A$500=$A216)*('Client contacts'!$G$2:$G$500="Y"),""),1),""))</f>
        <v/>
      </c>
      <c r="H216" s="5">
        <f>IF($A216="","",IFERROR(INDEX(FILTER('Client contacts'!$B$2:$B$500,('Client contacts'!$A$2:$A$500=$A216)*('Client contacts'!$G$2:$G$500="Y"),""),2),""))</f>
        <v/>
      </c>
      <c r="I216" s="5">
        <f>IF($A216="","",IFERROR(INDEX(FILTER('Client contacts'!$C$2:$C$500,('Client contacts'!$A$2:$A$500=$A216)*('Client contacts'!$G$2:$G$500="Y"),""),2),""))</f>
        <v/>
      </c>
      <c r="J216" s="8" t="n"/>
      <c r="K216" s="8" t="n"/>
      <c r="L216" s="8" t="n"/>
      <c r="M216" s="8" t="n"/>
      <c r="N216" s="8" t="n"/>
      <c r="O216" s="8" t="n"/>
      <c r="P216" s="8" t="n"/>
      <c r="Q216" s="8" t="n"/>
      <c r="R216" s="5">
        <f>IF($A216="","",IFERROR(INDEX(Companies!$I$2:$I$500,MATCH($A216,Companies!$A$2:$A$500,0)),""))</f>
        <v/>
      </c>
      <c r="S216" s="8" t="n"/>
      <c r="T216" s="8" t="n"/>
      <c r="U216" s="8" t="n"/>
      <c r="V216" s="8" t="n"/>
      <c r="W216" s="8" t="n"/>
    </row>
    <row r="217">
      <c r="C217" s="5">
        <f>IF($B217="","",TRIM(IF(INDEX('MOA role matrix'!$B$2:$D$13,1,MATCH($B217,'MOA role matrix'!$B$1:$D$1,0))="Fill","Project initiator, ","")IF(INDEX('MOA role matrix'!$B$2:$D$13,1,MATCH($B217,'MOA role matrix'!$B$1:$D$1,0))="If finance","Project initiator (if finance), ","")IF(INDEX('MOA role matrix'!$B$2:$D$13,1,MATCH($B217,'MOA role matrix'!$B$1:$D$1,0))="Auto","Project initiator (auto), ","")IF(INDEX('MOA role matrix'!$B$2:$D$13,2,MATCH($B217,'MOA role matrix'!$B$1:$D$1,0))="Fill","MOA signers (client), ","")IF(INDEX('MOA role matrix'!$B$2:$D$13,2,MATCH($B217,'MOA role matrix'!$B$1:$D$1,0))="If finance","MOA signers (client) (if finance), ","")IF(INDEX('MOA role matrix'!$B$2:$D$13,2,MATCH($B217,'MOA role matrix'!$B$1:$D$1,0))="Auto","MOA signers (client) (auto), ","")IF(INDEX('MOA role matrix'!$B$2:$D$13,3,MATCH($B217,'MOA role matrix'!$B$1:$D$1,0))="Fill","CFO / Head of Finance, ","")IF(INDEX('MOA role matrix'!$B$2:$D$13,3,MATCH($B217,'MOA role matrix'!$B$1:$D$1,0))="If finance","CFO / Head of Finance (if finance), ","")IF(INDEX('MOA role matrix'!$B$2:$D$13,3,MATCH($B217,'MOA role matrix'!$B$1:$D$1,0))="Auto","CFO / Head of Finance (auto), ","")IF(INDEX('MOA role matrix'!$B$2:$D$13,4,MATCH($B217,'MOA role matrix'!$B$1:$D$1,0))="Fill","CEO / COO / GM, ","")IF(INDEX('MOA role matrix'!$B$2:$D$13,4,MATCH($B217,'MOA role matrix'!$B$1:$D$1,0))="If finance","CEO / COO / GM (if finance), ","")IF(INDEX('MOA role matrix'!$B$2:$D$13,4,MATCH($B217,'MOA role matrix'!$B$1:$D$1,0))="Auto","CEO / COO / GM (auto), ","")IF(INDEX('MOA role matrix'!$B$2:$D$13,5,MATCH($B217,'MOA role matrix'!$B$1:$D$1,0))="Fill","Board member 1, ","")IF(INDEX('MOA role matrix'!$B$2:$D$13,5,MATCH($B217,'MOA role matrix'!$B$1:$D$1,0))="If finance","Board member 1 (if finance), ","")IF(INDEX('MOA role matrix'!$B$2:$D$13,5,MATCH($B217,'MOA role matrix'!$B$1:$D$1,0))="Auto","Board member 1 (auto), ","")IF(INDEX('MOA role matrix'!$B$2:$D$13,6,MATCH($B217,'MOA role matrix'!$B$1:$D$1,0))="Fill","Board member 2, ","")IF(INDEX('MOA role matrix'!$B$2:$D$13,6,MATCH($B217,'MOA role matrix'!$B$1:$D$1,0))="If finance","Board member 2 (if finance), ","")IF(INDEX('MOA role matrix'!$B$2:$D$13,6,MATCH($B217,'MOA role matrix'!$B$1:$D$1,0))="Auto","Board member 2 (auto), ","")IF(INDEX('MOA role matrix'!$B$2:$D$13,7,MATCH($B217,'MOA role matrix'!$B$1:$D$1,0))="Fill","LOA holder 1, ","")IF(INDEX('MOA role matrix'!$B$2:$D$13,7,MATCH($B217,'MOA role matrix'!$B$1:$D$1,0))="If finance","LOA holder 1 (if finance), ","")IF(INDEX('MOA role matrix'!$B$2:$D$13,7,MATCH($B217,'MOA role matrix'!$B$1:$D$1,0))="Auto","LOA holder 1 (auto), ","")IF(INDEX('MOA role matrix'!$B$2:$D$13,8,MATCH($B217,'MOA role matrix'!$B$1:$D$1,0))="Fill","LOA holder 2, ","")IF(INDEX('MOA role matrix'!$B$2:$D$13,8,MATCH($B217,'MOA role matrix'!$B$1:$D$1,0))="If finance","LOA holder 2 (if finance), ","")IF(INDEX('MOA role matrix'!$B$2:$D$13,8,MATCH($B217,'MOA role matrix'!$B$1:$D$1,0))="Auto","LOA holder 2 (auto), ","")IF(INDEX('MOA role matrix'!$B$2:$D$13,9,MATCH($B217,'MOA role matrix'!$B$1:$D$1,0))="Fill","Senior Manager CoSec, ","")IF(INDEX('MOA role matrix'!$B$2:$D$13,9,MATCH($B217,'MOA role matrix'!$B$1:$D$1,0))="If finance","Senior Manager CoSec (if finance), ","")IF(INDEX('MOA role matrix'!$B$2:$D$13,9,MATCH($B217,'MOA role matrix'!$B$1:$D$1,0))="Auto","Senior Manager CoSec (auto), ","")IF(INDEX('MOA role matrix'!$B$2:$D$13,10,MATCH($B217,'MOA role matrix'!$B$1:$D$1,0))="Fill","Division MOI managers, ","")IF(INDEX('MOA role matrix'!$B$2:$D$13,10,MATCH($B217,'MOA role matrix'!$B$1:$D$1,0))="If finance","Division MOI managers (if finance), ","")IF(INDEX('MOA role matrix'!$B$2:$D$13,10,MATCH($B217,'MOA role matrix'!$B$1:$D$1,0))="Auto","Division MOI managers (auto), ","")IF(INDEX('MOA role matrix'!$B$2:$D$13,11,MATCH($B217,'MOA role matrix'!$B$1:$D$1,0))="Fill","Ms Teh (bank), ","")IF(INDEX('MOA role matrix'!$B$2:$D$13,11,MATCH($B217,'MOA role matrix'!$B$1:$D$1,0))="If finance","Ms Teh (bank) (if finance), ","")IF(INDEX('MOA role matrix'!$B$2:$D$13,11,MATCH($B217,'MOA role matrix'!$B$1:$D$1,0))="Auto","Ms Teh (bank) (auto), ","")IF(INDEX('MOA role matrix'!$B$2:$D$13,12,MATCH($B217,'MOA role matrix'!$B$1:$D$1,0))="Fill","DLCM, ","")IF(INDEX('MOA role matrix'!$B$2:$D$13,12,MATCH($B217,'MOA role matrix'!$B$1:$D$1,0))="If finance","DLCM (if finance), ","")IF(INDEX('MOA role matrix'!$B$2:$D$13,12,MATCH($B217,'MOA role matrix'!$B$1:$D$1,0))="Auto","DLCM (auto), ","")))</f>
        <v/>
      </c>
      <c r="D217" s="5">
        <f>IF($A217="","",IFERROR(INDEX(FILTER('Client contacts'!$B$2:$B$500,('Client contacts'!$A$2:$A$500=$A217)*('Client contacts'!$H$2:$H$500="Y"),""),1),""))</f>
        <v/>
      </c>
      <c r="E217" s="5">
        <f>IF($A217="","",IFERROR(INDEX(FILTER('Client contacts'!$C$2:$C$500,('Client contacts'!$A$2:$A$500=$A217)*('Client contacts'!$H$2:$H$500="Y"),""),1),""))</f>
        <v/>
      </c>
      <c r="F217" s="5">
        <f>IF($A217="","",IFERROR(INDEX(FILTER('Client contacts'!$B$2:$B$500,('Client contacts'!$A$2:$A$500=$A217)*('Client contacts'!$G$2:$G$500="Y"),""),1),""))</f>
        <v/>
      </c>
      <c r="G217" s="5">
        <f>IF($A217="","",IFERROR(INDEX(FILTER('Client contacts'!$C$2:$C$500,('Client contacts'!$A$2:$A$500=$A217)*('Client contacts'!$G$2:$G$500="Y"),""),1),""))</f>
        <v/>
      </c>
      <c r="H217" s="5">
        <f>IF($A217="","",IFERROR(INDEX(FILTER('Client contacts'!$B$2:$B$500,('Client contacts'!$A$2:$A$500=$A217)*('Client contacts'!$G$2:$G$500="Y"),""),2),""))</f>
        <v/>
      </c>
      <c r="I217" s="5">
        <f>IF($A217="","",IFERROR(INDEX(FILTER('Client contacts'!$C$2:$C$500,('Client contacts'!$A$2:$A$500=$A217)*('Client contacts'!$G$2:$G$500="Y"),""),2),""))</f>
        <v/>
      </c>
      <c r="J217" s="8" t="n"/>
      <c r="K217" s="8" t="n"/>
      <c r="L217" s="8" t="n"/>
      <c r="M217" s="8" t="n"/>
      <c r="N217" s="8" t="n"/>
      <c r="O217" s="8" t="n"/>
      <c r="P217" s="8" t="n"/>
      <c r="Q217" s="8" t="n"/>
      <c r="R217" s="5">
        <f>IF($A217="","",IFERROR(INDEX(Companies!$I$2:$I$500,MATCH($A217,Companies!$A$2:$A$500,0)),""))</f>
        <v/>
      </c>
      <c r="S217" s="8" t="n"/>
      <c r="T217" s="8" t="n"/>
      <c r="U217" s="8" t="n"/>
      <c r="V217" s="8" t="n"/>
      <c r="W217" s="8" t="n"/>
    </row>
    <row r="218">
      <c r="C218" s="5">
        <f>IF($B218="","",TRIM(IF(INDEX('MOA role matrix'!$B$2:$D$13,1,MATCH($B218,'MOA role matrix'!$B$1:$D$1,0))="Fill","Project initiator, ","")IF(INDEX('MOA role matrix'!$B$2:$D$13,1,MATCH($B218,'MOA role matrix'!$B$1:$D$1,0))="If finance","Project initiator (if finance), ","")IF(INDEX('MOA role matrix'!$B$2:$D$13,1,MATCH($B218,'MOA role matrix'!$B$1:$D$1,0))="Auto","Project initiator (auto), ","")IF(INDEX('MOA role matrix'!$B$2:$D$13,2,MATCH($B218,'MOA role matrix'!$B$1:$D$1,0))="Fill","MOA signers (client), ","")IF(INDEX('MOA role matrix'!$B$2:$D$13,2,MATCH($B218,'MOA role matrix'!$B$1:$D$1,0))="If finance","MOA signers (client) (if finance), ","")IF(INDEX('MOA role matrix'!$B$2:$D$13,2,MATCH($B218,'MOA role matrix'!$B$1:$D$1,0))="Auto","MOA signers (client) (auto), ","")IF(INDEX('MOA role matrix'!$B$2:$D$13,3,MATCH($B218,'MOA role matrix'!$B$1:$D$1,0))="Fill","CFO / Head of Finance, ","")IF(INDEX('MOA role matrix'!$B$2:$D$13,3,MATCH($B218,'MOA role matrix'!$B$1:$D$1,0))="If finance","CFO / Head of Finance (if finance), ","")IF(INDEX('MOA role matrix'!$B$2:$D$13,3,MATCH($B218,'MOA role matrix'!$B$1:$D$1,0))="Auto","CFO / Head of Finance (auto), ","")IF(INDEX('MOA role matrix'!$B$2:$D$13,4,MATCH($B218,'MOA role matrix'!$B$1:$D$1,0))="Fill","CEO / COO / GM, ","")IF(INDEX('MOA role matrix'!$B$2:$D$13,4,MATCH($B218,'MOA role matrix'!$B$1:$D$1,0))="If finance","CEO / COO / GM (if finance), ","")IF(INDEX('MOA role matrix'!$B$2:$D$13,4,MATCH($B218,'MOA role matrix'!$B$1:$D$1,0))="Auto","CEO / COO / GM (auto), ","")IF(INDEX('MOA role matrix'!$B$2:$D$13,5,MATCH($B218,'MOA role matrix'!$B$1:$D$1,0))="Fill","Board member 1, ","")IF(INDEX('MOA role matrix'!$B$2:$D$13,5,MATCH($B218,'MOA role matrix'!$B$1:$D$1,0))="If finance","Board member 1 (if finance), ","")IF(INDEX('MOA role matrix'!$B$2:$D$13,5,MATCH($B218,'MOA role matrix'!$B$1:$D$1,0))="Auto","Board member 1 (auto), ","")IF(INDEX('MOA role matrix'!$B$2:$D$13,6,MATCH($B218,'MOA role matrix'!$B$1:$D$1,0))="Fill","Board member 2, ","")IF(INDEX('MOA role matrix'!$B$2:$D$13,6,MATCH($B218,'MOA role matrix'!$B$1:$D$1,0))="If finance","Board member 2 (if finance), ","")IF(INDEX('MOA role matrix'!$B$2:$D$13,6,MATCH($B218,'MOA role matrix'!$B$1:$D$1,0))="Auto","Board member 2 (auto), ","")IF(INDEX('MOA role matrix'!$B$2:$D$13,7,MATCH($B218,'MOA role matrix'!$B$1:$D$1,0))="Fill","LOA holder 1, ","")IF(INDEX('MOA role matrix'!$B$2:$D$13,7,MATCH($B218,'MOA role matrix'!$B$1:$D$1,0))="If finance","LOA holder 1 (if finance), ","")IF(INDEX('MOA role matrix'!$B$2:$D$13,7,MATCH($B218,'MOA role matrix'!$B$1:$D$1,0))="Auto","LOA holder 1 (auto), ","")IF(INDEX('MOA role matrix'!$B$2:$D$13,8,MATCH($B218,'MOA role matrix'!$B$1:$D$1,0))="Fill","LOA holder 2, ","")IF(INDEX('MOA role matrix'!$B$2:$D$13,8,MATCH($B218,'MOA role matrix'!$B$1:$D$1,0))="If finance","LOA holder 2 (if finance), ","")IF(INDEX('MOA role matrix'!$B$2:$D$13,8,MATCH($B218,'MOA role matrix'!$B$1:$D$1,0))="Auto","LOA holder 2 (auto), ","")IF(INDEX('MOA role matrix'!$B$2:$D$13,9,MATCH($B218,'MOA role matrix'!$B$1:$D$1,0))="Fill","Senior Manager CoSec, ","")IF(INDEX('MOA role matrix'!$B$2:$D$13,9,MATCH($B218,'MOA role matrix'!$B$1:$D$1,0))="If finance","Senior Manager CoSec (if finance), ","")IF(INDEX('MOA role matrix'!$B$2:$D$13,9,MATCH($B218,'MOA role matrix'!$B$1:$D$1,0))="Auto","Senior Manager CoSec (auto), ","")IF(INDEX('MOA role matrix'!$B$2:$D$13,10,MATCH($B218,'MOA role matrix'!$B$1:$D$1,0))="Fill","Division MOI managers, ","")IF(INDEX('MOA role matrix'!$B$2:$D$13,10,MATCH($B218,'MOA role matrix'!$B$1:$D$1,0))="If finance","Division MOI managers (if finance), ","")IF(INDEX('MOA role matrix'!$B$2:$D$13,10,MATCH($B218,'MOA role matrix'!$B$1:$D$1,0))="Auto","Division MOI managers (auto), ","")IF(INDEX('MOA role matrix'!$B$2:$D$13,11,MATCH($B218,'MOA role matrix'!$B$1:$D$1,0))="Fill","Ms Teh (bank), ","")IF(INDEX('MOA role matrix'!$B$2:$D$13,11,MATCH($B218,'MOA role matrix'!$B$1:$D$1,0))="If finance","Ms Teh (bank) (if finance), ","")IF(INDEX('MOA role matrix'!$B$2:$D$13,11,MATCH($B218,'MOA role matrix'!$B$1:$D$1,0))="Auto","Ms Teh (bank) (auto), ","")IF(INDEX('MOA role matrix'!$B$2:$D$13,12,MATCH($B218,'MOA role matrix'!$B$1:$D$1,0))="Fill","DLCM, ","")IF(INDEX('MOA role matrix'!$B$2:$D$13,12,MATCH($B218,'MOA role matrix'!$B$1:$D$1,0))="If finance","DLCM (if finance), ","")IF(INDEX('MOA role matrix'!$B$2:$D$13,12,MATCH($B218,'MOA role matrix'!$B$1:$D$1,0))="Auto","DLCM (auto), ","")))</f>
        <v/>
      </c>
      <c r="D218" s="5">
        <f>IF($A218="","",IFERROR(INDEX(FILTER('Client contacts'!$B$2:$B$500,('Client contacts'!$A$2:$A$500=$A218)*('Client contacts'!$H$2:$H$500="Y"),""),1),""))</f>
        <v/>
      </c>
      <c r="E218" s="5">
        <f>IF($A218="","",IFERROR(INDEX(FILTER('Client contacts'!$C$2:$C$500,('Client contacts'!$A$2:$A$500=$A218)*('Client contacts'!$H$2:$H$500="Y"),""),1),""))</f>
        <v/>
      </c>
      <c r="F218" s="5">
        <f>IF($A218="","",IFERROR(INDEX(FILTER('Client contacts'!$B$2:$B$500,('Client contacts'!$A$2:$A$500=$A218)*('Client contacts'!$G$2:$G$500="Y"),""),1),""))</f>
        <v/>
      </c>
      <c r="G218" s="5">
        <f>IF($A218="","",IFERROR(INDEX(FILTER('Client contacts'!$C$2:$C$500,('Client contacts'!$A$2:$A$500=$A218)*('Client contacts'!$G$2:$G$500="Y"),""),1),""))</f>
        <v/>
      </c>
      <c r="H218" s="5">
        <f>IF($A218="","",IFERROR(INDEX(FILTER('Client contacts'!$B$2:$B$500,('Client contacts'!$A$2:$A$500=$A218)*('Client contacts'!$G$2:$G$500="Y"),""),2),""))</f>
        <v/>
      </c>
      <c r="I218" s="5">
        <f>IF($A218="","",IFERROR(INDEX(FILTER('Client contacts'!$C$2:$C$500,('Client contacts'!$A$2:$A$500=$A218)*('Client contacts'!$G$2:$G$500="Y"),""),2),""))</f>
        <v/>
      </c>
      <c r="J218" s="8" t="n"/>
      <c r="K218" s="8" t="n"/>
      <c r="L218" s="8" t="n"/>
      <c r="M218" s="8" t="n"/>
      <c r="N218" s="8" t="n"/>
      <c r="O218" s="8" t="n"/>
      <c r="P218" s="8" t="n"/>
      <c r="Q218" s="8" t="n"/>
      <c r="R218" s="5">
        <f>IF($A218="","",IFERROR(INDEX(Companies!$I$2:$I$500,MATCH($A218,Companies!$A$2:$A$500,0)),""))</f>
        <v/>
      </c>
      <c r="S218" s="8" t="n"/>
      <c r="T218" s="8" t="n"/>
      <c r="U218" s="8" t="n"/>
      <c r="V218" s="8" t="n"/>
      <c r="W218" s="8" t="n"/>
    </row>
    <row r="219">
      <c r="C219" s="5">
        <f>IF($B219="","",TRIM(IF(INDEX('MOA role matrix'!$B$2:$D$13,1,MATCH($B219,'MOA role matrix'!$B$1:$D$1,0))="Fill","Project initiator, ","")IF(INDEX('MOA role matrix'!$B$2:$D$13,1,MATCH($B219,'MOA role matrix'!$B$1:$D$1,0))="If finance","Project initiator (if finance), ","")IF(INDEX('MOA role matrix'!$B$2:$D$13,1,MATCH($B219,'MOA role matrix'!$B$1:$D$1,0))="Auto","Project initiator (auto), ","")IF(INDEX('MOA role matrix'!$B$2:$D$13,2,MATCH($B219,'MOA role matrix'!$B$1:$D$1,0))="Fill","MOA signers (client), ","")IF(INDEX('MOA role matrix'!$B$2:$D$13,2,MATCH($B219,'MOA role matrix'!$B$1:$D$1,0))="If finance","MOA signers (client) (if finance), ","")IF(INDEX('MOA role matrix'!$B$2:$D$13,2,MATCH($B219,'MOA role matrix'!$B$1:$D$1,0))="Auto","MOA signers (client) (auto), ","")IF(INDEX('MOA role matrix'!$B$2:$D$13,3,MATCH($B219,'MOA role matrix'!$B$1:$D$1,0))="Fill","CFO / Head of Finance, ","")IF(INDEX('MOA role matrix'!$B$2:$D$13,3,MATCH($B219,'MOA role matrix'!$B$1:$D$1,0))="If finance","CFO / Head of Finance (if finance), ","")IF(INDEX('MOA role matrix'!$B$2:$D$13,3,MATCH($B219,'MOA role matrix'!$B$1:$D$1,0))="Auto","CFO / Head of Finance (auto), ","")IF(INDEX('MOA role matrix'!$B$2:$D$13,4,MATCH($B219,'MOA role matrix'!$B$1:$D$1,0))="Fill","CEO / COO / GM, ","")IF(INDEX('MOA role matrix'!$B$2:$D$13,4,MATCH($B219,'MOA role matrix'!$B$1:$D$1,0))="If finance","CEO / COO / GM (if finance), ","")IF(INDEX('MOA role matrix'!$B$2:$D$13,4,MATCH($B219,'MOA role matrix'!$B$1:$D$1,0))="Auto","CEO / COO / GM (auto), ","")IF(INDEX('MOA role matrix'!$B$2:$D$13,5,MATCH($B219,'MOA role matrix'!$B$1:$D$1,0))="Fill","Board member 1, ","")IF(INDEX('MOA role matrix'!$B$2:$D$13,5,MATCH($B219,'MOA role matrix'!$B$1:$D$1,0))="If finance","Board member 1 (if finance), ","")IF(INDEX('MOA role matrix'!$B$2:$D$13,5,MATCH($B219,'MOA role matrix'!$B$1:$D$1,0))="Auto","Board member 1 (auto), ","")IF(INDEX('MOA role matrix'!$B$2:$D$13,6,MATCH($B219,'MOA role matrix'!$B$1:$D$1,0))="Fill","Board member 2, ","")IF(INDEX('MOA role matrix'!$B$2:$D$13,6,MATCH($B219,'MOA role matrix'!$B$1:$D$1,0))="If finance","Board member 2 (if finance), ","")IF(INDEX('MOA role matrix'!$B$2:$D$13,6,MATCH($B219,'MOA role matrix'!$B$1:$D$1,0))="Auto","Board member 2 (auto), ","")IF(INDEX('MOA role matrix'!$B$2:$D$13,7,MATCH($B219,'MOA role matrix'!$B$1:$D$1,0))="Fill","LOA holder 1, ","")IF(INDEX('MOA role matrix'!$B$2:$D$13,7,MATCH($B219,'MOA role matrix'!$B$1:$D$1,0))="If finance","LOA holder 1 (if finance), ","")IF(INDEX('MOA role matrix'!$B$2:$D$13,7,MATCH($B219,'MOA role matrix'!$B$1:$D$1,0))="Auto","LOA holder 1 (auto), ","")IF(INDEX('MOA role matrix'!$B$2:$D$13,8,MATCH($B219,'MOA role matrix'!$B$1:$D$1,0))="Fill","LOA holder 2, ","")IF(INDEX('MOA role matrix'!$B$2:$D$13,8,MATCH($B219,'MOA role matrix'!$B$1:$D$1,0))="If finance","LOA holder 2 (if finance), ","")IF(INDEX('MOA role matrix'!$B$2:$D$13,8,MATCH($B219,'MOA role matrix'!$B$1:$D$1,0))="Auto","LOA holder 2 (auto), ","")IF(INDEX('MOA role matrix'!$B$2:$D$13,9,MATCH($B219,'MOA role matrix'!$B$1:$D$1,0))="Fill","Senior Manager CoSec, ","")IF(INDEX('MOA role matrix'!$B$2:$D$13,9,MATCH($B219,'MOA role matrix'!$B$1:$D$1,0))="If finance","Senior Manager CoSec (if finance), ","")IF(INDEX('MOA role matrix'!$B$2:$D$13,9,MATCH($B219,'MOA role matrix'!$B$1:$D$1,0))="Auto","Senior Manager CoSec (auto), ","")IF(INDEX('MOA role matrix'!$B$2:$D$13,10,MATCH($B219,'MOA role matrix'!$B$1:$D$1,0))="Fill","Division MOI managers, ","")IF(INDEX('MOA role matrix'!$B$2:$D$13,10,MATCH($B219,'MOA role matrix'!$B$1:$D$1,0))="If finance","Division MOI managers (if finance), ","")IF(INDEX('MOA role matrix'!$B$2:$D$13,10,MATCH($B219,'MOA role matrix'!$B$1:$D$1,0))="Auto","Division MOI managers (auto), ","")IF(INDEX('MOA role matrix'!$B$2:$D$13,11,MATCH($B219,'MOA role matrix'!$B$1:$D$1,0))="Fill","Ms Teh (bank), ","")IF(INDEX('MOA role matrix'!$B$2:$D$13,11,MATCH($B219,'MOA role matrix'!$B$1:$D$1,0))="If finance","Ms Teh (bank) (if finance), ","")IF(INDEX('MOA role matrix'!$B$2:$D$13,11,MATCH($B219,'MOA role matrix'!$B$1:$D$1,0))="Auto","Ms Teh (bank) (auto), ","")IF(INDEX('MOA role matrix'!$B$2:$D$13,12,MATCH($B219,'MOA role matrix'!$B$1:$D$1,0))="Fill","DLCM, ","")IF(INDEX('MOA role matrix'!$B$2:$D$13,12,MATCH($B219,'MOA role matrix'!$B$1:$D$1,0))="If finance","DLCM (if finance), ","")IF(INDEX('MOA role matrix'!$B$2:$D$13,12,MATCH($B219,'MOA role matrix'!$B$1:$D$1,0))="Auto","DLCM (auto), ","")))</f>
        <v/>
      </c>
      <c r="D219" s="5">
        <f>IF($A219="","",IFERROR(INDEX(FILTER('Client contacts'!$B$2:$B$500,('Client contacts'!$A$2:$A$500=$A219)*('Client contacts'!$H$2:$H$500="Y"),""),1),""))</f>
        <v/>
      </c>
      <c r="E219" s="5">
        <f>IF($A219="","",IFERROR(INDEX(FILTER('Client contacts'!$C$2:$C$500,('Client contacts'!$A$2:$A$500=$A219)*('Client contacts'!$H$2:$H$500="Y"),""),1),""))</f>
        <v/>
      </c>
      <c r="F219" s="5">
        <f>IF($A219="","",IFERROR(INDEX(FILTER('Client contacts'!$B$2:$B$500,('Client contacts'!$A$2:$A$500=$A219)*('Client contacts'!$G$2:$G$500="Y"),""),1),""))</f>
        <v/>
      </c>
      <c r="G219" s="5">
        <f>IF($A219="","",IFERROR(INDEX(FILTER('Client contacts'!$C$2:$C$500,('Client contacts'!$A$2:$A$500=$A219)*('Client contacts'!$G$2:$G$500="Y"),""),1),""))</f>
        <v/>
      </c>
      <c r="H219" s="5">
        <f>IF($A219="","",IFERROR(INDEX(FILTER('Client contacts'!$B$2:$B$500,('Client contacts'!$A$2:$A$500=$A219)*('Client contacts'!$G$2:$G$500="Y"),""),2),""))</f>
        <v/>
      </c>
      <c r="I219" s="5">
        <f>IF($A219="","",IFERROR(INDEX(FILTER('Client contacts'!$C$2:$C$500,('Client contacts'!$A$2:$A$500=$A219)*('Client contacts'!$G$2:$G$500="Y"),""),2),""))</f>
        <v/>
      </c>
      <c r="J219" s="8" t="n"/>
      <c r="K219" s="8" t="n"/>
      <c r="L219" s="8" t="n"/>
      <c r="M219" s="8" t="n"/>
      <c r="N219" s="8" t="n"/>
      <c r="O219" s="8" t="n"/>
      <c r="P219" s="8" t="n"/>
      <c r="Q219" s="8" t="n"/>
      <c r="R219" s="5">
        <f>IF($A219="","",IFERROR(INDEX(Companies!$I$2:$I$500,MATCH($A219,Companies!$A$2:$A$500,0)),""))</f>
        <v/>
      </c>
      <c r="S219" s="8" t="n"/>
      <c r="T219" s="8" t="n"/>
      <c r="U219" s="8" t="n"/>
      <c r="V219" s="8" t="n"/>
      <c r="W219" s="8" t="n"/>
    </row>
    <row r="220">
      <c r="C220" s="5">
        <f>IF($B220="","",TRIM(IF(INDEX('MOA role matrix'!$B$2:$D$13,1,MATCH($B220,'MOA role matrix'!$B$1:$D$1,0))="Fill","Project initiator, ","")IF(INDEX('MOA role matrix'!$B$2:$D$13,1,MATCH($B220,'MOA role matrix'!$B$1:$D$1,0))="If finance","Project initiator (if finance), ","")IF(INDEX('MOA role matrix'!$B$2:$D$13,1,MATCH($B220,'MOA role matrix'!$B$1:$D$1,0))="Auto","Project initiator (auto), ","")IF(INDEX('MOA role matrix'!$B$2:$D$13,2,MATCH($B220,'MOA role matrix'!$B$1:$D$1,0))="Fill","MOA signers (client), ","")IF(INDEX('MOA role matrix'!$B$2:$D$13,2,MATCH($B220,'MOA role matrix'!$B$1:$D$1,0))="If finance","MOA signers (client) (if finance), ","")IF(INDEX('MOA role matrix'!$B$2:$D$13,2,MATCH($B220,'MOA role matrix'!$B$1:$D$1,0))="Auto","MOA signers (client) (auto), ","")IF(INDEX('MOA role matrix'!$B$2:$D$13,3,MATCH($B220,'MOA role matrix'!$B$1:$D$1,0))="Fill","CFO / Head of Finance, ","")IF(INDEX('MOA role matrix'!$B$2:$D$13,3,MATCH($B220,'MOA role matrix'!$B$1:$D$1,0))="If finance","CFO / Head of Finance (if finance), ","")IF(INDEX('MOA role matrix'!$B$2:$D$13,3,MATCH($B220,'MOA role matrix'!$B$1:$D$1,0))="Auto","CFO / Head of Finance (auto), ","")IF(INDEX('MOA role matrix'!$B$2:$D$13,4,MATCH($B220,'MOA role matrix'!$B$1:$D$1,0))="Fill","CEO / COO / GM, ","")IF(INDEX('MOA role matrix'!$B$2:$D$13,4,MATCH($B220,'MOA role matrix'!$B$1:$D$1,0))="If finance","CEO / COO / GM (if finance), ","")IF(INDEX('MOA role matrix'!$B$2:$D$13,4,MATCH($B220,'MOA role matrix'!$B$1:$D$1,0))="Auto","CEO / COO / GM (auto), ","")IF(INDEX('MOA role matrix'!$B$2:$D$13,5,MATCH($B220,'MOA role matrix'!$B$1:$D$1,0))="Fill","Board member 1, ","")IF(INDEX('MOA role matrix'!$B$2:$D$13,5,MATCH($B220,'MOA role matrix'!$B$1:$D$1,0))="If finance","Board member 1 (if finance), ","")IF(INDEX('MOA role matrix'!$B$2:$D$13,5,MATCH($B220,'MOA role matrix'!$B$1:$D$1,0))="Auto","Board member 1 (auto), ","")IF(INDEX('MOA role matrix'!$B$2:$D$13,6,MATCH($B220,'MOA role matrix'!$B$1:$D$1,0))="Fill","Board member 2, ","")IF(INDEX('MOA role matrix'!$B$2:$D$13,6,MATCH($B220,'MOA role matrix'!$B$1:$D$1,0))="If finance","Board member 2 (if finance), ","")IF(INDEX('MOA role matrix'!$B$2:$D$13,6,MATCH($B220,'MOA role matrix'!$B$1:$D$1,0))="Auto","Board member 2 (auto), ","")IF(INDEX('MOA role matrix'!$B$2:$D$13,7,MATCH($B220,'MOA role matrix'!$B$1:$D$1,0))="Fill","LOA holder 1, ","")IF(INDEX('MOA role matrix'!$B$2:$D$13,7,MATCH($B220,'MOA role matrix'!$B$1:$D$1,0))="If finance","LOA holder 1 (if finance), ","")IF(INDEX('MOA role matrix'!$B$2:$D$13,7,MATCH($B220,'MOA role matrix'!$B$1:$D$1,0))="Auto","LOA holder 1 (auto), ","")IF(INDEX('MOA role matrix'!$B$2:$D$13,8,MATCH($B220,'MOA role matrix'!$B$1:$D$1,0))="Fill","LOA holder 2, ","")IF(INDEX('MOA role matrix'!$B$2:$D$13,8,MATCH($B220,'MOA role matrix'!$B$1:$D$1,0))="If finance","LOA holder 2 (if finance), ","")IF(INDEX('MOA role matrix'!$B$2:$D$13,8,MATCH($B220,'MOA role matrix'!$B$1:$D$1,0))="Auto","LOA holder 2 (auto), ","")IF(INDEX('MOA role matrix'!$B$2:$D$13,9,MATCH($B220,'MOA role matrix'!$B$1:$D$1,0))="Fill","Senior Manager CoSec, ","")IF(INDEX('MOA role matrix'!$B$2:$D$13,9,MATCH($B220,'MOA role matrix'!$B$1:$D$1,0))="If finance","Senior Manager CoSec (if finance), ","")IF(INDEX('MOA role matrix'!$B$2:$D$13,9,MATCH($B220,'MOA role matrix'!$B$1:$D$1,0))="Auto","Senior Manager CoSec (auto), ","")IF(INDEX('MOA role matrix'!$B$2:$D$13,10,MATCH($B220,'MOA role matrix'!$B$1:$D$1,0))="Fill","Division MOI managers, ","")IF(INDEX('MOA role matrix'!$B$2:$D$13,10,MATCH($B220,'MOA role matrix'!$B$1:$D$1,0))="If finance","Division MOI managers (if finance), ","")IF(INDEX('MOA role matrix'!$B$2:$D$13,10,MATCH($B220,'MOA role matrix'!$B$1:$D$1,0))="Auto","Division MOI managers (auto), ","")IF(INDEX('MOA role matrix'!$B$2:$D$13,11,MATCH($B220,'MOA role matrix'!$B$1:$D$1,0))="Fill","Ms Teh (bank), ","")IF(INDEX('MOA role matrix'!$B$2:$D$13,11,MATCH($B220,'MOA role matrix'!$B$1:$D$1,0))="If finance","Ms Teh (bank) (if finance), ","")IF(INDEX('MOA role matrix'!$B$2:$D$13,11,MATCH($B220,'MOA role matrix'!$B$1:$D$1,0))="Auto","Ms Teh (bank) (auto), ","")IF(INDEX('MOA role matrix'!$B$2:$D$13,12,MATCH($B220,'MOA role matrix'!$B$1:$D$1,0))="Fill","DLCM, ","")IF(INDEX('MOA role matrix'!$B$2:$D$13,12,MATCH($B220,'MOA role matrix'!$B$1:$D$1,0))="If finance","DLCM (if finance), ","")IF(INDEX('MOA role matrix'!$B$2:$D$13,12,MATCH($B220,'MOA role matrix'!$B$1:$D$1,0))="Auto","DLCM (auto), ","")))</f>
        <v/>
      </c>
      <c r="D220" s="5">
        <f>IF($A220="","",IFERROR(INDEX(FILTER('Client contacts'!$B$2:$B$500,('Client contacts'!$A$2:$A$500=$A220)*('Client contacts'!$H$2:$H$500="Y"),""),1),""))</f>
        <v/>
      </c>
      <c r="E220" s="5">
        <f>IF($A220="","",IFERROR(INDEX(FILTER('Client contacts'!$C$2:$C$500,('Client contacts'!$A$2:$A$500=$A220)*('Client contacts'!$H$2:$H$500="Y"),""),1),""))</f>
        <v/>
      </c>
      <c r="F220" s="5">
        <f>IF($A220="","",IFERROR(INDEX(FILTER('Client contacts'!$B$2:$B$500,('Client contacts'!$A$2:$A$500=$A220)*('Client contacts'!$G$2:$G$500="Y"),""),1),""))</f>
        <v/>
      </c>
      <c r="G220" s="5">
        <f>IF($A220="","",IFERROR(INDEX(FILTER('Client contacts'!$C$2:$C$500,('Client contacts'!$A$2:$A$500=$A220)*('Client contacts'!$G$2:$G$500="Y"),""),1),""))</f>
        <v/>
      </c>
      <c r="H220" s="5">
        <f>IF($A220="","",IFERROR(INDEX(FILTER('Client contacts'!$B$2:$B$500,('Client contacts'!$A$2:$A$500=$A220)*('Client contacts'!$G$2:$G$500="Y"),""),2),""))</f>
        <v/>
      </c>
      <c r="I220" s="5">
        <f>IF($A220="","",IFERROR(INDEX(FILTER('Client contacts'!$C$2:$C$500,('Client contacts'!$A$2:$A$500=$A220)*('Client contacts'!$G$2:$G$500="Y"),""),2),""))</f>
        <v/>
      </c>
      <c r="J220" s="8" t="n"/>
      <c r="K220" s="8" t="n"/>
      <c r="L220" s="8" t="n"/>
      <c r="M220" s="8" t="n"/>
      <c r="N220" s="8" t="n"/>
      <c r="O220" s="8" t="n"/>
      <c r="P220" s="8" t="n"/>
      <c r="Q220" s="8" t="n"/>
      <c r="R220" s="5">
        <f>IF($A220="","",IFERROR(INDEX(Companies!$I$2:$I$500,MATCH($A220,Companies!$A$2:$A$500,0)),""))</f>
        <v/>
      </c>
      <c r="S220" s="8" t="n"/>
      <c r="T220" s="8" t="n"/>
      <c r="U220" s="8" t="n"/>
      <c r="V220" s="8" t="n"/>
      <c r="W220" s="8" t="n"/>
    </row>
    <row r="221">
      <c r="C221" s="5">
        <f>IF($B221="","",TRIM(IF(INDEX('MOA role matrix'!$B$2:$D$13,1,MATCH($B221,'MOA role matrix'!$B$1:$D$1,0))="Fill","Project initiator, ","")IF(INDEX('MOA role matrix'!$B$2:$D$13,1,MATCH($B221,'MOA role matrix'!$B$1:$D$1,0))="If finance","Project initiator (if finance), ","")IF(INDEX('MOA role matrix'!$B$2:$D$13,1,MATCH($B221,'MOA role matrix'!$B$1:$D$1,0))="Auto","Project initiator (auto), ","")IF(INDEX('MOA role matrix'!$B$2:$D$13,2,MATCH($B221,'MOA role matrix'!$B$1:$D$1,0))="Fill","MOA signers (client), ","")IF(INDEX('MOA role matrix'!$B$2:$D$13,2,MATCH($B221,'MOA role matrix'!$B$1:$D$1,0))="If finance","MOA signers (client) (if finance), ","")IF(INDEX('MOA role matrix'!$B$2:$D$13,2,MATCH($B221,'MOA role matrix'!$B$1:$D$1,0))="Auto","MOA signers (client) (auto), ","")IF(INDEX('MOA role matrix'!$B$2:$D$13,3,MATCH($B221,'MOA role matrix'!$B$1:$D$1,0))="Fill","CFO / Head of Finance, ","")IF(INDEX('MOA role matrix'!$B$2:$D$13,3,MATCH($B221,'MOA role matrix'!$B$1:$D$1,0))="If finance","CFO / Head of Finance (if finance), ","")IF(INDEX('MOA role matrix'!$B$2:$D$13,3,MATCH($B221,'MOA role matrix'!$B$1:$D$1,0))="Auto","CFO / Head of Finance (auto), ","")IF(INDEX('MOA role matrix'!$B$2:$D$13,4,MATCH($B221,'MOA role matrix'!$B$1:$D$1,0))="Fill","CEO / COO / GM, ","")IF(INDEX('MOA role matrix'!$B$2:$D$13,4,MATCH($B221,'MOA role matrix'!$B$1:$D$1,0))="If finance","CEO / COO / GM (if finance), ","")IF(INDEX('MOA role matrix'!$B$2:$D$13,4,MATCH($B221,'MOA role matrix'!$B$1:$D$1,0))="Auto","CEO / COO / GM (auto), ","")IF(INDEX('MOA role matrix'!$B$2:$D$13,5,MATCH($B221,'MOA role matrix'!$B$1:$D$1,0))="Fill","Board member 1, ","")IF(INDEX('MOA role matrix'!$B$2:$D$13,5,MATCH($B221,'MOA role matrix'!$B$1:$D$1,0))="If finance","Board member 1 (if finance), ","")IF(INDEX('MOA role matrix'!$B$2:$D$13,5,MATCH($B221,'MOA role matrix'!$B$1:$D$1,0))="Auto","Board member 1 (auto), ","")IF(INDEX('MOA role matrix'!$B$2:$D$13,6,MATCH($B221,'MOA role matrix'!$B$1:$D$1,0))="Fill","Board member 2, ","")IF(INDEX('MOA role matrix'!$B$2:$D$13,6,MATCH($B221,'MOA role matrix'!$B$1:$D$1,0))="If finance","Board member 2 (if finance), ","")IF(INDEX('MOA role matrix'!$B$2:$D$13,6,MATCH($B221,'MOA role matrix'!$B$1:$D$1,0))="Auto","Board member 2 (auto), ","")IF(INDEX('MOA role matrix'!$B$2:$D$13,7,MATCH($B221,'MOA role matrix'!$B$1:$D$1,0))="Fill","LOA holder 1, ","")IF(INDEX('MOA role matrix'!$B$2:$D$13,7,MATCH($B221,'MOA role matrix'!$B$1:$D$1,0))="If finance","LOA holder 1 (if finance), ","")IF(INDEX('MOA role matrix'!$B$2:$D$13,7,MATCH($B221,'MOA role matrix'!$B$1:$D$1,0))="Auto","LOA holder 1 (auto), ","")IF(INDEX('MOA role matrix'!$B$2:$D$13,8,MATCH($B221,'MOA role matrix'!$B$1:$D$1,0))="Fill","LOA holder 2, ","")IF(INDEX('MOA role matrix'!$B$2:$D$13,8,MATCH($B221,'MOA role matrix'!$B$1:$D$1,0))="If finance","LOA holder 2 (if finance), ","")IF(INDEX('MOA role matrix'!$B$2:$D$13,8,MATCH($B221,'MOA role matrix'!$B$1:$D$1,0))="Auto","LOA holder 2 (auto), ","")IF(INDEX('MOA role matrix'!$B$2:$D$13,9,MATCH($B221,'MOA role matrix'!$B$1:$D$1,0))="Fill","Senior Manager CoSec, ","")IF(INDEX('MOA role matrix'!$B$2:$D$13,9,MATCH($B221,'MOA role matrix'!$B$1:$D$1,0))="If finance","Senior Manager CoSec (if finance), ","")IF(INDEX('MOA role matrix'!$B$2:$D$13,9,MATCH($B221,'MOA role matrix'!$B$1:$D$1,0))="Auto","Senior Manager CoSec (auto), ","")IF(INDEX('MOA role matrix'!$B$2:$D$13,10,MATCH($B221,'MOA role matrix'!$B$1:$D$1,0))="Fill","Division MOI managers, ","")IF(INDEX('MOA role matrix'!$B$2:$D$13,10,MATCH($B221,'MOA role matrix'!$B$1:$D$1,0))="If finance","Division MOI managers (if finance), ","")IF(INDEX('MOA role matrix'!$B$2:$D$13,10,MATCH($B221,'MOA role matrix'!$B$1:$D$1,0))="Auto","Division MOI managers (auto), ","")IF(INDEX('MOA role matrix'!$B$2:$D$13,11,MATCH($B221,'MOA role matrix'!$B$1:$D$1,0))="Fill","Ms Teh (bank), ","")IF(INDEX('MOA role matrix'!$B$2:$D$13,11,MATCH($B221,'MOA role matrix'!$B$1:$D$1,0))="If finance","Ms Teh (bank) (if finance), ","")IF(INDEX('MOA role matrix'!$B$2:$D$13,11,MATCH($B221,'MOA role matrix'!$B$1:$D$1,0))="Auto","Ms Teh (bank) (auto), ","")IF(INDEX('MOA role matrix'!$B$2:$D$13,12,MATCH($B221,'MOA role matrix'!$B$1:$D$1,0))="Fill","DLCM, ","")IF(INDEX('MOA role matrix'!$B$2:$D$13,12,MATCH($B221,'MOA role matrix'!$B$1:$D$1,0))="If finance","DLCM (if finance), ","")IF(INDEX('MOA role matrix'!$B$2:$D$13,12,MATCH($B221,'MOA role matrix'!$B$1:$D$1,0))="Auto","DLCM (auto), ","")))</f>
        <v/>
      </c>
      <c r="D221" s="5">
        <f>IF($A221="","",IFERROR(INDEX(FILTER('Client contacts'!$B$2:$B$500,('Client contacts'!$A$2:$A$500=$A221)*('Client contacts'!$H$2:$H$500="Y"),""),1),""))</f>
        <v/>
      </c>
      <c r="E221" s="5">
        <f>IF($A221="","",IFERROR(INDEX(FILTER('Client contacts'!$C$2:$C$500,('Client contacts'!$A$2:$A$500=$A221)*('Client contacts'!$H$2:$H$500="Y"),""),1),""))</f>
        <v/>
      </c>
      <c r="F221" s="5">
        <f>IF($A221="","",IFERROR(INDEX(FILTER('Client contacts'!$B$2:$B$500,('Client contacts'!$A$2:$A$500=$A221)*('Client contacts'!$G$2:$G$500="Y"),""),1),""))</f>
        <v/>
      </c>
      <c r="G221" s="5">
        <f>IF($A221="","",IFERROR(INDEX(FILTER('Client contacts'!$C$2:$C$500,('Client contacts'!$A$2:$A$500=$A221)*('Client contacts'!$G$2:$G$500="Y"),""),1),""))</f>
        <v/>
      </c>
      <c r="H221" s="5">
        <f>IF($A221="","",IFERROR(INDEX(FILTER('Client contacts'!$B$2:$B$500,('Client contacts'!$A$2:$A$500=$A221)*('Client contacts'!$G$2:$G$500="Y"),""),2),""))</f>
        <v/>
      </c>
      <c r="I221" s="5">
        <f>IF($A221="","",IFERROR(INDEX(FILTER('Client contacts'!$C$2:$C$500,('Client contacts'!$A$2:$A$500=$A221)*('Client contacts'!$G$2:$G$500="Y"),""),2),""))</f>
        <v/>
      </c>
      <c r="J221" s="8" t="n"/>
      <c r="K221" s="8" t="n"/>
      <c r="L221" s="8" t="n"/>
      <c r="M221" s="8" t="n"/>
      <c r="N221" s="8" t="n"/>
      <c r="O221" s="8" t="n"/>
      <c r="P221" s="8" t="n"/>
      <c r="Q221" s="8" t="n"/>
      <c r="R221" s="5">
        <f>IF($A221="","",IFERROR(INDEX(Companies!$I$2:$I$500,MATCH($A221,Companies!$A$2:$A$500,0)),""))</f>
        <v/>
      </c>
      <c r="S221" s="8" t="n"/>
      <c r="T221" s="8" t="n"/>
      <c r="U221" s="8" t="n"/>
      <c r="V221" s="8" t="n"/>
      <c r="W221" s="8" t="n"/>
    </row>
    <row r="222">
      <c r="C222" s="5">
        <f>IF($B222="","",TRIM(IF(INDEX('MOA role matrix'!$B$2:$D$13,1,MATCH($B222,'MOA role matrix'!$B$1:$D$1,0))="Fill","Project initiator, ","")IF(INDEX('MOA role matrix'!$B$2:$D$13,1,MATCH($B222,'MOA role matrix'!$B$1:$D$1,0))="If finance","Project initiator (if finance), ","")IF(INDEX('MOA role matrix'!$B$2:$D$13,1,MATCH($B222,'MOA role matrix'!$B$1:$D$1,0))="Auto","Project initiator (auto), ","")IF(INDEX('MOA role matrix'!$B$2:$D$13,2,MATCH($B222,'MOA role matrix'!$B$1:$D$1,0))="Fill","MOA signers (client), ","")IF(INDEX('MOA role matrix'!$B$2:$D$13,2,MATCH($B222,'MOA role matrix'!$B$1:$D$1,0))="If finance","MOA signers (client) (if finance), ","")IF(INDEX('MOA role matrix'!$B$2:$D$13,2,MATCH($B222,'MOA role matrix'!$B$1:$D$1,0))="Auto","MOA signers (client) (auto), ","")IF(INDEX('MOA role matrix'!$B$2:$D$13,3,MATCH($B222,'MOA role matrix'!$B$1:$D$1,0))="Fill","CFO / Head of Finance, ","")IF(INDEX('MOA role matrix'!$B$2:$D$13,3,MATCH($B222,'MOA role matrix'!$B$1:$D$1,0))="If finance","CFO / Head of Finance (if finance), ","")IF(INDEX('MOA role matrix'!$B$2:$D$13,3,MATCH($B222,'MOA role matrix'!$B$1:$D$1,0))="Auto","CFO / Head of Finance (auto), ","")IF(INDEX('MOA role matrix'!$B$2:$D$13,4,MATCH($B222,'MOA role matrix'!$B$1:$D$1,0))="Fill","CEO / COO / GM, ","")IF(INDEX('MOA role matrix'!$B$2:$D$13,4,MATCH($B222,'MOA role matrix'!$B$1:$D$1,0))="If finance","CEO / COO / GM (if finance), ","")IF(INDEX('MOA role matrix'!$B$2:$D$13,4,MATCH($B222,'MOA role matrix'!$B$1:$D$1,0))="Auto","CEO / COO / GM (auto), ","")IF(INDEX('MOA role matrix'!$B$2:$D$13,5,MATCH($B222,'MOA role matrix'!$B$1:$D$1,0))="Fill","Board member 1, ","")IF(INDEX('MOA role matrix'!$B$2:$D$13,5,MATCH($B222,'MOA role matrix'!$B$1:$D$1,0))="If finance","Board member 1 (if finance), ","")IF(INDEX('MOA role matrix'!$B$2:$D$13,5,MATCH($B222,'MOA role matrix'!$B$1:$D$1,0))="Auto","Board member 1 (auto), ","")IF(INDEX('MOA role matrix'!$B$2:$D$13,6,MATCH($B222,'MOA role matrix'!$B$1:$D$1,0))="Fill","Board member 2, ","")IF(INDEX('MOA role matrix'!$B$2:$D$13,6,MATCH($B222,'MOA role matrix'!$B$1:$D$1,0))="If finance","Board member 2 (if finance), ","")IF(INDEX('MOA role matrix'!$B$2:$D$13,6,MATCH($B222,'MOA role matrix'!$B$1:$D$1,0))="Auto","Board member 2 (auto), ","")IF(INDEX('MOA role matrix'!$B$2:$D$13,7,MATCH($B222,'MOA role matrix'!$B$1:$D$1,0))="Fill","LOA holder 1, ","")IF(INDEX('MOA role matrix'!$B$2:$D$13,7,MATCH($B222,'MOA role matrix'!$B$1:$D$1,0))="If finance","LOA holder 1 (if finance), ","")IF(INDEX('MOA role matrix'!$B$2:$D$13,7,MATCH($B222,'MOA role matrix'!$B$1:$D$1,0))="Auto","LOA holder 1 (auto), ","")IF(INDEX('MOA role matrix'!$B$2:$D$13,8,MATCH($B222,'MOA role matrix'!$B$1:$D$1,0))="Fill","LOA holder 2, ","")IF(INDEX('MOA role matrix'!$B$2:$D$13,8,MATCH($B222,'MOA role matrix'!$B$1:$D$1,0))="If finance","LOA holder 2 (if finance), ","")IF(INDEX('MOA role matrix'!$B$2:$D$13,8,MATCH($B222,'MOA role matrix'!$B$1:$D$1,0))="Auto","LOA holder 2 (auto), ","")IF(INDEX('MOA role matrix'!$B$2:$D$13,9,MATCH($B222,'MOA role matrix'!$B$1:$D$1,0))="Fill","Senior Manager CoSec, ","")IF(INDEX('MOA role matrix'!$B$2:$D$13,9,MATCH($B222,'MOA role matrix'!$B$1:$D$1,0))="If finance","Senior Manager CoSec (if finance), ","")IF(INDEX('MOA role matrix'!$B$2:$D$13,9,MATCH($B222,'MOA role matrix'!$B$1:$D$1,0))="Auto","Senior Manager CoSec (auto), ","")IF(INDEX('MOA role matrix'!$B$2:$D$13,10,MATCH($B222,'MOA role matrix'!$B$1:$D$1,0))="Fill","Division MOI managers, ","")IF(INDEX('MOA role matrix'!$B$2:$D$13,10,MATCH($B222,'MOA role matrix'!$B$1:$D$1,0))="If finance","Division MOI managers (if finance), ","")IF(INDEX('MOA role matrix'!$B$2:$D$13,10,MATCH($B222,'MOA role matrix'!$B$1:$D$1,0))="Auto","Division MOI managers (auto), ","")IF(INDEX('MOA role matrix'!$B$2:$D$13,11,MATCH($B222,'MOA role matrix'!$B$1:$D$1,0))="Fill","Ms Teh (bank), ","")IF(INDEX('MOA role matrix'!$B$2:$D$13,11,MATCH($B222,'MOA role matrix'!$B$1:$D$1,0))="If finance","Ms Teh (bank) (if finance), ","")IF(INDEX('MOA role matrix'!$B$2:$D$13,11,MATCH($B222,'MOA role matrix'!$B$1:$D$1,0))="Auto","Ms Teh (bank) (auto), ","")IF(INDEX('MOA role matrix'!$B$2:$D$13,12,MATCH($B222,'MOA role matrix'!$B$1:$D$1,0))="Fill","DLCM, ","")IF(INDEX('MOA role matrix'!$B$2:$D$13,12,MATCH($B222,'MOA role matrix'!$B$1:$D$1,0))="If finance","DLCM (if finance), ","")IF(INDEX('MOA role matrix'!$B$2:$D$13,12,MATCH($B222,'MOA role matrix'!$B$1:$D$1,0))="Auto","DLCM (auto), ","")))</f>
        <v/>
      </c>
      <c r="D222" s="5">
        <f>IF($A222="","",IFERROR(INDEX(FILTER('Client contacts'!$B$2:$B$500,('Client contacts'!$A$2:$A$500=$A222)*('Client contacts'!$H$2:$H$500="Y"),""),1),""))</f>
        <v/>
      </c>
      <c r="E222" s="5">
        <f>IF($A222="","",IFERROR(INDEX(FILTER('Client contacts'!$C$2:$C$500,('Client contacts'!$A$2:$A$500=$A222)*('Client contacts'!$H$2:$H$500="Y"),""),1),""))</f>
        <v/>
      </c>
      <c r="F222" s="5">
        <f>IF($A222="","",IFERROR(INDEX(FILTER('Client contacts'!$B$2:$B$500,('Client contacts'!$A$2:$A$500=$A222)*('Client contacts'!$G$2:$G$500="Y"),""),1),""))</f>
        <v/>
      </c>
      <c r="G222" s="5">
        <f>IF($A222="","",IFERROR(INDEX(FILTER('Client contacts'!$C$2:$C$500,('Client contacts'!$A$2:$A$500=$A222)*('Client contacts'!$G$2:$G$500="Y"),""),1),""))</f>
        <v/>
      </c>
      <c r="H222" s="5">
        <f>IF($A222="","",IFERROR(INDEX(FILTER('Client contacts'!$B$2:$B$500,('Client contacts'!$A$2:$A$500=$A222)*('Client contacts'!$G$2:$G$500="Y"),""),2),""))</f>
        <v/>
      </c>
      <c r="I222" s="5">
        <f>IF($A222="","",IFERROR(INDEX(FILTER('Client contacts'!$C$2:$C$500,('Client contacts'!$A$2:$A$500=$A222)*('Client contacts'!$G$2:$G$500="Y"),""),2),""))</f>
        <v/>
      </c>
      <c r="J222" s="8" t="n"/>
      <c r="K222" s="8" t="n"/>
      <c r="L222" s="8" t="n"/>
      <c r="M222" s="8" t="n"/>
      <c r="N222" s="8" t="n"/>
      <c r="O222" s="8" t="n"/>
      <c r="P222" s="8" t="n"/>
      <c r="Q222" s="8" t="n"/>
      <c r="R222" s="5">
        <f>IF($A222="","",IFERROR(INDEX(Companies!$I$2:$I$500,MATCH($A222,Companies!$A$2:$A$500,0)),""))</f>
        <v/>
      </c>
      <c r="S222" s="8" t="n"/>
      <c r="T222" s="8" t="n"/>
      <c r="U222" s="8" t="n"/>
      <c r="V222" s="8" t="n"/>
      <c r="W222" s="8" t="n"/>
    </row>
    <row r="223">
      <c r="C223" s="5">
        <f>IF($B223="","",TRIM(IF(INDEX('MOA role matrix'!$B$2:$D$13,1,MATCH($B223,'MOA role matrix'!$B$1:$D$1,0))="Fill","Project initiator, ","")IF(INDEX('MOA role matrix'!$B$2:$D$13,1,MATCH($B223,'MOA role matrix'!$B$1:$D$1,0))="If finance","Project initiator (if finance), ","")IF(INDEX('MOA role matrix'!$B$2:$D$13,1,MATCH($B223,'MOA role matrix'!$B$1:$D$1,0))="Auto","Project initiator (auto), ","")IF(INDEX('MOA role matrix'!$B$2:$D$13,2,MATCH($B223,'MOA role matrix'!$B$1:$D$1,0))="Fill","MOA signers (client), ","")IF(INDEX('MOA role matrix'!$B$2:$D$13,2,MATCH($B223,'MOA role matrix'!$B$1:$D$1,0))="If finance","MOA signers (client) (if finance), ","")IF(INDEX('MOA role matrix'!$B$2:$D$13,2,MATCH($B223,'MOA role matrix'!$B$1:$D$1,0))="Auto","MOA signers (client) (auto), ","")IF(INDEX('MOA role matrix'!$B$2:$D$13,3,MATCH($B223,'MOA role matrix'!$B$1:$D$1,0))="Fill","CFO / Head of Finance, ","")IF(INDEX('MOA role matrix'!$B$2:$D$13,3,MATCH($B223,'MOA role matrix'!$B$1:$D$1,0))="If finance","CFO / Head of Finance (if finance), ","")IF(INDEX('MOA role matrix'!$B$2:$D$13,3,MATCH($B223,'MOA role matrix'!$B$1:$D$1,0))="Auto","CFO / Head of Finance (auto), ","")IF(INDEX('MOA role matrix'!$B$2:$D$13,4,MATCH($B223,'MOA role matrix'!$B$1:$D$1,0))="Fill","CEO / COO / GM, ","")IF(INDEX('MOA role matrix'!$B$2:$D$13,4,MATCH($B223,'MOA role matrix'!$B$1:$D$1,0))="If finance","CEO / COO / GM (if finance), ","")IF(INDEX('MOA role matrix'!$B$2:$D$13,4,MATCH($B223,'MOA role matrix'!$B$1:$D$1,0))="Auto","CEO / COO / GM (auto), ","")IF(INDEX('MOA role matrix'!$B$2:$D$13,5,MATCH($B223,'MOA role matrix'!$B$1:$D$1,0))="Fill","Board member 1, ","")IF(INDEX('MOA role matrix'!$B$2:$D$13,5,MATCH($B223,'MOA role matrix'!$B$1:$D$1,0))="If finance","Board member 1 (if finance), ","")IF(INDEX('MOA role matrix'!$B$2:$D$13,5,MATCH($B223,'MOA role matrix'!$B$1:$D$1,0))="Auto","Board member 1 (auto), ","")IF(INDEX('MOA role matrix'!$B$2:$D$13,6,MATCH($B223,'MOA role matrix'!$B$1:$D$1,0))="Fill","Board member 2, ","")IF(INDEX('MOA role matrix'!$B$2:$D$13,6,MATCH($B223,'MOA role matrix'!$B$1:$D$1,0))="If finance","Board member 2 (if finance), ","")IF(INDEX('MOA role matrix'!$B$2:$D$13,6,MATCH($B223,'MOA role matrix'!$B$1:$D$1,0))="Auto","Board member 2 (auto), ","")IF(INDEX('MOA role matrix'!$B$2:$D$13,7,MATCH($B223,'MOA role matrix'!$B$1:$D$1,0))="Fill","LOA holder 1, ","")IF(INDEX('MOA role matrix'!$B$2:$D$13,7,MATCH($B223,'MOA role matrix'!$B$1:$D$1,0))="If finance","LOA holder 1 (if finance), ","")IF(INDEX('MOA role matrix'!$B$2:$D$13,7,MATCH($B223,'MOA role matrix'!$B$1:$D$1,0))="Auto","LOA holder 1 (auto), ","")IF(INDEX('MOA role matrix'!$B$2:$D$13,8,MATCH($B223,'MOA role matrix'!$B$1:$D$1,0))="Fill","LOA holder 2, ","")IF(INDEX('MOA role matrix'!$B$2:$D$13,8,MATCH($B223,'MOA role matrix'!$B$1:$D$1,0))="If finance","LOA holder 2 (if finance), ","")IF(INDEX('MOA role matrix'!$B$2:$D$13,8,MATCH($B223,'MOA role matrix'!$B$1:$D$1,0))="Auto","LOA holder 2 (auto), ","")IF(INDEX('MOA role matrix'!$B$2:$D$13,9,MATCH($B223,'MOA role matrix'!$B$1:$D$1,0))="Fill","Senior Manager CoSec, ","")IF(INDEX('MOA role matrix'!$B$2:$D$13,9,MATCH($B223,'MOA role matrix'!$B$1:$D$1,0))="If finance","Senior Manager CoSec (if finance), ","")IF(INDEX('MOA role matrix'!$B$2:$D$13,9,MATCH($B223,'MOA role matrix'!$B$1:$D$1,0))="Auto","Senior Manager CoSec (auto), ","")IF(INDEX('MOA role matrix'!$B$2:$D$13,10,MATCH($B223,'MOA role matrix'!$B$1:$D$1,0))="Fill","Division MOI managers, ","")IF(INDEX('MOA role matrix'!$B$2:$D$13,10,MATCH($B223,'MOA role matrix'!$B$1:$D$1,0))="If finance","Division MOI managers (if finance), ","")IF(INDEX('MOA role matrix'!$B$2:$D$13,10,MATCH($B223,'MOA role matrix'!$B$1:$D$1,0))="Auto","Division MOI managers (auto), ","")IF(INDEX('MOA role matrix'!$B$2:$D$13,11,MATCH($B223,'MOA role matrix'!$B$1:$D$1,0))="Fill","Ms Teh (bank), ","")IF(INDEX('MOA role matrix'!$B$2:$D$13,11,MATCH($B223,'MOA role matrix'!$B$1:$D$1,0))="If finance","Ms Teh (bank) (if finance), ","")IF(INDEX('MOA role matrix'!$B$2:$D$13,11,MATCH($B223,'MOA role matrix'!$B$1:$D$1,0))="Auto","Ms Teh (bank) (auto), ","")IF(INDEX('MOA role matrix'!$B$2:$D$13,12,MATCH($B223,'MOA role matrix'!$B$1:$D$1,0))="Fill","DLCM, ","")IF(INDEX('MOA role matrix'!$B$2:$D$13,12,MATCH($B223,'MOA role matrix'!$B$1:$D$1,0))="If finance","DLCM (if finance), ","")IF(INDEX('MOA role matrix'!$B$2:$D$13,12,MATCH($B223,'MOA role matrix'!$B$1:$D$1,0))="Auto","DLCM (auto), ","")))</f>
        <v/>
      </c>
      <c r="D223" s="5">
        <f>IF($A223="","",IFERROR(INDEX(FILTER('Client contacts'!$B$2:$B$500,('Client contacts'!$A$2:$A$500=$A223)*('Client contacts'!$H$2:$H$500="Y"),""),1),""))</f>
        <v/>
      </c>
      <c r="E223" s="5">
        <f>IF($A223="","",IFERROR(INDEX(FILTER('Client contacts'!$C$2:$C$500,('Client contacts'!$A$2:$A$500=$A223)*('Client contacts'!$H$2:$H$500="Y"),""),1),""))</f>
        <v/>
      </c>
      <c r="F223" s="5">
        <f>IF($A223="","",IFERROR(INDEX(FILTER('Client contacts'!$B$2:$B$500,('Client contacts'!$A$2:$A$500=$A223)*('Client contacts'!$G$2:$G$500="Y"),""),1),""))</f>
        <v/>
      </c>
      <c r="G223" s="5">
        <f>IF($A223="","",IFERROR(INDEX(FILTER('Client contacts'!$C$2:$C$500,('Client contacts'!$A$2:$A$500=$A223)*('Client contacts'!$G$2:$G$500="Y"),""),1),""))</f>
        <v/>
      </c>
      <c r="H223" s="5">
        <f>IF($A223="","",IFERROR(INDEX(FILTER('Client contacts'!$B$2:$B$500,('Client contacts'!$A$2:$A$500=$A223)*('Client contacts'!$G$2:$G$500="Y"),""),2),""))</f>
        <v/>
      </c>
      <c r="I223" s="5">
        <f>IF($A223="","",IFERROR(INDEX(FILTER('Client contacts'!$C$2:$C$500,('Client contacts'!$A$2:$A$500=$A223)*('Client contacts'!$G$2:$G$500="Y"),""),2),""))</f>
        <v/>
      </c>
      <c r="J223" s="8" t="n"/>
      <c r="K223" s="8" t="n"/>
      <c r="L223" s="8" t="n"/>
      <c r="M223" s="8" t="n"/>
      <c r="N223" s="8" t="n"/>
      <c r="O223" s="8" t="n"/>
      <c r="P223" s="8" t="n"/>
      <c r="Q223" s="8" t="n"/>
      <c r="R223" s="5">
        <f>IF($A223="","",IFERROR(INDEX(Companies!$I$2:$I$500,MATCH($A223,Companies!$A$2:$A$500,0)),""))</f>
        <v/>
      </c>
      <c r="S223" s="8" t="n"/>
      <c r="T223" s="8" t="n"/>
      <c r="U223" s="8" t="n"/>
      <c r="V223" s="8" t="n"/>
      <c r="W223" s="8" t="n"/>
    </row>
    <row r="224">
      <c r="C224" s="5">
        <f>IF($B224="","",TRIM(IF(INDEX('MOA role matrix'!$B$2:$D$13,1,MATCH($B224,'MOA role matrix'!$B$1:$D$1,0))="Fill","Project initiator, ","")IF(INDEX('MOA role matrix'!$B$2:$D$13,1,MATCH($B224,'MOA role matrix'!$B$1:$D$1,0))="If finance","Project initiator (if finance), ","")IF(INDEX('MOA role matrix'!$B$2:$D$13,1,MATCH($B224,'MOA role matrix'!$B$1:$D$1,0))="Auto","Project initiator (auto), ","")IF(INDEX('MOA role matrix'!$B$2:$D$13,2,MATCH($B224,'MOA role matrix'!$B$1:$D$1,0))="Fill","MOA signers (client), ","")IF(INDEX('MOA role matrix'!$B$2:$D$13,2,MATCH($B224,'MOA role matrix'!$B$1:$D$1,0))="If finance","MOA signers (client) (if finance), ","")IF(INDEX('MOA role matrix'!$B$2:$D$13,2,MATCH($B224,'MOA role matrix'!$B$1:$D$1,0))="Auto","MOA signers (client) (auto), ","")IF(INDEX('MOA role matrix'!$B$2:$D$13,3,MATCH($B224,'MOA role matrix'!$B$1:$D$1,0))="Fill","CFO / Head of Finance, ","")IF(INDEX('MOA role matrix'!$B$2:$D$13,3,MATCH($B224,'MOA role matrix'!$B$1:$D$1,0))="If finance","CFO / Head of Finance (if finance), ","")IF(INDEX('MOA role matrix'!$B$2:$D$13,3,MATCH($B224,'MOA role matrix'!$B$1:$D$1,0))="Auto","CFO / Head of Finance (auto), ","")IF(INDEX('MOA role matrix'!$B$2:$D$13,4,MATCH($B224,'MOA role matrix'!$B$1:$D$1,0))="Fill","CEO / COO / GM, ","")IF(INDEX('MOA role matrix'!$B$2:$D$13,4,MATCH($B224,'MOA role matrix'!$B$1:$D$1,0))="If finance","CEO / COO / GM (if finance), ","")IF(INDEX('MOA role matrix'!$B$2:$D$13,4,MATCH($B224,'MOA role matrix'!$B$1:$D$1,0))="Auto","CEO / COO / GM (auto), ","")IF(INDEX('MOA role matrix'!$B$2:$D$13,5,MATCH($B224,'MOA role matrix'!$B$1:$D$1,0))="Fill","Board member 1, ","")IF(INDEX('MOA role matrix'!$B$2:$D$13,5,MATCH($B224,'MOA role matrix'!$B$1:$D$1,0))="If finance","Board member 1 (if finance), ","")IF(INDEX('MOA role matrix'!$B$2:$D$13,5,MATCH($B224,'MOA role matrix'!$B$1:$D$1,0))="Auto","Board member 1 (auto), ","")IF(INDEX('MOA role matrix'!$B$2:$D$13,6,MATCH($B224,'MOA role matrix'!$B$1:$D$1,0))="Fill","Board member 2, ","")IF(INDEX('MOA role matrix'!$B$2:$D$13,6,MATCH($B224,'MOA role matrix'!$B$1:$D$1,0))="If finance","Board member 2 (if finance), ","")IF(INDEX('MOA role matrix'!$B$2:$D$13,6,MATCH($B224,'MOA role matrix'!$B$1:$D$1,0))="Auto","Board member 2 (auto), ","")IF(INDEX('MOA role matrix'!$B$2:$D$13,7,MATCH($B224,'MOA role matrix'!$B$1:$D$1,0))="Fill","LOA holder 1, ","")IF(INDEX('MOA role matrix'!$B$2:$D$13,7,MATCH($B224,'MOA role matrix'!$B$1:$D$1,0))="If finance","LOA holder 1 (if finance), ","")IF(INDEX('MOA role matrix'!$B$2:$D$13,7,MATCH($B224,'MOA role matrix'!$B$1:$D$1,0))="Auto","LOA holder 1 (auto), ","")IF(INDEX('MOA role matrix'!$B$2:$D$13,8,MATCH($B224,'MOA role matrix'!$B$1:$D$1,0))="Fill","LOA holder 2, ","")IF(INDEX('MOA role matrix'!$B$2:$D$13,8,MATCH($B224,'MOA role matrix'!$B$1:$D$1,0))="If finance","LOA holder 2 (if finance), ","")IF(INDEX('MOA role matrix'!$B$2:$D$13,8,MATCH($B224,'MOA role matrix'!$B$1:$D$1,0))="Auto","LOA holder 2 (auto), ","")IF(INDEX('MOA role matrix'!$B$2:$D$13,9,MATCH($B224,'MOA role matrix'!$B$1:$D$1,0))="Fill","Senior Manager CoSec, ","")IF(INDEX('MOA role matrix'!$B$2:$D$13,9,MATCH($B224,'MOA role matrix'!$B$1:$D$1,0))="If finance","Senior Manager CoSec (if finance), ","")IF(INDEX('MOA role matrix'!$B$2:$D$13,9,MATCH($B224,'MOA role matrix'!$B$1:$D$1,0))="Auto","Senior Manager CoSec (auto), ","")IF(INDEX('MOA role matrix'!$B$2:$D$13,10,MATCH($B224,'MOA role matrix'!$B$1:$D$1,0))="Fill","Division MOI managers, ","")IF(INDEX('MOA role matrix'!$B$2:$D$13,10,MATCH($B224,'MOA role matrix'!$B$1:$D$1,0))="If finance","Division MOI managers (if finance), ","")IF(INDEX('MOA role matrix'!$B$2:$D$13,10,MATCH($B224,'MOA role matrix'!$B$1:$D$1,0))="Auto","Division MOI managers (auto), ","")IF(INDEX('MOA role matrix'!$B$2:$D$13,11,MATCH($B224,'MOA role matrix'!$B$1:$D$1,0))="Fill","Ms Teh (bank), ","")IF(INDEX('MOA role matrix'!$B$2:$D$13,11,MATCH($B224,'MOA role matrix'!$B$1:$D$1,0))="If finance","Ms Teh (bank) (if finance), ","")IF(INDEX('MOA role matrix'!$B$2:$D$13,11,MATCH($B224,'MOA role matrix'!$B$1:$D$1,0))="Auto","Ms Teh (bank) (auto), ","")IF(INDEX('MOA role matrix'!$B$2:$D$13,12,MATCH($B224,'MOA role matrix'!$B$1:$D$1,0))="Fill","DLCM, ","")IF(INDEX('MOA role matrix'!$B$2:$D$13,12,MATCH($B224,'MOA role matrix'!$B$1:$D$1,0))="If finance","DLCM (if finance), ","")IF(INDEX('MOA role matrix'!$B$2:$D$13,12,MATCH($B224,'MOA role matrix'!$B$1:$D$1,0))="Auto","DLCM (auto), ","")))</f>
        <v/>
      </c>
      <c r="D224" s="5">
        <f>IF($A224="","",IFERROR(INDEX(FILTER('Client contacts'!$B$2:$B$500,('Client contacts'!$A$2:$A$500=$A224)*('Client contacts'!$H$2:$H$500="Y"),""),1),""))</f>
        <v/>
      </c>
      <c r="E224" s="5">
        <f>IF($A224="","",IFERROR(INDEX(FILTER('Client contacts'!$C$2:$C$500,('Client contacts'!$A$2:$A$500=$A224)*('Client contacts'!$H$2:$H$500="Y"),""),1),""))</f>
        <v/>
      </c>
      <c r="F224" s="5">
        <f>IF($A224="","",IFERROR(INDEX(FILTER('Client contacts'!$B$2:$B$500,('Client contacts'!$A$2:$A$500=$A224)*('Client contacts'!$G$2:$G$500="Y"),""),1),""))</f>
        <v/>
      </c>
      <c r="G224" s="5">
        <f>IF($A224="","",IFERROR(INDEX(FILTER('Client contacts'!$C$2:$C$500,('Client contacts'!$A$2:$A$500=$A224)*('Client contacts'!$G$2:$G$500="Y"),""),1),""))</f>
        <v/>
      </c>
      <c r="H224" s="5">
        <f>IF($A224="","",IFERROR(INDEX(FILTER('Client contacts'!$B$2:$B$500,('Client contacts'!$A$2:$A$500=$A224)*('Client contacts'!$G$2:$G$500="Y"),""),2),""))</f>
        <v/>
      </c>
      <c r="I224" s="5">
        <f>IF($A224="","",IFERROR(INDEX(FILTER('Client contacts'!$C$2:$C$500,('Client contacts'!$A$2:$A$500=$A224)*('Client contacts'!$G$2:$G$500="Y"),""),2),""))</f>
        <v/>
      </c>
      <c r="J224" s="8" t="n"/>
      <c r="K224" s="8" t="n"/>
      <c r="L224" s="8" t="n"/>
      <c r="M224" s="8" t="n"/>
      <c r="N224" s="8" t="n"/>
      <c r="O224" s="8" t="n"/>
      <c r="P224" s="8" t="n"/>
      <c r="Q224" s="8" t="n"/>
      <c r="R224" s="5">
        <f>IF($A224="","",IFERROR(INDEX(Companies!$I$2:$I$500,MATCH($A224,Companies!$A$2:$A$500,0)),""))</f>
        <v/>
      </c>
      <c r="S224" s="8" t="n"/>
      <c r="T224" s="8" t="n"/>
      <c r="U224" s="8" t="n"/>
      <c r="V224" s="8" t="n"/>
      <c r="W224" s="8" t="n"/>
    </row>
    <row r="225">
      <c r="C225" s="5">
        <f>IF($B225="","",TRIM(IF(INDEX('MOA role matrix'!$B$2:$D$13,1,MATCH($B225,'MOA role matrix'!$B$1:$D$1,0))="Fill","Project initiator, ","")IF(INDEX('MOA role matrix'!$B$2:$D$13,1,MATCH($B225,'MOA role matrix'!$B$1:$D$1,0))="If finance","Project initiator (if finance), ","")IF(INDEX('MOA role matrix'!$B$2:$D$13,1,MATCH($B225,'MOA role matrix'!$B$1:$D$1,0))="Auto","Project initiator (auto), ","")IF(INDEX('MOA role matrix'!$B$2:$D$13,2,MATCH($B225,'MOA role matrix'!$B$1:$D$1,0))="Fill","MOA signers (client), ","")IF(INDEX('MOA role matrix'!$B$2:$D$13,2,MATCH($B225,'MOA role matrix'!$B$1:$D$1,0))="If finance","MOA signers (client) (if finance), ","")IF(INDEX('MOA role matrix'!$B$2:$D$13,2,MATCH($B225,'MOA role matrix'!$B$1:$D$1,0))="Auto","MOA signers (client) (auto), ","")IF(INDEX('MOA role matrix'!$B$2:$D$13,3,MATCH($B225,'MOA role matrix'!$B$1:$D$1,0))="Fill","CFO / Head of Finance, ","")IF(INDEX('MOA role matrix'!$B$2:$D$13,3,MATCH($B225,'MOA role matrix'!$B$1:$D$1,0))="If finance","CFO / Head of Finance (if finance), ","")IF(INDEX('MOA role matrix'!$B$2:$D$13,3,MATCH($B225,'MOA role matrix'!$B$1:$D$1,0))="Auto","CFO / Head of Finance (auto), ","")IF(INDEX('MOA role matrix'!$B$2:$D$13,4,MATCH($B225,'MOA role matrix'!$B$1:$D$1,0))="Fill","CEO / COO / GM, ","")IF(INDEX('MOA role matrix'!$B$2:$D$13,4,MATCH($B225,'MOA role matrix'!$B$1:$D$1,0))="If finance","CEO / COO / GM (if finance), ","")IF(INDEX('MOA role matrix'!$B$2:$D$13,4,MATCH($B225,'MOA role matrix'!$B$1:$D$1,0))="Auto","CEO / COO / GM (auto), ","")IF(INDEX('MOA role matrix'!$B$2:$D$13,5,MATCH($B225,'MOA role matrix'!$B$1:$D$1,0))="Fill","Board member 1, ","")IF(INDEX('MOA role matrix'!$B$2:$D$13,5,MATCH($B225,'MOA role matrix'!$B$1:$D$1,0))="If finance","Board member 1 (if finance), ","")IF(INDEX('MOA role matrix'!$B$2:$D$13,5,MATCH($B225,'MOA role matrix'!$B$1:$D$1,0))="Auto","Board member 1 (auto), ","")IF(INDEX('MOA role matrix'!$B$2:$D$13,6,MATCH($B225,'MOA role matrix'!$B$1:$D$1,0))="Fill","Board member 2, ","")IF(INDEX('MOA role matrix'!$B$2:$D$13,6,MATCH($B225,'MOA role matrix'!$B$1:$D$1,0))="If finance","Board member 2 (if finance), ","")IF(INDEX('MOA role matrix'!$B$2:$D$13,6,MATCH($B225,'MOA role matrix'!$B$1:$D$1,0))="Auto","Board member 2 (auto), ","")IF(INDEX('MOA role matrix'!$B$2:$D$13,7,MATCH($B225,'MOA role matrix'!$B$1:$D$1,0))="Fill","LOA holder 1, ","")IF(INDEX('MOA role matrix'!$B$2:$D$13,7,MATCH($B225,'MOA role matrix'!$B$1:$D$1,0))="If finance","LOA holder 1 (if finance), ","")IF(INDEX('MOA role matrix'!$B$2:$D$13,7,MATCH($B225,'MOA role matrix'!$B$1:$D$1,0))="Auto","LOA holder 1 (auto), ","")IF(INDEX('MOA role matrix'!$B$2:$D$13,8,MATCH($B225,'MOA role matrix'!$B$1:$D$1,0))="Fill","LOA holder 2, ","")IF(INDEX('MOA role matrix'!$B$2:$D$13,8,MATCH($B225,'MOA role matrix'!$B$1:$D$1,0))="If finance","LOA holder 2 (if finance), ","")IF(INDEX('MOA role matrix'!$B$2:$D$13,8,MATCH($B225,'MOA role matrix'!$B$1:$D$1,0))="Auto","LOA holder 2 (auto), ","")IF(INDEX('MOA role matrix'!$B$2:$D$13,9,MATCH($B225,'MOA role matrix'!$B$1:$D$1,0))="Fill","Senior Manager CoSec, ","")IF(INDEX('MOA role matrix'!$B$2:$D$13,9,MATCH($B225,'MOA role matrix'!$B$1:$D$1,0))="If finance","Senior Manager CoSec (if finance), ","")IF(INDEX('MOA role matrix'!$B$2:$D$13,9,MATCH($B225,'MOA role matrix'!$B$1:$D$1,0))="Auto","Senior Manager CoSec (auto), ","")IF(INDEX('MOA role matrix'!$B$2:$D$13,10,MATCH($B225,'MOA role matrix'!$B$1:$D$1,0))="Fill","Division MOI managers, ","")IF(INDEX('MOA role matrix'!$B$2:$D$13,10,MATCH($B225,'MOA role matrix'!$B$1:$D$1,0))="If finance","Division MOI managers (if finance), ","")IF(INDEX('MOA role matrix'!$B$2:$D$13,10,MATCH($B225,'MOA role matrix'!$B$1:$D$1,0))="Auto","Division MOI managers (auto), ","")IF(INDEX('MOA role matrix'!$B$2:$D$13,11,MATCH($B225,'MOA role matrix'!$B$1:$D$1,0))="Fill","Ms Teh (bank), ","")IF(INDEX('MOA role matrix'!$B$2:$D$13,11,MATCH($B225,'MOA role matrix'!$B$1:$D$1,0))="If finance","Ms Teh (bank) (if finance), ","")IF(INDEX('MOA role matrix'!$B$2:$D$13,11,MATCH($B225,'MOA role matrix'!$B$1:$D$1,0))="Auto","Ms Teh (bank) (auto), ","")IF(INDEX('MOA role matrix'!$B$2:$D$13,12,MATCH($B225,'MOA role matrix'!$B$1:$D$1,0))="Fill","DLCM, ","")IF(INDEX('MOA role matrix'!$B$2:$D$13,12,MATCH($B225,'MOA role matrix'!$B$1:$D$1,0))="If finance","DLCM (if finance), ","")IF(INDEX('MOA role matrix'!$B$2:$D$13,12,MATCH($B225,'MOA role matrix'!$B$1:$D$1,0))="Auto","DLCM (auto), ","")))</f>
        <v/>
      </c>
      <c r="D225" s="5">
        <f>IF($A225="","",IFERROR(INDEX(FILTER('Client contacts'!$B$2:$B$500,('Client contacts'!$A$2:$A$500=$A225)*('Client contacts'!$H$2:$H$500="Y"),""),1),""))</f>
        <v/>
      </c>
      <c r="E225" s="5">
        <f>IF($A225="","",IFERROR(INDEX(FILTER('Client contacts'!$C$2:$C$500,('Client contacts'!$A$2:$A$500=$A225)*('Client contacts'!$H$2:$H$500="Y"),""),1),""))</f>
        <v/>
      </c>
      <c r="F225" s="5">
        <f>IF($A225="","",IFERROR(INDEX(FILTER('Client contacts'!$B$2:$B$500,('Client contacts'!$A$2:$A$500=$A225)*('Client contacts'!$G$2:$G$500="Y"),""),1),""))</f>
        <v/>
      </c>
      <c r="G225" s="5">
        <f>IF($A225="","",IFERROR(INDEX(FILTER('Client contacts'!$C$2:$C$500,('Client contacts'!$A$2:$A$500=$A225)*('Client contacts'!$G$2:$G$500="Y"),""),1),""))</f>
        <v/>
      </c>
      <c r="H225" s="5">
        <f>IF($A225="","",IFERROR(INDEX(FILTER('Client contacts'!$B$2:$B$500,('Client contacts'!$A$2:$A$500=$A225)*('Client contacts'!$G$2:$G$500="Y"),""),2),""))</f>
        <v/>
      </c>
      <c r="I225" s="5">
        <f>IF($A225="","",IFERROR(INDEX(FILTER('Client contacts'!$C$2:$C$500,('Client contacts'!$A$2:$A$500=$A225)*('Client contacts'!$G$2:$G$500="Y"),""),2),""))</f>
        <v/>
      </c>
      <c r="J225" s="8" t="n"/>
      <c r="K225" s="8" t="n"/>
      <c r="L225" s="8" t="n"/>
      <c r="M225" s="8" t="n"/>
      <c r="N225" s="8" t="n"/>
      <c r="O225" s="8" t="n"/>
      <c r="P225" s="8" t="n"/>
      <c r="Q225" s="8" t="n"/>
      <c r="R225" s="5">
        <f>IF($A225="","",IFERROR(INDEX(Companies!$I$2:$I$500,MATCH($A225,Companies!$A$2:$A$500,0)),""))</f>
        <v/>
      </c>
      <c r="S225" s="8" t="n"/>
      <c r="T225" s="8" t="n"/>
      <c r="U225" s="8" t="n"/>
      <c r="V225" s="8" t="n"/>
      <c r="W225" s="8" t="n"/>
    </row>
    <row r="226">
      <c r="C226" s="5">
        <f>IF($B226="","",TRIM(IF(INDEX('MOA role matrix'!$B$2:$D$13,1,MATCH($B226,'MOA role matrix'!$B$1:$D$1,0))="Fill","Project initiator, ","")IF(INDEX('MOA role matrix'!$B$2:$D$13,1,MATCH($B226,'MOA role matrix'!$B$1:$D$1,0))="If finance","Project initiator (if finance), ","")IF(INDEX('MOA role matrix'!$B$2:$D$13,1,MATCH($B226,'MOA role matrix'!$B$1:$D$1,0))="Auto","Project initiator (auto), ","")IF(INDEX('MOA role matrix'!$B$2:$D$13,2,MATCH($B226,'MOA role matrix'!$B$1:$D$1,0))="Fill","MOA signers (client), ","")IF(INDEX('MOA role matrix'!$B$2:$D$13,2,MATCH($B226,'MOA role matrix'!$B$1:$D$1,0))="If finance","MOA signers (client) (if finance), ","")IF(INDEX('MOA role matrix'!$B$2:$D$13,2,MATCH($B226,'MOA role matrix'!$B$1:$D$1,0))="Auto","MOA signers (client) (auto), ","")IF(INDEX('MOA role matrix'!$B$2:$D$13,3,MATCH($B226,'MOA role matrix'!$B$1:$D$1,0))="Fill","CFO / Head of Finance, ","")IF(INDEX('MOA role matrix'!$B$2:$D$13,3,MATCH($B226,'MOA role matrix'!$B$1:$D$1,0))="If finance","CFO / Head of Finance (if finance), ","")IF(INDEX('MOA role matrix'!$B$2:$D$13,3,MATCH($B226,'MOA role matrix'!$B$1:$D$1,0))="Auto","CFO / Head of Finance (auto), ","")IF(INDEX('MOA role matrix'!$B$2:$D$13,4,MATCH($B226,'MOA role matrix'!$B$1:$D$1,0))="Fill","CEO / COO / GM, ","")IF(INDEX('MOA role matrix'!$B$2:$D$13,4,MATCH($B226,'MOA role matrix'!$B$1:$D$1,0))="If finance","CEO / COO / GM (if finance), ","")IF(INDEX('MOA role matrix'!$B$2:$D$13,4,MATCH($B226,'MOA role matrix'!$B$1:$D$1,0))="Auto","CEO / COO / GM (auto), ","")IF(INDEX('MOA role matrix'!$B$2:$D$13,5,MATCH($B226,'MOA role matrix'!$B$1:$D$1,0))="Fill","Board member 1, ","")IF(INDEX('MOA role matrix'!$B$2:$D$13,5,MATCH($B226,'MOA role matrix'!$B$1:$D$1,0))="If finance","Board member 1 (if finance), ","")IF(INDEX('MOA role matrix'!$B$2:$D$13,5,MATCH($B226,'MOA role matrix'!$B$1:$D$1,0))="Auto","Board member 1 (auto), ","")IF(INDEX('MOA role matrix'!$B$2:$D$13,6,MATCH($B226,'MOA role matrix'!$B$1:$D$1,0))="Fill","Board member 2, ","")IF(INDEX('MOA role matrix'!$B$2:$D$13,6,MATCH($B226,'MOA role matrix'!$B$1:$D$1,0))="If finance","Board member 2 (if finance), ","")IF(INDEX('MOA role matrix'!$B$2:$D$13,6,MATCH($B226,'MOA role matrix'!$B$1:$D$1,0))="Auto","Board member 2 (auto), ","")IF(INDEX('MOA role matrix'!$B$2:$D$13,7,MATCH($B226,'MOA role matrix'!$B$1:$D$1,0))="Fill","LOA holder 1, ","")IF(INDEX('MOA role matrix'!$B$2:$D$13,7,MATCH($B226,'MOA role matrix'!$B$1:$D$1,0))="If finance","LOA holder 1 (if finance), ","")IF(INDEX('MOA role matrix'!$B$2:$D$13,7,MATCH($B226,'MOA role matrix'!$B$1:$D$1,0))="Auto","LOA holder 1 (auto), ","")IF(INDEX('MOA role matrix'!$B$2:$D$13,8,MATCH($B226,'MOA role matrix'!$B$1:$D$1,0))="Fill","LOA holder 2, ","")IF(INDEX('MOA role matrix'!$B$2:$D$13,8,MATCH($B226,'MOA role matrix'!$B$1:$D$1,0))="If finance","LOA holder 2 (if finance), ","")IF(INDEX('MOA role matrix'!$B$2:$D$13,8,MATCH($B226,'MOA role matrix'!$B$1:$D$1,0))="Auto","LOA holder 2 (auto), ","")IF(INDEX('MOA role matrix'!$B$2:$D$13,9,MATCH($B226,'MOA role matrix'!$B$1:$D$1,0))="Fill","Senior Manager CoSec, ","")IF(INDEX('MOA role matrix'!$B$2:$D$13,9,MATCH($B226,'MOA role matrix'!$B$1:$D$1,0))="If finance","Senior Manager CoSec (if finance), ","")IF(INDEX('MOA role matrix'!$B$2:$D$13,9,MATCH($B226,'MOA role matrix'!$B$1:$D$1,0))="Auto","Senior Manager CoSec (auto), ","")IF(INDEX('MOA role matrix'!$B$2:$D$13,10,MATCH($B226,'MOA role matrix'!$B$1:$D$1,0))="Fill","Division MOI managers, ","")IF(INDEX('MOA role matrix'!$B$2:$D$13,10,MATCH($B226,'MOA role matrix'!$B$1:$D$1,0))="If finance","Division MOI managers (if finance), ","")IF(INDEX('MOA role matrix'!$B$2:$D$13,10,MATCH($B226,'MOA role matrix'!$B$1:$D$1,0))="Auto","Division MOI managers (auto), ","")IF(INDEX('MOA role matrix'!$B$2:$D$13,11,MATCH($B226,'MOA role matrix'!$B$1:$D$1,0))="Fill","Ms Teh (bank), ","")IF(INDEX('MOA role matrix'!$B$2:$D$13,11,MATCH($B226,'MOA role matrix'!$B$1:$D$1,0))="If finance","Ms Teh (bank) (if finance), ","")IF(INDEX('MOA role matrix'!$B$2:$D$13,11,MATCH($B226,'MOA role matrix'!$B$1:$D$1,0))="Auto","Ms Teh (bank) (auto), ","")IF(INDEX('MOA role matrix'!$B$2:$D$13,12,MATCH($B226,'MOA role matrix'!$B$1:$D$1,0))="Fill","DLCM, ","")IF(INDEX('MOA role matrix'!$B$2:$D$13,12,MATCH($B226,'MOA role matrix'!$B$1:$D$1,0))="If finance","DLCM (if finance), ","")IF(INDEX('MOA role matrix'!$B$2:$D$13,12,MATCH($B226,'MOA role matrix'!$B$1:$D$1,0))="Auto","DLCM (auto), ","")))</f>
        <v/>
      </c>
      <c r="D226" s="5">
        <f>IF($A226="","",IFERROR(INDEX(FILTER('Client contacts'!$B$2:$B$500,('Client contacts'!$A$2:$A$500=$A226)*('Client contacts'!$H$2:$H$500="Y"),""),1),""))</f>
        <v/>
      </c>
      <c r="E226" s="5">
        <f>IF($A226="","",IFERROR(INDEX(FILTER('Client contacts'!$C$2:$C$500,('Client contacts'!$A$2:$A$500=$A226)*('Client contacts'!$H$2:$H$500="Y"),""),1),""))</f>
        <v/>
      </c>
      <c r="F226" s="5">
        <f>IF($A226="","",IFERROR(INDEX(FILTER('Client contacts'!$B$2:$B$500,('Client contacts'!$A$2:$A$500=$A226)*('Client contacts'!$G$2:$G$500="Y"),""),1),""))</f>
        <v/>
      </c>
      <c r="G226" s="5">
        <f>IF($A226="","",IFERROR(INDEX(FILTER('Client contacts'!$C$2:$C$500,('Client contacts'!$A$2:$A$500=$A226)*('Client contacts'!$G$2:$G$500="Y"),""),1),""))</f>
        <v/>
      </c>
      <c r="H226" s="5">
        <f>IF($A226="","",IFERROR(INDEX(FILTER('Client contacts'!$B$2:$B$500,('Client contacts'!$A$2:$A$500=$A226)*('Client contacts'!$G$2:$G$500="Y"),""),2),""))</f>
        <v/>
      </c>
      <c r="I226" s="5">
        <f>IF($A226="","",IFERROR(INDEX(FILTER('Client contacts'!$C$2:$C$500,('Client contacts'!$A$2:$A$500=$A226)*('Client contacts'!$G$2:$G$500="Y"),""),2),""))</f>
        <v/>
      </c>
      <c r="J226" s="8" t="n"/>
      <c r="K226" s="8" t="n"/>
      <c r="L226" s="8" t="n"/>
      <c r="M226" s="8" t="n"/>
      <c r="N226" s="8" t="n"/>
      <c r="O226" s="8" t="n"/>
      <c r="P226" s="8" t="n"/>
      <c r="Q226" s="8" t="n"/>
      <c r="R226" s="5">
        <f>IF($A226="","",IFERROR(INDEX(Companies!$I$2:$I$500,MATCH($A226,Companies!$A$2:$A$500,0)),""))</f>
        <v/>
      </c>
      <c r="S226" s="8" t="n"/>
      <c r="T226" s="8" t="n"/>
      <c r="U226" s="8" t="n"/>
      <c r="V226" s="8" t="n"/>
      <c r="W226" s="8" t="n"/>
    </row>
    <row r="227">
      <c r="C227" s="5">
        <f>IF($B227="","",TRIM(IF(INDEX('MOA role matrix'!$B$2:$D$13,1,MATCH($B227,'MOA role matrix'!$B$1:$D$1,0))="Fill","Project initiator, ","")IF(INDEX('MOA role matrix'!$B$2:$D$13,1,MATCH($B227,'MOA role matrix'!$B$1:$D$1,0))="If finance","Project initiator (if finance), ","")IF(INDEX('MOA role matrix'!$B$2:$D$13,1,MATCH($B227,'MOA role matrix'!$B$1:$D$1,0))="Auto","Project initiator (auto), ","")IF(INDEX('MOA role matrix'!$B$2:$D$13,2,MATCH($B227,'MOA role matrix'!$B$1:$D$1,0))="Fill","MOA signers (client), ","")IF(INDEX('MOA role matrix'!$B$2:$D$13,2,MATCH($B227,'MOA role matrix'!$B$1:$D$1,0))="If finance","MOA signers (client) (if finance), ","")IF(INDEX('MOA role matrix'!$B$2:$D$13,2,MATCH($B227,'MOA role matrix'!$B$1:$D$1,0))="Auto","MOA signers (client) (auto), ","")IF(INDEX('MOA role matrix'!$B$2:$D$13,3,MATCH($B227,'MOA role matrix'!$B$1:$D$1,0))="Fill","CFO / Head of Finance, ","")IF(INDEX('MOA role matrix'!$B$2:$D$13,3,MATCH($B227,'MOA role matrix'!$B$1:$D$1,0))="If finance","CFO / Head of Finance (if finance), ","")IF(INDEX('MOA role matrix'!$B$2:$D$13,3,MATCH($B227,'MOA role matrix'!$B$1:$D$1,0))="Auto","CFO / Head of Finance (auto), ","")IF(INDEX('MOA role matrix'!$B$2:$D$13,4,MATCH($B227,'MOA role matrix'!$B$1:$D$1,0))="Fill","CEO / COO / GM, ","")IF(INDEX('MOA role matrix'!$B$2:$D$13,4,MATCH($B227,'MOA role matrix'!$B$1:$D$1,0))="If finance","CEO / COO / GM (if finance), ","")IF(INDEX('MOA role matrix'!$B$2:$D$13,4,MATCH($B227,'MOA role matrix'!$B$1:$D$1,0))="Auto","CEO / COO / GM (auto), ","")IF(INDEX('MOA role matrix'!$B$2:$D$13,5,MATCH($B227,'MOA role matrix'!$B$1:$D$1,0))="Fill","Board member 1, ","")IF(INDEX('MOA role matrix'!$B$2:$D$13,5,MATCH($B227,'MOA role matrix'!$B$1:$D$1,0))="If finance","Board member 1 (if finance), ","")IF(INDEX('MOA role matrix'!$B$2:$D$13,5,MATCH($B227,'MOA role matrix'!$B$1:$D$1,0))="Auto","Board member 1 (auto), ","")IF(INDEX('MOA role matrix'!$B$2:$D$13,6,MATCH($B227,'MOA role matrix'!$B$1:$D$1,0))="Fill","Board member 2, ","")IF(INDEX('MOA role matrix'!$B$2:$D$13,6,MATCH($B227,'MOA role matrix'!$B$1:$D$1,0))="If finance","Board member 2 (if finance), ","")IF(INDEX('MOA role matrix'!$B$2:$D$13,6,MATCH($B227,'MOA role matrix'!$B$1:$D$1,0))="Auto","Board member 2 (auto), ","")IF(INDEX('MOA role matrix'!$B$2:$D$13,7,MATCH($B227,'MOA role matrix'!$B$1:$D$1,0))="Fill","LOA holder 1, ","")IF(INDEX('MOA role matrix'!$B$2:$D$13,7,MATCH($B227,'MOA role matrix'!$B$1:$D$1,0))="If finance","LOA holder 1 (if finance), ","")IF(INDEX('MOA role matrix'!$B$2:$D$13,7,MATCH($B227,'MOA role matrix'!$B$1:$D$1,0))="Auto","LOA holder 1 (auto), ","")IF(INDEX('MOA role matrix'!$B$2:$D$13,8,MATCH($B227,'MOA role matrix'!$B$1:$D$1,0))="Fill","LOA holder 2, ","")IF(INDEX('MOA role matrix'!$B$2:$D$13,8,MATCH($B227,'MOA role matrix'!$B$1:$D$1,0))="If finance","LOA holder 2 (if finance), ","")IF(INDEX('MOA role matrix'!$B$2:$D$13,8,MATCH($B227,'MOA role matrix'!$B$1:$D$1,0))="Auto","LOA holder 2 (auto), ","")IF(INDEX('MOA role matrix'!$B$2:$D$13,9,MATCH($B227,'MOA role matrix'!$B$1:$D$1,0))="Fill","Senior Manager CoSec, ","")IF(INDEX('MOA role matrix'!$B$2:$D$13,9,MATCH($B227,'MOA role matrix'!$B$1:$D$1,0))="If finance","Senior Manager CoSec (if finance), ","")IF(INDEX('MOA role matrix'!$B$2:$D$13,9,MATCH($B227,'MOA role matrix'!$B$1:$D$1,0))="Auto","Senior Manager CoSec (auto), ","")IF(INDEX('MOA role matrix'!$B$2:$D$13,10,MATCH($B227,'MOA role matrix'!$B$1:$D$1,0))="Fill","Division MOI managers, ","")IF(INDEX('MOA role matrix'!$B$2:$D$13,10,MATCH($B227,'MOA role matrix'!$B$1:$D$1,0))="If finance","Division MOI managers (if finance), ","")IF(INDEX('MOA role matrix'!$B$2:$D$13,10,MATCH($B227,'MOA role matrix'!$B$1:$D$1,0))="Auto","Division MOI managers (auto), ","")IF(INDEX('MOA role matrix'!$B$2:$D$13,11,MATCH($B227,'MOA role matrix'!$B$1:$D$1,0))="Fill","Ms Teh (bank), ","")IF(INDEX('MOA role matrix'!$B$2:$D$13,11,MATCH($B227,'MOA role matrix'!$B$1:$D$1,0))="If finance","Ms Teh (bank) (if finance), ","")IF(INDEX('MOA role matrix'!$B$2:$D$13,11,MATCH($B227,'MOA role matrix'!$B$1:$D$1,0))="Auto","Ms Teh (bank) (auto), ","")IF(INDEX('MOA role matrix'!$B$2:$D$13,12,MATCH($B227,'MOA role matrix'!$B$1:$D$1,0))="Fill","DLCM, ","")IF(INDEX('MOA role matrix'!$B$2:$D$13,12,MATCH($B227,'MOA role matrix'!$B$1:$D$1,0))="If finance","DLCM (if finance), ","")IF(INDEX('MOA role matrix'!$B$2:$D$13,12,MATCH($B227,'MOA role matrix'!$B$1:$D$1,0))="Auto","DLCM (auto), ","")))</f>
        <v/>
      </c>
      <c r="D227" s="5">
        <f>IF($A227="","",IFERROR(INDEX(FILTER('Client contacts'!$B$2:$B$500,('Client contacts'!$A$2:$A$500=$A227)*('Client contacts'!$H$2:$H$500="Y"),""),1),""))</f>
        <v/>
      </c>
      <c r="E227" s="5">
        <f>IF($A227="","",IFERROR(INDEX(FILTER('Client contacts'!$C$2:$C$500,('Client contacts'!$A$2:$A$500=$A227)*('Client contacts'!$H$2:$H$500="Y"),""),1),""))</f>
        <v/>
      </c>
      <c r="F227" s="5">
        <f>IF($A227="","",IFERROR(INDEX(FILTER('Client contacts'!$B$2:$B$500,('Client contacts'!$A$2:$A$500=$A227)*('Client contacts'!$G$2:$G$500="Y"),""),1),""))</f>
        <v/>
      </c>
      <c r="G227" s="5">
        <f>IF($A227="","",IFERROR(INDEX(FILTER('Client contacts'!$C$2:$C$500,('Client contacts'!$A$2:$A$500=$A227)*('Client contacts'!$G$2:$G$500="Y"),""),1),""))</f>
        <v/>
      </c>
      <c r="H227" s="5">
        <f>IF($A227="","",IFERROR(INDEX(FILTER('Client contacts'!$B$2:$B$500,('Client contacts'!$A$2:$A$500=$A227)*('Client contacts'!$G$2:$G$500="Y"),""),2),""))</f>
        <v/>
      </c>
      <c r="I227" s="5">
        <f>IF($A227="","",IFERROR(INDEX(FILTER('Client contacts'!$C$2:$C$500,('Client contacts'!$A$2:$A$500=$A227)*('Client contacts'!$G$2:$G$500="Y"),""),2),""))</f>
        <v/>
      </c>
      <c r="J227" s="8" t="n"/>
      <c r="K227" s="8" t="n"/>
      <c r="L227" s="8" t="n"/>
      <c r="M227" s="8" t="n"/>
      <c r="N227" s="8" t="n"/>
      <c r="O227" s="8" t="n"/>
      <c r="P227" s="8" t="n"/>
      <c r="Q227" s="8" t="n"/>
      <c r="R227" s="5">
        <f>IF($A227="","",IFERROR(INDEX(Companies!$I$2:$I$500,MATCH($A227,Companies!$A$2:$A$500,0)),""))</f>
        <v/>
      </c>
      <c r="S227" s="8" t="n"/>
      <c r="T227" s="8" t="n"/>
      <c r="U227" s="8" t="n"/>
      <c r="V227" s="8" t="n"/>
      <c r="W227" s="8" t="n"/>
    </row>
    <row r="228">
      <c r="C228" s="5">
        <f>IF($B228="","",TRIM(IF(INDEX('MOA role matrix'!$B$2:$D$13,1,MATCH($B228,'MOA role matrix'!$B$1:$D$1,0))="Fill","Project initiator, ","")IF(INDEX('MOA role matrix'!$B$2:$D$13,1,MATCH($B228,'MOA role matrix'!$B$1:$D$1,0))="If finance","Project initiator (if finance), ","")IF(INDEX('MOA role matrix'!$B$2:$D$13,1,MATCH($B228,'MOA role matrix'!$B$1:$D$1,0))="Auto","Project initiator (auto), ","")IF(INDEX('MOA role matrix'!$B$2:$D$13,2,MATCH($B228,'MOA role matrix'!$B$1:$D$1,0))="Fill","MOA signers (client), ","")IF(INDEX('MOA role matrix'!$B$2:$D$13,2,MATCH($B228,'MOA role matrix'!$B$1:$D$1,0))="If finance","MOA signers (client) (if finance), ","")IF(INDEX('MOA role matrix'!$B$2:$D$13,2,MATCH($B228,'MOA role matrix'!$B$1:$D$1,0))="Auto","MOA signers (client) (auto), ","")IF(INDEX('MOA role matrix'!$B$2:$D$13,3,MATCH($B228,'MOA role matrix'!$B$1:$D$1,0))="Fill","CFO / Head of Finance, ","")IF(INDEX('MOA role matrix'!$B$2:$D$13,3,MATCH($B228,'MOA role matrix'!$B$1:$D$1,0))="If finance","CFO / Head of Finance (if finance), ","")IF(INDEX('MOA role matrix'!$B$2:$D$13,3,MATCH($B228,'MOA role matrix'!$B$1:$D$1,0))="Auto","CFO / Head of Finance (auto), ","")IF(INDEX('MOA role matrix'!$B$2:$D$13,4,MATCH($B228,'MOA role matrix'!$B$1:$D$1,0))="Fill","CEO / COO / GM, ","")IF(INDEX('MOA role matrix'!$B$2:$D$13,4,MATCH($B228,'MOA role matrix'!$B$1:$D$1,0))="If finance","CEO / COO / GM (if finance), ","")IF(INDEX('MOA role matrix'!$B$2:$D$13,4,MATCH($B228,'MOA role matrix'!$B$1:$D$1,0))="Auto","CEO / COO / GM (auto), ","")IF(INDEX('MOA role matrix'!$B$2:$D$13,5,MATCH($B228,'MOA role matrix'!$B$1:$D$1,0))="Fill","Board member 1, ","")IF(INDEX('MOA role matrix'!$B$2:$D$13,5,MATCH($B228,'MOA role matrix'!$B$1:$D$1,0))="If finance","Board member 1 (if finance), ","")IF(INDEX('MOA role matrix'!$B$2:$D$13,5,MATCH($B228,'MOA role matrix'!$B$1:$D$1,0))="Auto","Board member 1 (auto), ","")IF(INDEX('MOA role matrix'!$B$2:$D$13,6,MATCH($B228,'MOA role matrix'!$B$1:$D$1,0))="Fill","Board member 2, ","")IF(INDEX('MOA role matrix'!$B$2:$D$13,6,MATCH($B228,'MOA role matrix'!$B$1:$D$1,0))="If finance","Board member 2 (if finance), ","")IF(INDEX('MOA role matrix'!$B$2:$D$13,6,MATCH($B228,'MOA role matrix'!$B$1:$D$1,0))="Auto","Board member 2 (auto), ","")IF(INDEX('MOA role matrix'!$B$2:$D$13,7,MATCH($B228,'MOA role matrix'!$B$1:$D$1,0))="Fill","LOA holder 1, ","")IF(INDEX('MOA role matrix'!$B$2:$D$13,7,MATCH($B228,'MOA role matrix'!$B$1:$D$1,0))="If finance","LOA holder 1 (if finance), ","")IF(INDEX('MOA role matrix'!$B$2:$D$13,7,MATCH($B228,'MOA role matrix'!$B$1:$D$1,0))="Auto","LOA holder 1 (auto), ","")IF(INDEX('MOA role matrix'!$B$2:$D$13,8,MATCH($B228,'MOA role matrix'!$B$1:$D$1,0))="Fill","LOA holder 2, ","")IF(INDEX('MOA role matrix'!$B$2:$D$13,8,MATCH($B228,'MOA role matrix'!$B$1:$D$1,0))="If finance","LOA holder 2 (if finance), ","")IF(INDEX('MOA role matrix'!$B$2:$D$13,8,MATCH($B228,'MOA role matrix'!$B$1:$D$1,0))="Auto","LOA holder 2 (auto), ","")IF(INDEX('MOA role matrix'!$B$2:$D$13,9,MATCH($B228,'MOA role matrix'!$B$1:$D$1,0))="Fill","Senior Manager CoSec, ","")IF(INDEX('MOA role matrix'!$B$2:$D$13,9,MATCH($B228,'MOA role matrix'!$B$1:$D$1,0))="If finance","Senior Manager CoSec (if finance), ","")IF(INDEX('MOA role matrix'!$B$2:$D$13,9,MATCH($B228,'MOA role matrix'!$B$1:$D$1,0))="Auto","Senior Manager CoSec (auto), ","")IF(INDEX('MOA role matrix'!$B$2:$D$13,10,MATCH($B228,'MOA role matrix'!$B$1:$D$1,0))="Fill","Division MOI managers, ","")IF(INDEX('MOA role matrix'!$B$2:$D$13,10,MATCH($B228,'MOA role matrix'!$B$1:$D$1,0))="If finance","Division MOI managers (if finance), ","")IF(INDEX('MOA role matrix'!$B$2:$D$13,10,MATCH($B228,'MOA role matrix'!$B$1:$D$1,0))="Auto","Division MOI managers (auto), ","")IF(INDEX('MOA role matrix'!$B$2:$D$13,11,MATCH($B228,'MOA role matrix'!$B$1:$D$1,0))="Fill","Ms Teh (bank), ","")IF(INDEX('MOA role matrix'!$B$2:$D$13,11,MATCH($B228,'MOA role matrix'!$B$1:$D$1,0))="If finance","Ms Teh (bank) (if finance), ","")IF(INDEX('MOA role matrix'!$B$2:$D$13,11,MATCH($B228,'MOA role matrix'!$B$1:$D$1,0))="Auto","Ms Teh (bank) (auto), ","")IF(INDEX('MOA role matrix'!$B$2:$D$13,12,MATCH($B228,'MOA role matrix'!$B$1:$D$1,0))="Fill","DLCM, ","")IF(INDEX('MOA role matrix'!$B$2:$D$13,12,MATCH($B228,'MOA role matrix'!$B$1:$D$1,0))="If finance","DLCM (if finance), ","")IF(INDEX('MOA role matrix'!$B$2:$D$13,12,MATCH($B228,'MOA role matrix'!$B$1:$D$1,0))="Auto","DLCM (auto), ","")))</f>
        <v/>
      </c>
      <c r="D228" s="5">
        <f>IF($A228="","",IFERROR(INDEX(FILTER('Client contacts'!$B$2:$B$500,('Client contacts'!$A$2:$A$500=$A228)*('Client contacts'!$H$2:$H$500="Y"),""),1),""))</f>
        <v/>
      </c>
      <c r="E228" s="5">
        <f>IF($A228="","",IFERROR(INDEX(FILTER('Client contacts'!$C$2:$C$500,('Client contacts'!$A$2:$A$500=$A228)*('Client contacts'!$H$2:$H$500="Y"),""),1),""))</f>
        <v/>
      </c>
      <c r="F228" s="5">
        <f>IF($A228="","",IFERROR(INDEX(FILTER('Client contacts'!$B$2:$B$500,('Client contacts'!$A$2:$A$500=$A228)*('Client contacts'!$G$2:$G$500="Y"),""),1),""))</f>
        <v/>
      </c>
      <c r="G228" s="5">
        <f>IF($A228="","",IFERROR(INDEX(FILTER('Client contacts'!$C$2:$C$500,('Client contacts'!$A$2:$A$500=$A228)*('Client contacts'!$G$2:$G$500="Y"),""),1),""))</f>
        <v/>
      </c>
      <c r="H228" s="5">
        <f>IF($A228="","",IFERROR(INDEX(FILTER('Client contacts'!$B$2:$B$500,('Client contacts'!$A$2:$A$500=$A228)*('Client contacts'!$G$2:$G$500="Y"),""),2),""))</f>
        <v/>
      </c>
      <c r="I228" s="5">
        <f>IF($A228="","",IFERROR(INDEX(FILTER('Client contacts'!$C$2:$C$500,('Client contacts'!$A$2:$A$500=$A228)*('Client contacts'!$G$2:$G$500="Y"),""),2),""))</f>
        <v/>
      </c>
      <c r="J228" s="8" t="n"/>
      <c r="K228" s="8" t="n"/>
      <c r="L228" s="8" t="n"/>
      <c r="M228" s="8" t="n"/>
      <c r="N228" s="8" t="n"/>
      <c r="O228" s="8" t="n"/>
      <c r="P228" s="8" t="n"/>
      <c r="Q228" s="8" t="n"/>
      <c r="R228" s="5">
        <f>IF($A228="","",IFERROR(INDEX(Companies!$I$2:$I$500,MATCH($A228,Companies!$A$2:$A$500,0)),""))</f>
        <v/>
      </c>
      <c r="S228" s="8" t="n"/>
      <c r="T228" s="8" t="n"/>
      <c r="U228" s="8" t="n"/>
      <c r="V228" s="8" t="n"/>
      <c r="W228" s="8" t="n"/>
    </row>
    <row r="229">
      <c r="C229" s="5">
        <f>IF($B229="","",TRIM(IF(INDEX('MOA role matrix'!$B$2:$D$13,1,MATCH($B229,'MOA role matrix'!$B$1:$D$1,0))="Fill","Project initiator, ","")IF(INDEX('MOA role matrix'!$B$2:$D$13,1,MATCH($B229,'MOA role matrix'!$B$1:$D$1,0))="If finance","Project initiator (if finance), ","")IF(INDEX('MOA role matrix'!$B$2:$D$13,1,MATCH($B229,'MOA role matrix'!$B$1:$D$1,0))="Auto","Project initiator (auto), ","")IF(INDEX('MOA role matrix'!$B$2:$D$13,2,MATCH($B229,'MOA role matrix'!$B$1:$D$1,0))="Fill","MOA signers (client), ","")IF(INDEX('MOA role matrix'!$B$2:$D$13,2,MATCH($B229,'MOA role matrix'!$B$1:$D$1,0))="If finance","MOA signers (client) (if finance), ","")IF(INDEX('MOA role matrix'!$B$2:$D$13,2,MATCH($B229,'MOA role matrix'!$B$1:$D$1,0))="Auto","MOA signers (client) (auto), ","")IF(INDEX('MOA role matrix'!$B$2:$D$13,3,MATCH($B229,'MOA role matrix'!$B$1:$D$1,0))="Fill","CFO / Head of Finance, ","")IF(INDEX('MOA role matrix'!$B$2:$D$13,3,MATCH($B229,'MOA role matrix'!$B$1:$D$1,0))="If finance","CFO / Head of Finance (if finance), ","")IF(INDEX('MOA role matrix'!$B$2:$D$13,3,MATCH($B229,'MOA role matrix'!$B$1:$D$1,0))="Auto","CFO / Head of Finance (auto), ","")IF(INDEX('MOA role matrix'!$B$2:$D$13,4,MATCH($B229,'MOA role matrix'!$B$1:$D$1,0))="Fill","CEO / COO / GM, ","")IF(INDEX('MOA role matrix'!$B$2:$D$13,4,MATCH($B229,'MOA role matrix'!$B$1:$D$1,0))="If finance","CEO / COO / GM (if finance), ","")IF(INDEX('MOA role matrix'!$B$2:$D$13,4,MATCH($B229,'MOA role matrix'!$B$1:$D$1,0))="Auto","CEO / COO / GM (auto), ","")IF(INDEX('MOA role matrix'!$B$2:$D$13,5,MATCH($B229,'MOA role matrix'!$B$1:$D$1,0))="Fill","Board member 1, ","")IF(INDEX('MOA role matrix'!$B$2:$D$13,5,MATCH($B229,'MOA role matrix'!$B$1:$D$1,0))="If finance","Board member 1 (if finance), ","")IF(INDEX('MOA role matrix'!$B$2:$D$13,5,MATCH($B229,'MOA role matrix'!$B$1:$D$1,0))="Auto","Board member 1 (auto), ","")IF(INDEX('MOA role matrix'!$B$2:$D$13,6,MATCH($B229,'MOA role matrix'!$B$1:$D$1,0))="Fill","Board member 2, ","")IF(INDEX('MOA role matrix'!$B$2:$D$13,6,MATCH($B229,'MOA role matrix'!$B$1:$D$1,0))="If finance","Board member 2 (if finance), ","")IF(INDEX('MOA role matrix'!$B$2:$D$13,6,MATCH($B229,'MOA role matrix'!$B$1:$D$1,0))="Auto","Board member 2 (auto), ","")IF(INDEX('MOA role matrix'!$B$2:$D$13,7,MATCH($B229,'MOA role matrix'!$B$1:$D$1,0))="Fill","LOA holder 1, ","")IF(INDEX('MOA role matrix'!$B$2:$D$13,7,MATCH($B229,'MOA role matrix'!$B$1:$D$1,0))="If finance","LOA holder 1 (if finance), ","")IF(INDEX('MOA role matrix'!$B$2:$D$13,7,MATCH($B229,'MOA role matrix'!$B$1:$D$1,0))="Auto","LOA holder 1 (auto), ","")IF(INDEX('MOA role matrix'!$B$2:$D$13,8,MATCH($B229,'MOA role matrix'!$B$1:$D$1,0))="Fill","LOA holder 2, ","")IF(INDEX('MOA role matrix'!$B$2:$D$13,8,MATCH($B229,'MOA role matrix'!$B$1:$D$1,0))="If finance","LOA holder 2 (if finance), ","")IF(INDEX('MOA role matrix'!$B$2:$D$13,8,MATCH($B229,'MOA role matrix'!$B$1:$D$1,0))="Auto","LOA holder 2 (auto), ","")IF(INDEX('MOA role matrix'!$B$2:$D$13,9,MATCH($B229,'MOA role matrix'!$B$1:$D$1,0))="Fill","Senior Manager CoSec, ","")IF(INDEX('MOA role matrix'!$B$2:$D$13,9,MATCH($B229,'MOA role matrix'!$B$1:$D$1,0))="If finance","Senior Manager CoSec (if finance), ","")IF(INDEX('MOA role matrix'!$B$2:$D$13,9,MATCH($B229,'MOA role matrix'!$B$1:$D$1,0))="Auto","Senior Manager CoSec (auto), ","")IF(INDEX('MOA role matrix'!$B$2:$D$13,10,MATCH($B229,'MOA role matrix'!$B$1:$D$1,0))="Fill","Division MOI managers, ","")IF(INDEX('MOA role matrix'!$B$2:$D$13,10,MATCH($B229,'MOA role matrix'!$B$1:$D$1,0))="If finance","Division MOI managers (if finance), ","")IF(INDEX('MOA role matrix'!$B$2:$D$13,10,MATCH($B229,'MOA role matrix'!$B$1:$D$1,0))="Auto","Division MOI managers (auto), ","")IF(INDEX('MOA role matrix'!$B$2:$D$13,11,MATCH($B229,'MOA role matrix'!$B$1:$D$1,0))="Fill","Ms Teh (bank), ","")IF(INDEX('MOA role matrix'!$B$2:$D$13,11,MATCH($B229,'MOA role matrix'!$B$1:$D$1,0))="If finance","Ms Teh (bank) (if finance), ","")IF(INDEX('MOA role matrix'!$B$2:$D$13,11,MATCH($B229,'MOA role matrix'!$B$1:$D$1,0))="Auto","Ms Teh (bank) (auto), ","")IF(INDEX('MOA role matrix'!$B$2:$D$13,12,MATCH($B229,'MOA role matrix'!$B$1:$D$1,0))="Fill","DLCM, ","")IF(INDEX('MOA role matrix'!$B$2:$D$13,12,MATCH($B229,'MOA role matrix'!$B$1:$D$1,0))="If finance","DLCM (if finance), ","")IF(INDEX('MOA role matrix'!$B$2:$D$13,12,MATCH($B229,'MOA role matrix'!$B$1:$D$1,0))="Auto","DLCM (auto), ","")))</f>
        <v/>
      </c>
      <c r="D229" s="5">
        <f>IF($A229="","",IFERROR(INDEX(FILTER('Client contacts'!$B$2:$B$500,('Client contacts'!$A$2:$A$500=$A229)*('Client contacts'!$H$2:$H$500="Y"),""),1),""))</f>
        <v/>
      </c>
      <c r="E229" s="5">
        <f>IF($A229="","",IFERROR(INDEX(FILTER('Client contacts'!$C$2:$C$500,('Client contacts'!$A$2:$A$500=$A229)*('Client contacts'!$H$2:$H$500="Y"),""),1),""))</f>
        <v/>
      </c>
      <c r="F229" s="5">
        <f>IF($A229="","",IFERROR(INDEX(FILTER('Client contacts'!$B$2:$B$500,('Client contacts'!$A$2:$A$500=$A229)*('Client contacts'!$G$2:$G$500="Y"),""),1),""))</f>
        <v/>
      </c>
      <c r="G229" s="5">
        <f>IF($A229="","",IFERROR(INDEX(FILTER('Client contacts'!$C$2:$C$500,('Client contacts'!$A$2:$A$500=$A229)*('Client contacts'!$G$2:$G$500="Y"),""),1),""))</f>
        <v/>
      </c>
      <c r="H229" s="5">
        <f>IF($A229="","",IFERROR(INDEX(FILTER('Client contacts'!$B$2:$B$500,('Client contacts'!$A$2:$A$500=$A229)*('Client contacts'!$G$2:$G$500="Y"),""),2),""))</f>
        <v/>
      </c>
      <c r="I229" s="5">
        <f>IF($A229="","",IFERROR(INDEX(FILTER('Client contacts'!$C$2:$C$500,('Client contacts'!$A$2:$A$500=$A229)*('Client contacts'!$G$2:$G$500="Y"),""),2),""))</f>
        <v/>
      </c>
      <c r="J229" s="8" t="n"/>
      <c r="K229" s="8" t="n"/>
      <c r="L229" s="8" t="n"/>
      <c r="M229" s="8" t="n"/>
      <c r="N229" s="8" t="n"/>
      <c r="O229" s="8" t="n"/>
      <c r="P229" s="8" t="n"/>
      <c r="Q229" s="8" t="n"/>
      <c r="R229" s="5">
        <f>IF($A229="","",IFERROR(INDEX(Companies!$I$2:$I$500,MATCH($A229,Companies!$A$2:$A$500,0)),""))</f>
        <v/>
      </c>
      <c r="S229" s="8" t="n"/>
      <c r="T229" s="8" t="n"/>
      <c r="U229" s="8" t="n"/>
      <c r="V229" s="8" t="n"/>
      <c r="W229" s="8" t="n"/>
    </row>
    <row r="230">
      <c r="C230" s="5">
        <f>IF($B230="","",TRIM(IF(INDEX('MOA role matrix'!$B$2:$D$13,1,MATCH($B230,'MOA role matrix'!$B$1:$D$1,0))="Fill","Project initiator, ","")IF(INDEX('MOA role matrix'!$B$2:$D$13,1,MATCH($B230,'MOA role matrix'!$B$1:$D$1,0))="If finance","Project initiator (if finance), ","")IF(INDEX('MOA role matrix'!$B$2:$D$13,1,MATCH($B230,'MOA role matrix'!$B$1:$D$1,0))="Auto","Project initiator (auto), ","")IF(INDEX('MOA role matrix'!$B$2:$D$13,2,MATCH($B230,'MOA role matrix'!$B$1:$D$1,0))="Fill","MOA signers (client), ","")IF(INDEX('MOA role matrix'!$B$2:$D$13,2,MATCH($B230,'MOA role matrix'!$B$1:$D$1,0))="If finance","MOA signers (client) (if finance), ","")IF(INDEX('MOA role matrix'!$B$2:$D$13,2,MATCH($B230,'MOA role matrix'!$B$1:$D$1,0))="Auto","MOA signers (client) (auto), ","")IF(INDEX('MOA role matrix'!$B$2:$D$13,3,MATCH($B230,'MOA role matrix'!$B$1:$D$1,0))="Fill","CFO / Head of Finance, ","")IF(INDEX('MOA role matrix'!$B$2:$D$13,3,MATCH($B230,'MOA role matrix'!$B$1:$D$1,0))="If finance","CFO / Head of Finance (if finance), ","")IF(INDEX('MOA role matrix'!$B$2:$D$13,3,MATCH($B230,'MOA role matrix'!$B$1:$D$1,0))="Auto","CFO / Head of Finance (auto), ","")IF(INDEX('MOA role matrix'!$B$2:$D$13,4,MATCH($B230,'MOA role matrix'!$B$1:$D$1,0))="Fill","CEO / COO / GM, ","")IF(INDEX('MOA role matrix'!$B$2:$D$13,4,MATCH($B230,'MOA role matrix'!$B$1:$D$1,0))="If finance","CEO / COO / GM (if finance), ","")IF(INDEX('MOA role matrix'!$B$2:$D$13,4,MATCH($B230,'MOA role matrix'!$B$1:$D$1,0))="Auto","CEO / COO / GM (auto), ","")IF(INDEX('MOA role matrix'!$B$2:$D$13,5,MATCH($B230,'MOA role matrix'!$B$1:$D$1,0))="Fill","Board member 1, ","")IF(INDEX('MOA role matrix'!$B$2:$D$13,5,MATCH($B230,'MOA role matrix'!$B$1:$D$1,0))="If finance","Board member 1 (if finance), ","")IF(INDEX('MOA role matrix'!$B$2:$D$13,5,MATCH($B230,'MOA role matrix'!$B$1:$D$1,0))="Auto","Board member 1 (auto), ","")IF(INDEX('MOA role matrix'!$B$2:$D$13,6,MATCH($B230,'MOA role matrix'!$B$1:$D$1,0))="Fill","Board member 2, ","")IF(INDEX('MOA role matrix'!$B$2:$D$13,6,MATCH($B230,'MOA role matrix'!$B$1:$D$1,0))="If finance","Board member 2 (if finance), ","")IF(INDEX('MOA role matrix'!$B$2:$D$13,6,MATCH($B230,'MOA role matrix'!$B$1:$D$1,0))="Auto","Board member 2 (auto), ","")IF(INDEX('MOA role matrix'!$B$2:$D$13,7,MATCH($B230,'MOA role matrix'!$B$1:$D$1,0))="Fill","LOA holder 1, ","")IF(INDEX('MOA role matrix'!$B$2:$D$13,7,MATCH($B230,'MOA role matrix'!$B$1:$D$1,0))="If finance","LOA holder 1 (if finance), ","")IF(INDEX('MOA role matrix'!$B$2:$D$13,7,MATCH($B230,'MOA role matrix'!$B$1:$D$1,0))="Auto","LOA holder 1 (auto), ","")IF(INDEX('MOA role matrix'!$B$2:$D$13,8,MATCH($B230,'MOA role matrix'!$B$1:$D$1,0))="Fill","LOA holder 2, ","")IF(INDEX('MOA role matrix'!$B$2:$D$13,8,MATCH($B230,'MOA role matrix'!$B$1:$D$1,0))="If finance","LOA holder 2 (if finance), ","")IF(INDEX('MOA role matrix'!$B$2:$D$13,8,MATCH($B230,'MOA role matrix'!$B$1:$D$1,0))="Auto","LOA holder 2 (auto), ","")IF(INDEX('MOA role matrix'!$B$2:$D$13,9,MATCH($B230,'MOA role matrix'!$B$1:$D$1,0))="Fill","Senior Manager CoSec, ","")IF(INDEX('MOA role matrix'!$B$2:$D$13,9,MATCH($B230,'MOA role matrix'!$B$1:$D$1,0))="If finance","Senior Manager CoSec (if finance), ","")IF(INDEX('MOA role matrix'!$B$2:$D$13,9,MATCH($B230,'MOA role matrix'!$B$1:$D$1,0))="Auto","Senior Manager CoSec (auto), ","")IF(INDEX('MOA role matrix'!$B$2:$D$13,10,MATCH($B230,'MOA role matrix'!$B$1:$D$1,0))="Fill","Division MOI managers, ","")IF(INDEX('MOA role matrix'!$B$2:$D$13,10,MATCH($B230,'MOA role matrix'!$B$1:$D$1,0))="If finance","Division MOI managers (if finance), ","")IF(INDEX('MOA role matrix'!$B$2:$D$13,10,MATCH($B230,'MOA role matrix'!$B$1:$D$1,0))="Auto","Division MOI managers (auto), ","")IF(INDEX('MOA role matrix'!$B$2:$D$13,11,MATCH($B230,'MOA role matrix'!$B$1:$D$1,0))="Fill","Ms Teh (bank), ","")IF(INDEX('MOA role matrix'!$B$2:$D$13,11,MATCH($B230,'MOA role matrix'!$B$1:$D$1,0))="If finance","Ms Teh (bank) (if finance), ","")IF(INDEX('MOA role matrix'!$B$2:$D$13,11,MATCH($B230,'MOA role matrix'!$B$1:$D$1,0))="Auto","Ms Teh (bank) (auto), ","")IF(INDEX('MOA role matrix'!$B$2:$D$13,12,MATCH($B230,'MOA role matrix'!$B$1:$D$1,0))="Fill","DLCM, ","")IF(INDEX('MOA role matrix'!$B$2:$D$13,12,MATCH($B230,'MOA role matrix'!$B$1:$D$1,0))="If finance","DLCM (if finance), ","")IF(INDEX('MOA role matrix'!$B$2:$D$13,12,MATCH($B230,'MOA role matrix'!$B$1:$D$1,0))="Auto","DLCM (auto), ","")))</f>
        <v/>
      </c>
      <c r="D230" s="5">
        <f>IF($A230="","",IFERROR(INDEX(FILTER('Client contacts'!$B$2:$B$500,('Client contacts'!$A$2:$A$500=$A230)*('Client contacts'!$H$2:$H$500="Y"),""),1),""))</f>
        <v/>
      </c>
      <c r="E230" s="5">
        <f>IF($A230="","",IFERROR(INDEX(FILTER('Client contacts'!$C$2:$C$500,('Client contacts'!$A$2:$A$500=$A230)*('Client contacts'!$H$2:$H$500="Y"),""),1),""))</f>
        <v/>
      </c>
      <c r="F230" s="5">
        <f>IF($A230="","",IFERROR(INDEX(FILTER('Client contacts'!$B$2:$B$500,('Client contacts'!$A$2:$A$500=$A230)*('Client contacts'!$G$2:$G$500="Y"),""),1),""))</f>
        <v/>
      </c>
      <c r="G230" s="5">
        <f>IF($A230="","",IFERROR(INDEX(FILTER('Client contacts'!$C$2:$C$500,('Client contacts'!$A$2:$A$500=$A230)*('Client contacts'!$G$2:$G$500="Y"),""),1),""))</f>
        <v/>
      </c>
      <c r="H230" s="5">
        <f>IF($A230="","",IFERROR(INDEX(FILTER('Client contacts'!$B$2:$B$500,('Client contacts'!$A$2:$A$500=$A230)*('Client contacts'!$G$2:$G$500="Y"),""),2),""))</f>
        <v/>
      </c>
      <c r="I230" s="5">
        <f>IF($A230="","",IFERROR(INDEX(FILTER('Client contacts'!$C$2:$C$500,('Client contacts'!$A$2:$A$500=$A230)*('Client contacts'!$G$2:$G$500="Y"),""),2),""))</f>
        <v/>
      </c>
      <c r="J230" s="8" t="n"/>
      <c r="K230" s="8" t="n"/>
      <c r="L230" s="8" t="n"/>
      <c r="M230" s="8" t="n"/>
      <c r="N230" s="8" t="n"/>
      <c r="O230" s="8" t="n"/>
      <c r="P230" s="8" t="n"/>
      <c r="Q230" s="8" t="n"/>
      <c r="R230" s="5">
        <f>IF($A230="","",IFERROR(INDEX(Companies!$I$2:$I$500,MATCH($A230,Companies!$A$2:$A$500,0)),""))</f>
        <v/>
      </c>
      <c r="S230" s="8" t="n"/>
      <c r="T230" s="8" t="n"/>
      <c r="U230" s="8" t="n"/>
      <c r="V230" s="8" t="n"/>
      <c r="W230" s="8" t="n"/>
    </row>
    <row r="231">
      <c r="C231" s="5">
        <f>IF($B231="","",TRIM(IF(INDEX('MOA role matrix'!$B$2:$D$13,1,MATCH($B231,'MOA role matrix'!$B$1:$D$1,0))="Fill","Project initiator, ","")IF(INDEX('MOA role matrix'!$B$2:$D$13,1,MATCH($B231,'MOA role matrix'!$B$1:$D$1,0))="If finance","Project initiator (if finance), ","")IF(INDEX('MOA role matrix'!$B$2:$D$13,1,MATCH($B231,'MOA role matrix'!$B$1:$D$1,0))="Auto","Project initiator (auto), ","")IF(INDEX('MOA role matrix'!$B$2:$D$13,2,MATCH($B231,'MOA role matrix'!$B$1:$D$1,0))="Fill","MOA signers (client), ","")IF(INDEX('MOA role matrix'!$B$2:$D$13,2,MATCH($B231,'MOA role matrix'!$B$1:$D$1,0))="If finance","MOA signers (client) (if finance), ","")IF(INDEX('MOA role matrix'!$B$2:$D$13,2,MATCH($B231,'MOA role matrix'!$B$1:$D$1,0))="Auto","MOA signers (client) (auto), ","")IF(INDEX('MOA role matrix'!$B$2:$D$13,3,MATCH($B231,'MOA role matrix'!$B$1:$D$1,0))="Fill","CFO / Head of Finance, ","")IF(INDEX('MOA role matrix'!$B$2:$D$13,3,MATCH($B231,'MOA role matrix'!$B$1:$D$1,0))="If finance","CFO / Head of Finance (if finance), ","")IF(INDEX('MOA role matrix'!$B$2:$D$13,3,MATCH($B231,'MOA role matrix'!$B$1:$D$1,0))="Auto","CFO / Head of Finance (auto), ","")IF(INDEX('MOA role matrix'!$B$2:$D$13,4,MATCH($B231,'MOA role matrix'!$B$1:$D$1,0))="Fill","CEO / COO / GM, ","")IF(INDEX('MOA role matrix'!$B$2:$D$13,4,MATCH($B231,'MOA role matrix'!$B$1:$D$1,0))="If finance","CEO / COO / GM (if finance), ","")IF(INDEX('MOA role matrix'!$B$2:$D$13,4,MATCH($B231,'MOA role matrix'!$B$1:$D$1,0))="Auto","CEO / COO / GM (auto), ","")IF(INDEX('MOA role matrix'!$B$2:$D$13,5,MATCH($B231,'MOA role matrix'!$B$1:$D$1,0))="Fill","Board member 1, ","")IF(INDEX('MOA role matrix'!$B$2:$D$13,5,MATCH($B231,'MOA role matrix'!$B$1:$D$1,0))="If finance","Board member 1 (if finance), ","")IF(INDEX('MOA role matrix'!$B$2:$D$13,5,MATCH($B231,'MOA role matrix'!$B$1:$D$1,0))="Auto","Board member 1 (auto), ","")IF(INDEX('MOA role matrix'!$B$2:$D$13,6,MATCH($B231,'MOA role matrix'!$B$1:$D$1,0))="Fill","Board member 2, ","")IF(INDEX('MOA role matrix'!$B$2:$D$13,6,MATCH($B231,'MOA role matrix'!$B$1:$D$1,0))="If finance","Board member 2 (if finance), ","")IF(INDEX('MOA role matrix'!$B$2:$D$13,6,MATCH($B231,'MOA role matrix'!$B$1:$D$1,0))="Auto","Board member 2 (auto), ","")IF(INDEX('MOA role matrix'!$B$2:$D$13,7,MATCH($B231,'MOA role matrix'!$B$1:$D$1,0))="Fill","LOA holder 1, ","")IF(INDEX('MOA role matrix'!$B$2:$D$13,7,MATCH($B231,'MOA role matrix'!$B$1:$D$1,0))="If finance","LOA holder 1 (if finance), ","")IF(INDEX('MOA role matrix'!$B$2:$D$13,7,MATCH($B231,'MOA role matrix'!$B$1:$D$1,0))="Auto","LOA holder 1 (auto), ","")IF(INDEX('MOA role matrix'!$B$2:$D$13,8,MATCH($B231,'MOA role matrix'!$B$1:$D$1,0))="Fill","LOA holder 2, ","")IF(INDEX('MOA role matrix'!$B$2:$D$13,8,MATCH($B231,'MOA role matrix'!$B$1:$D$1,0))="If finance","LOA holder 2 (if finance), ","")IF(INDEX('MOA role matrix'!$B$2:$D$13,8,MATCH($B231,'MOA role matrix'!$B$1:$D$1,0))="Auto","LOA holder 2 (auto), ","")IF(INDEX('MOA role matrix'!$B$2:$D$13,9,MATCH($B231,'MOA role matrix'!$B$1:$D$1,0))="Fill","Senior Manager CoSec, ","")IF(INDEX('MOA role matrix'!$B$2:$D$13,9,MATCH($B231,'MOA role matrix'!$B$1:$D$1,0))="If finance","Senior Manager CoSec (if finance), ","")IF(INDEX('MOA role matrix'!$B$2:$D$13,9,MATCH($B231,'MOA role matrix'!$B$1:$D$1,0))="Auto","Senior Manager CoSec (auto), ","")IF(INDEX('MOA role matrix'!$B$2:$D$13,10,MATCH($B231,'MOA role matrix'!$B$1:$D$1,0))="Fill","Division MOI managers, ","")IF(INDEX('MOA role matrix'!$B$2:$D$13,10,MATCH($B231,'MOA role matrix'!$B$1:$D$1,0))="If finance","Division MOI managers (if finance), ","")IF(INDEX('MOA role matrix'!$B$2:$D$13,10,MATCH($B231,'MOA role matrix'!$B$1:$D$1,0))="Auto","Division MOI managers (auto), ","")IF(INDEX('MOA role matrix'!$B$2:$D$13,11,MATCH($B231,'MOA role matrix'!$B$1:$D$1,0))="Fill","Ms Teh (bank), ","")IF(INDEX('MOA role matrix'!$B$2:$D$13,11,MATCH($B231,'MOA role matrix'!$B$1:$D$1,0))="If finance","Ms Teh (bank) (if finance), ","")IF(INDEX('MOA role matrix'!$B$2:$D$13,11,MATCH($B231,'MOA role matrix'!$B$1:$D$1,0))="Auto","Ms Teh (bank) (auto), ","")IF(INDEX('MOA role matrix'!$B$2:$D$13,12,MATCH($B231,'MOA role matrix'!$B$1:$D$1,0))="Fill","DLCM, ","")IF(INDEX('MOA role matrix'!$B$2:$D$13,12,MATCH($B231,'MOA role matrix'!$B$1:$D$1,0))="If finance","DLCM (if finance), ","")IF(INDEX('MOA role matrix'!$B$2:$D$13,12,MATCH($B231,'MOA role matrix'!$B$1:$D$1,0))="Auto","DLCM (auto), ","")))</f>
        <v/>
      </c>
      <c r="D231" s="5">
        <f>IF($A231="","",IFERROR(INDEX(FILTER('Client contacts'!$B$2:$B$500,('Client contacts'!$A$2:$A$500=$A231)*('Client contacts'!$H$2:$H$500="Y"),""),1),""))</f>
        <v/>
      </c>
      <c r="E231" s="5">
        <f>IF($A231="","",IFERROR(INDEX(FILTER('Client contacts'!$C$2:$C$500,('Client contacts'!$A$2:$A$500=$A231)*('Client contacts'!$H$2:$H$500="Y"),""),1),""))</f>
        <v/>
      </c>
      <c r="F231" s="5">
        <f>IF($A231="","",IFERROR(INDEX(FILTER('Client contacts'!$B$2:$B$500,('Client contacts'!$A$2:$A$500=$A231)*('Client contacts'!$G$2:$G$500="Y"),""),1),""))</f>
        <v/>
      </c>
      <c r="G231" s="5">
        <f>IF($A231="","",IFERROR(INDEX(FILTER('Client contacts'!$C$2:$C$500,('Client contacts'!$A$2:$A$500=$A231)*('Client contacts'!$G$2:$G$500="Y"),""),1),""))</f>
        <v/>
      </c>
      <c r="H231" s="5">
        <f>IF($A231="","",IFERROR(INDEX(FILTER('Client contacts'!$B$2:$B$500,('Client contacts'!$A$2:$A$500=$A231)*('Client contacts'!$G$2:$G$500="Y"),""),2),""))</f>
        <v/>
      </c>
      <c r="I231" s="5">
        <f>IF($A231="","",IFERROR(INDEX(FILTER('Client contacts'!$C$2:$C$500,('Client contacts'!$A$2:$A$500=$A231)*('Client contacts'!$G$2:$G$500="Y"),""),2),""))</f>
        <v/>
      </c>
      <c r="J231" s="8" t="n"/>
      <c r="K231" s="8" t="n"/>
      <c r="L231" s="8" t="n"/>
      <c r="M231" s="8" t="n"/>
      <c r="N231" s="8" t="n"/>
      <c r="O231" s="8" t="n"/>
      <c r="P231" s="8" t="n"/>
      <c r="Q231" s="8" t="n"/>
      <c r="R231" s="5">
        <f>IF($A231="","",IFERROR(INDEX(Companies!$I$2:$I$500,MATCH($A231,Companies!$A$2:$A$500,0)),""))</f>
        <v/>
      </c>
      <c r="S231" s="8" t="n"/>
      <c r="T231" s="8" t="n"/>
      <c r="U231" s="8" t="n"/>
      <c r="V231" s="8" t="n"/>
      <c r="W231" s="8" t="n"/>
    </row>
    <row r="232">
      <c r="C232" s="5">
        <f>IF($B232="","",TRIM(IF(INDEX('MOA role matrix'!$B$2:$D$13,1,MATCH($B232,'MOA role matrix'!$B$1:$D$1,0))="Fill","Project initiator, ","")IF(INDEX('MOA role matrix'!$B$2:$D$13,1,MATCH($B232,'MOA role matrix'!$B$1:$D$1,0))="If finance","Project initiator (if finance), ","")IF(INDEX('MOA role matrix'!$B$2:$D$13,1,MATCH($B232,'MOA role matrix'!$B$1:$D$1,0))="Auto","Project initiator (auto), ","")IF(INDEX('MOA role matrix'!$B$2:$D$13,2,MATCH($B232,'MOA role matrix'!$B$1:$D$1,0))="Fill","MOA signers (client), ","")IF(INDEX('MOA role matrix'!$B$2:$D$13,2,MATCH($B232,'MOA role matrix'!$B$1:$D$1,0))="If finance","MOA signers (client) (if finance), ","")IF(INDEX('MOA role matrix'!$B$2:$D$13,2,MATCH($B232,'MOA role matrix'!$B$1:$D$1,0))="Auto","MOA signers (client) (auto), ","")IF(INDEX('MOA role matrix'!$B$2:$D$13,3,MATCH($B232,'MOA role matrix'!$B$1:$D$1,0))="Fill","CFO / Head of Finance, ","")IF(INDEX('MOA role matrix'!$B$2:$D$13,3,MATCH($B232,'MOA role matrix'!$B$1:$D$1,0))="If finance","CFO / Head of Finance (if finance), ","")IF(INDEX('MOA role matrix'!$B$2:$D$13,3,MATCH($B232,'MOA role matrix'!$B$1:$D$1,0))="Auto","CFO / Head of Finance (auto), ","")IF(INDEX('MOA role matrix'!$B$2:$D$13,4,MATCH($B232,'MOA role matrix'!$B$1:$D$1,0))="Fill","CEO / COO / GM, ","")IF(INDEX('MOA role matrix'!$B$2:$D$13,4,MATCH($B232,'MOA role matrix'!$B$1:$D$1,0))="If finance","CEO / COO / GM (if finance), ","")IF(INDEX('MOA role matrix'!$B$2:$D$13,4,MATCH($B232,'MOA role matrix'!$B$1:$D$1,0))="Auto","CEO / COO / GM (auto), ","")IF(INDEX('MOA role matrix'!$B$2:$D$13,5,MATCH($B232,'MOA role matrix'!$B$1:$D$1,0))="Fill","Board member 1, ","")IF(INDEX('MOA role matrix'!$B$2:$D$13,5,MATCH($B232,'MOA role matrix'!$B$1:$D$1,0))="If finance","Board member 1 (if finance), ","")IF(INDEX('MOA role matrix'!$B$2:$D$13,5,MATCH($B232,'MOA role matrix'!$B$1:$D$1,0))="Auto","Board member 1 (auto), ","")IF(INDEX('MOA role matrix'!$B$2:$D$13,6,MATCH($B232,'MOA role matrix'!$B$1:$D$1,0))="Fill","Board member 2, ","")IF(INDEX('MOA role matrix'!$B$2:$D$13,6,MATCH($B232,'MOA role matrix'!$B$1:$D$1,0))="If finance","Board member 2 (if finance), ","")IF(INDEX('MOA role matrix'!$B$2:$D$13,6,MATCH($B232,'MOA role matrix'!$B$1:$D$1,0))="Auto","Board member 2 (auto), ","")IF(INDEX('MOA role matrix'!$B$2:$D$13,7,MATCH($B232,'MOA role matrix'!$B$1:$D$1,0))="Fill","LOA holder 1, ","")IF(INDEX('MOA role matrix'!$B$2:$D$13,7,MATCH($B232,'MOA role matrix'!$B$1:$D$1,0))="If finance","LOA holder 1 (if finance), ","")IF(INDEX('MOA role matrix'!$B$2:$D$13,7,MATCH($B232,'MOA role matrix'!$B$1:$D$1,0))="Auto","LOA holder 1 (auto), ","")IF(INDEX('MOA role matrix'!$B$2:$D$13,8,MATCH($B232,'MOA role matrix'!$B$1:$D$1,0))="Fill","LOA holder 2, ","")IF(INDEX('MOA role matrix'!$B$2:$D$13,8,MATCH($B232,'MOA role matrix'!$B$1:$D$1,0))="If finance","LOA holder 2 (if finance), ","")IF(INDEX('MOA role matrix'!$B$2:$D$13,8,MATCH($B232,'MOA role matrix'!$B$1:$D$1,0))="Auto","LOA holder 2 (auto), ","")IF(INDEX('MOA role matrix'!$B$2:$D$13,9,MATCH($B232,'MOA role matrix'!$B$1:$D$1,0))="Fill","Senior Manager CoSec, ","")IF(INDEX('MOA role matrix'!$B$2:$D$13,9,MATCH($B232,'MOA role matrix'!$B$1:$D$1,0))="If finance","Senior Manager CoSec (if finance), ","")IF(INDEX('MOA role matrix'!$B$2:$D$13,9,MATCH($B232,'MOA role matrix'!$B$1:$D$1,0))="Auto","Senior Manager CoSec (auto), ","")IF(INDEX('MOA role matrix'!$B$2:$D$13,10,MATCH($B232,'MOA role matrix'!$B$1:$D$1,0))="Fill","Division MOI managers, ","")IF(INDEX('MOA role matrix'!$B$2:$D$13,10,MATCH($B232,'MOA role matrix'!$B$1:$D$1,0))="If finance","Division MOI managers (if finance), ","")IF(INDEX('MOA role matrix'!$B$2:$D$13,10,MATCH($B232,'MOA role matrix'!$B$1:$D$1,0))="Auto","Division MOI managers (auto), ","")IF(INDEX('MOA role matrix'!$B$2:$D$13,11,MATCH($B232,'MOA role matrix'!$B$1:$D$1,0))="Fill","Ms Teh (bank), ","")IF(INDEX('MOA role matrix'!$B$2:$D$13,11,MATCH($B232,'MOA role matrix'!$B$1:$D$1,0))="If finance","Ms Teh (bank) (if finance), ","")IF(INDEX('MOA role matrix'!$B$2:$D$13,11,MATCH($B232,'MOA role matrix'!$B$1:$D$1,0))="Auto","Ms Teh (bank) (auto), ","")IF(INDEX('MOA role matrix'!$B$2:$D$13,12,MATCH($B232,'MOA role matrix'!$B$1:$D$1,0))="Fill","DLCM, ","")IF(INDEX('MOA role matrix'!$B$2:$D$13,12,MATCH($B232,'MOA role matrix'!$B$1:$D$1,0))="If finance","DLCM (if finance), ","")IF(INDEX('MOA role matrix'!$B$2:$D$13,12,MATCH($B232,'MOA role matrix'!$B$1:$D$1,0))="Auto","DLCM (auto), ","")))</f>
        <v/>
      </c>
      <c r="D232" s="5">
        <f>IF($A232="","",IFERROR(INDEX(FILTER('Client contacts'!$B$2:$B$500,('Client contacts'!$A$2:$A$500=$A232)*('Client contacts'!$H$2:$H$500="Y"),""),1),""))</f>
        <v/>
      </c>
      <c r="E232" s="5">
        <f>IF($A232="","",IFERROR(INDEX(FILTER('Client contacts'!$C$2:$C$500,('Client contacts'!$A$2:$A$500=$A232)*('Client contacts'!$H$2:$H$500="Y"),""),1),""))</f>
        <v/>
      </c>
      <c r="F232" s="5">
        <f>IF($A232="","",IFERROR(INDEX(FILTER('Client contacts'!$B$2:$B$500,('Client contacts'!$A$2:$A$500=$A232)*('Client contacts'!$G$2:$G$500="Y"),""),1),""))</f>
        <v/>
      </c>
      <c r="G232" s="5">
        <f>IF($A232="","",IFERROR(INDEX(FILTER('Client contacts'!$C$2:$C$500,('Client contacts'!$A$2:$A$500=$A232)*('Client contacts'!$G$2:$G$500="Y"),""),1),""))</f>
        <v/>
      </c>
      <c r="H232" s="5">
        <f>IF($A232="","",IFERROR(INDEX(FILTER('Client contacts'!$B$2:$B$500,('Client contacts'!$A$2:$A$500=$A232)*('Client contacts'!$G$2:$G$500="Y"),""),2),""))</f>
        <v/>
      </c>
      <c r="I232" s="5">
        <f>IF($A232="","",IFERROR(INDEX(FILTER('Client contacts'!$C$2:$C$500,('Client contacts'!$A$2:$A$500=$A232)*('Client contacts'!$G$2:$G$500="Y"),""),2),""))</f>
        <v/>
      </c>
      <c r="J232" s="8" t="n"/>
      <c r="K232" s="8" t="n"/>
      <c r="L232" s="8" t="n"/>
      <c r="M232" s="8" t="n"/>
      <c r="N232" s="8" t="n"/>
      <c r="O232" s="8" t="n"/>
      <c r="P232" s="8" t="n"/>
      <c r="Q232" s="8" t="n"/>
      <c r="R232" s="5">
        <f>IF($A232="","",IFERROR(INDEX(Companies!$I$2:$I$500,MATCH($A232,Companies!$A$2:$A$500,0)),""))</f>
        <v/>
      </c>
      <c r="S232" s="8" t="n"/>
      <c r="T232" s="8" t="n"/>
      <c r="U232" s="8" t="n"/>
      <c r="V232" s="8" t="n"/>
      <c r="W232" s="8" t="n"/>
    </row>
    <row r="233">
      <c r="C233" s="5">
        <f>IF($B233="","",TRIM(IF(INDEX('MOA role matrix'!$B$2:$D$13,1,MATCH($B233,'MOA role matrix'!$B$1:$D$1,0))="Fill","Project initiator, ","")IF(INDEX('MOA role matrix'!$B$2:$D$13,1,MATCH($B233,'MOA role matrix'!$B$1:$D$1,0))="If finance","Project initiator (if finance), ","")IF(INDEX('MOA role matrix'!$B$2:$D$13,1,MATCH($B233,'MOA role matrix'!$B$1:$D$1,0))="Auto","Project initiator (auto), ","")IF(INDEX('MOA role matrix'!$B$2:$D$13,2,MATCH($B233,'MOA role matrix'!$B$1:$D$1,0))="Fill","MOA signers (client), ","")IF(INDEX('MOA role matrix'!$B$2:$D$13,2,MATCH($B233,'MOA role matrix'!$B$1:$D$1,0))="If finance","MOA signers (client) (if finance), ","")IF(INDEX('MOA role matrix'!$B$2:$D$13,2,MATCH($B233,'MOA role matrix'!$B$1:$D$1,0))="Auto","MOA signers (client) (auto), ","")IF(INDEX('MOA role matrix'!$B$2:$D$13,3,MATCH($B233,'MOA role matrix'!$B$1:$D$1,0))="Fill","CFO / Head of Finance, ","")IF(INDEX('MOA role matrix'!$B$2:$D$13,3,MATCH($B233,'MOA role matrix'!$B$1:$D$1,0))="If finance","CFO / Head of Finance (if finance), ","")IF(INDEX('MOA role matrix'!$B$2:$D$13,3,MATCH($B233,'MOA role matrix'!$B$1:$D$1,0))="Auto","CFO / Head of Finance (auto), ","")IF(INDEX('MOA role matrix'!$B$2:$D$13,4,MATCH($B233,'MOA role matrix'!$B$1:$D$1,0))="Fill","CEO / COO / GM, ","")IF(INDEX('MOA role matrix'!$B$2:$D$13,4,MATCH($B233,'MOA role matrix'!$B$1:$D$1,0))="If finance","CEO / COO / GM (if finance), ","")IF(INDEX('MOA role matrix'!$B$2:$D$13,4,MATCH($B233,'MOA role matrix'!$B$1:$D$1,0))="Auto","CEO / COO / GM (auto), ","")IF(INDEX('MOA role matrix'!$B$2:$D$13,5,MATCH($B233,'MOA role matrix'!$B$1:$D$1,0))="Fill","Board member 1, ","")IF(INDEX('MOA role matrix'!$B$2:$D$13,5,MATCH($B233,'MOA role matrix'!$B$1:$D$1,0))="If finance","Board member 1 (if finance), ","")IF(INDEX('MOA role matrix'!$B$2:$D$13,5,MATCH($B233,'MOA role matrix'!$B$1:$D$1,0))="Auto","Board member 1 (auto), ","")IF(INDEX('MOA role matrix'!$B$2:$D$13,6,MATCH($B233,'MOA role matrix'!$B$1:$D$1,0))="Fill","Board member 2, ","")IF(INDEX('MOA role matrix'!$B$2:$D$13,6,MATCH($B233,'MOA role matrix'!$B$1:$D$1,0))="If finance","Board member 2 (if finance), ","")IF(INDEX('MOA role matrix'!$B$2:$D$13,6,MATCH($B233,'MOA role matrix'!$B$1:$D$1,0))="Auto","Board member 2 (auto), ","")IF(INDEX('MOA role matrix'!$B$2:$D$13,7,MATCH($B233,'MOA role matrix'!$B$1:$D$1,0))="Fill","LOA holder 1, ","")IF(INDEX('MOA role matrix'!$B$2:$D$13,7,MATCH($B233,'MOA role matrix'!$B$1:$D$1,0))="If finance","LOA holder 1 (if finance), ","")IF(INDEX('MOA role matrix'!$B$2:$D$13,7,MATCH($B233,'MOA role matrix'!$B$1:$D$1,0))="Auto","LOA holder 1 (auto), ","")IF(INDEX('MOA role matrix'!$B$2:$D$13,8,MATCH($B233,'MOA role matrix'!$B$1:$D$1,0))="Fill","LOA holder 2, ","")IF(INDEX('MOA role matrix'!$B$2:$D$13,8,MATCH($B233,'MOA role matrix'!$B$1:$D$1,0))="If finance","LOA holder 2 (if finance), ","")IF(INDEX('MOA role matrix'!$B$2:$D$13,8,MATCH($B233,'MOA role matrix'!$B$1:$D$1,0))="Auto","LOA holder 2 (auto), ","")IF(INDEX('MOA role matrix'!$B$2:$D$13,9,MATCH($B233,'MOA role matrix'!$B$1:$D$1,0))="Fill","Senior Manager CoSec, ","")IF(INDEX('MOA role matrix'!$B$2:$D$13,9,MATCH($B233,'MOA role matrix'!$B$1:$D$1,0))="If finance","Senior Manager CoSec (if finance), ","")IF(INDEX('MOA role matrix'!$B$2:$D$13,9,MATCH($B233,'MOA role matrix'!$B$1:$D$1,0))="Auto","Senior Manager CoSec (auto), ","")IF(INDEX('MOA role matrix'!$B$2:$D$13,10,MATCH($B233,'MOA role matrix'!$B$1:$D$1,0))="Fill","Division MOI managers, ","")IF(INDEX('MOA role matrix'!$B$2:$D$13,10,MATCH($B233,'MOA role matrix'!$B$1:$D$1,0))="If finance","Division MOI managers (if finance), ","")IF(INDEX('MOA role matrix'!$B$2:$D$13,10,MATCH($B233,'MOA role matrix'!$B$1:$D$1,0))="Auto","Division MOI managers (auto), ","")IF(INDEX('MOA role matrix'!$B$2:$D$13,11,MATCH($B233,'MOA role matrix'!$B$1:$D$1,0))="Fill","Ms Teh (bank), ","")IF(INDEX('MOA role matrix'!$B$2:$D$13,11,MATCH($B233,'MOA role matrix'!$B$1:$D$1,0))="If finance","Ms Teh (bank) (if finance), ","")IF(INDEX('MOA role matrix'!$B$2:$D$13,11,MATCH($B233,'MOA role matrix'!$B$1:$D$1,0))="Auto","Ms Teh (bank) (auto), ","")IF(INDEX('MOA role matrix'!$B$2:$D$13,12,MATCH($B233,'MOA role matrix'!$B$1:$D$1,0))="Fill","DLCM, ","")IF(INDEX('MOA role matrix'!$B$2:$D$13,12,MATCH($B233,'MOA role matrix'!$B$1:$D$1,0))="If finance","DLCM (if finance), ","")IF(INDEX('MOA role matrix'!$B$2:$D$13,12,MATCH($B233,'MOA role matrix'!$B$1:$D$1,0))="Auto","DLCM (auto), ","")))</f>
        <v/>
      </c>
      <c r="D233" s="5">
        <f>IF($A233="","",IFERROR(INDEX(FILTER('Client contacts'!$B$2:$B$500,('Client contacts'!$A$2:$A$500=$A233)*('Client contacts'!$H$2:$H$500="Y"),""),1),""))</f>
        <v/>
      </c>
      <c r="E233" s="5">
        <f>IF($A233="","",IFERROR(INDEX(FILTER('Client contacts'!$C$2:$C$500,('Client contacts'!$A$2:$A$500=$A233)*('Client contacts'!$H$2:$H$500="Y"),""),1),""))</f>
        <v/>
      </c>
      <c r="F233" s="5">
        <f>IF($A233="","",IFERROR(INDEX(FILTER('Client contacts'!$B$2:$B$500,('Client contacts'!$A$2:$A$500=$A233)*('Client contacts'!$G$2:$G$500="Y"),""),1),""))</f>
        <v/>
      </c>
      <c r="G233" s="5">
        <f>IF($A233="","",IFERROR(INDEX(FILTER('Client contacts'!$C$2:$C$500,('Client contacts'!$A$2:$A$500=$A233)*('Client contacts'!$G$2:$G$500="Y"),""),1),""))</f>
        <v/>
      </c>
      <c r="H233" s="5">
        <f>IF($A233="","",IFERROR(INDEX(FILTER('Client contacts'!$B$2:$B$500,('Client contacts'!$A$2:$A$500=$A233)*('Client contacts'!$G$2:$G$500="Y"),""),2),""))</f>
        <v/>
      </c>
      <c r="I233" s="5">
        <f>IF($A233="","",IFERROR(INDEX(FILTER('Client contacts'!$C$2:$C$500,('Client contacts'!$A$2:$A$500=$A233)*('Client contacts'!$G$2:$G$500="Y"),""),2),""))</f>
        <v/>
      </c>
      <c r="J233" s="8" t="n"/>
      <c r="K233" s="8" t="n"/>
      <c r="L233" s="8" t="n"/>
      <c r="M233" s="8" t="n"/>
      <c r="N233" s="8" t="n"/>
      <c r="O233" s="8" t="n"/>
      <c r="P233" s="8" t="n"/>
      <c r="Q233" s="8" t="n"/>
      <c r="R233" s="5">
        <f>IF($A233="","",IFERROR(INDEX(Companies!$I$2:$I$500,MATCH($A233,Companies!$A$2:$A$500,0)),""))</f>
        <v/>
      </c>
      <c r="S233" s="8" t="n"/>
      <c r="T233" s="8" t="n"/>
      <c r="U233" s="8" t="n"/>
      <c r="V233" s="8" t="n"/>
      <c r="W233" s="8" t="n"/>
    </row>
    <row r="234">
      <c r="C234" s="5">
        <f>IF($B234="","",TRIM(IF(INDEX('MOA role matrix'!$B$2:$D$13,1,MATCH($B234,'MOA role matrix'!$B$1:$D$1,0))="Fill","Project initiator, ","")IF(INDEX('MOA role matrix'!$B$2:$D$13,1,MATCH($B234,'MOA role matrix'!$B$1:$D$1,0))="If finance","Project initiator (if finance), ","")IF(INDEX('MOA role matrix'!$B$2:$D$13,1,MATCH($B234,'MOA role matrix'!$B$1:$D$1,0))="Auto","Project initiator (auto), ","")IF(INDEX('MOA role matrix'!$B$2:$D$13,2,MATCH($B234,'MOA role matrix'!$B$1:$D$1,0))="Fill","MOA signers (client), ","")IF(INDEX('MOA role matrix'!$B$2:$D$13,2,MATCH($B234,'MOA role matrix'!$B$1:$D$1,0))="If finance","MOA signers (client) (if finance), ","")IF(INDEX('MOA role matrix'!$B$2:$D$13,2,MATCH($B234,'MOA role matrix'!$B$1:$D$1,0))="Auto","MOA signers (client) (auto), ","")IF(INDEX('MOA role matrix'!$B$2:$D$13,3,MATCH($B234,'MOA role matrix'!$B$1:$D$1,0))="Fill","CFO / Head of Finance, ","")IF(INDEX('MOA role matrix'!$B$2:$D$13,3,MATCH($B234,'MOA role matrix'!$B$1:$D$1,0))="If finance","CFO / Head of Finance (if finance), ","")IF(INDEX('MOA role matrix'!$B$2:$D$13,3,MATCH($B234,'MOA role matrix'!$B$1:$D$1,0))="Auto","CFO / Head of Finance (auto), ","")IF(INDEX('MOA role matrix'!$B$2:$D$13,4,MATCH($B234,'MOA role matrix'!$B$1:$D$1,0))="Fill","CEO / COO / GM, ","")IF(INDEX('MOA role matrix'!$B$2:$D$13,4,MATCH($B234,'MOA role matrix'!$B$1:$D$1,0))="If finance","CEO / COO / GM (if finance), ","")IF(INDEX('MOA role matrix'!$B$2:$D$13,4,MATCH($B234,'MOA role matrix'!$B$1:$D$1,0))="Auto","CEO / COO / GM (auto), ","")IF(INDEX('MOA role matrix'!$B$2:$D$13,5,MATCH($B234,'MOA role matrix'!$B$1:$D$1,0))="Fill","Board member 1, ","")IF(INDEX('MOA role matrix'!$B$2:$D$13,5,MATCH($B234,'MOA role matrix'!$B$1:$D$1,0))="If finance","Board member 1 (if finance), ","")IF(INDEX('MOA role matrix'!$B$2:$D$13,5,MATCH($B234,'MOA role matrix'!$B$1:$D$1,0))="Auto","Board member 1 (auto), ","")IF(INDEX('MOA role matrix'!$B$2:$D$13,6,MATCH($B234,'MOA role matrix'!$B$1:$D$1,0))="Fill","Board member 2, ","")IF(INDEX('MOA role matrix'!$B$2:$D$13,6,MATCH($B234,'MOA role matrix'!$B$1:$D$1,0))="If finance","Board member 2 (if finance), ","")IF(INDEX('MOA role matrix'!$B$2:$D$13,6,MATCH($B234,'MOA role matrix'!$B$1:$D$1,0))="Auto","Board member 2 (auto), ","")IF(INDEX('MOA role matrix'!$B$2:$D$13,7,MATCH($B234,'MOA role matrix'!$B$1:$D$1,0))="Fill","LOA holder 1, ","")IF(INDEX('MOA role matrix'!$B$2:$D$13,7,MATCH($B234,'MOA role matrix'!$B$1:$D$1,0))="If finance","LOA holder 1 (if finance), ","")IF(INDEX('MOA role matrix'!$B$2:$D$13,7,MATCH($B234,'MOA role matrix'!$B$1:$D$1,0))="Auto","LOA holder 1 (auto), ","")IF(INDEX('MOA role matrix'!$B$2:$D$13,8,MATCH($B234,'MOA role matrix'!$B$1:$D$1,0))="Fill","LOA holder 2, ","")IF(INDEX('MOA role matrix'!$B$2:$D$13,8,MATCH($B234,'MOA role matrix'!$B$1:$D$1,0))="If finance","LOA holder 2 (if finance), ","")IF(INDEX('MOA role matrix'!$B$2:$D$13,8,MATCH($B234,'MOA role matrix'!$B$1:$D$1,0))="Auto","LOA holder 2 (auto), ","")IF(INDEX('MOA role matrix'!$B$2:$D$13,9,MATCH($B234,'MOA role matrix'!$B$1:$D$1,0))="Fill","Senior Manager CoSec, ","")IF(INDEX('MOA role matrix'!$B$2:$D$13,9,MATCH($B234,'MOA role matrix'!$B$1:$D$1,0))="If finance","Senior Manager CoSec (if finance), ","")IF(INDEX('MOA role matrix'!$B$2:$D$13,9,MATCH($B234,'MOA role matrix'!$B$1:$D$1,0))="Auto","Senior Manager CoSec (auto), ","")IF(INDEX('MOA role matrix'!$B$2:$D$13,10,MATCH($B234,'MOA role matrix'!$B$1:$D$1,0))="Fill","Division MOI managers, ","")IF(INDEX('MOA role matrix'!$B$2:$D$13,10,MATCH($B234,'MOA role matrix'!$B$1:$D$1,0))="If finance","Division MOI managers (if finance), ","")IF(INDEX('MOA role matrix'!$B$2:$D$13,10,MATCH($B234,'MOA role matrix'!$B$1:$D$1,0))="Auto","Division MOI managers (auto), ","")IF(INDEX('MOA role matrix'!$B$2:$D$13,11,MATCH($B234,'MOA role matrix'!$B$1:$D$1,0))="Fill","Ms Teh (bank), ","")IF(INDEX('MOA role matrix'!$B$2:$D$13,11,MATCH($B234,'MOA role matrix'!$B$1:$D$1,0))="If finance","Ms Teh (bank) (if finance), ","")IF(INDEX('MOA role matrix'!$B$2:$D$13,11,MATCH($B234,'MOA role matrix'!$B$1:$D$1,0))="Auto","Ms Teh (bank) (auto), ","")IF(INDEX('MOA role matrix'!$B$2:$D$13,12,MATCH($B234,'MOA role matrix'!$B$1:$D$1,0))="Fill","DLCM, ","")IF(INDEX('MOA role matrix'!$B$2:$D$13,12,MATCH($B234,'MOA role matrix'!$B$1:$D$1,0))="If finance","DLCM (if finance), ","")IF(INDEX('MOA role matrix'!$B$2:$D$13,12,MATCH($B234,'MOA role matrix'!$B$1:$D$1,0))="Auto","DLCM (auto), ","")))</f>
        <v/>
      </c>
      <c r="D234" s="5">
        <f>IF($A234="","",IFERROR(INDEX(FILTER('Client contacts'!$B$2:$B$500,('Client contacts'!$A$2:$A$500=$A234)*('Client contacts'!$H$2:$H$500="Y"),""),1),""))</f>
        <v/>
      </c>
      <c r="E234" s="5">
        <f>IF($A234="","",IFERROR(INDEX(FILTER('Client contacts'!$C$2:$C$500,('Client contacts'!$A$2:$A$500=$A234)*('Client contacts'!$H$2:$H$500="Y"),""),1),""))</f>
        <v/>
      </c>
      <c r="F234" s="5">
        <f>IF($A234="","",IFERROR(INDEX(FILTER('Client contacts'!$B$2:$B$500,('Client contacts'!$A$2:$A$500=$A234)*('Client contacts'!$G$2:$G$500="Y"),""),1),""))</f>
        <v/>
      </c>
      <c r="G234" s="5">
        <f>IF($A234="","",IFERROR(INDEX(FILTER('Client contacts'!$C$2:$C$500,('Client contacts'!$A$2:$A$500=$A234)*('Client contacts'!$G$2:$G$500="Y"),""),1),""))</f>
        <v/>
      </c>
      <c r="H234" s="5">
        <f>IF($A234="","",IFERROR(INDEX(FILTER('Client contacts'!$B$2:$B$500,('Client contacts'!$A$2:$A$500=$A234)*('Client contacts'!$G$2:$G$500="Y"),""),2),""))</f>
        <v/>
      </c>
      <c r="I234" s="5">
        <f>IF($A234="","",IFERROR(INDEX(FILTER('Client contacts'!$C$2:$C$500,('Client contacts'!$A$2:$A$500=$A234)*('Client contacts'!$G$2:$G$500="Y"),""),2),""))</f>
        <v/>
      </c>
      <c r="J234" s="8" t="n"/>
      <c r="K234" s="8" t="n"/>
      <c r="L234" s="8" t="n"/>
      <c r="M234" s="8" t="n"/>
      <c r="N234" s="8" t="n"/>
      <c r="O234" s="8" t="n"/>
      <c r="P234" s="8" t="n"/>
      <c r="Q234" s="8" t="n"/>
      <c r="R234" s="5">
        <f>IF($A234="","",IFERROR(INDEX(Companies!$I$2:$I$500,MATCH($A234,Companies!$A$2:$A$500,0)),""))</f>
        <v/>
      </c>
      <c r="S234" s="8" t="n"/>
      <c r="T234" s="8" t="n"/>
      <c r="U234" s="8" t="n"/>
      <c r="V234" s="8" t="n"/>
      <c r="W234" s="8" t="n"/>
    </row>
    <row r="235">
      <c r="C235" s="5">
        <f>IF($B235="","",TRIM(IF(INDEX('MOA role matrix'!$B$2:$D$13,1,MATCH($B235,'MOA role matrix'!$B$1:$D$1,0))="Fill","Project initiator, ","")IF(INDEX('MOA role matrix'!$B$2:$D$13,1,MATCH($B235,'MOA role matrix'!$B$1:$D$1,0))="If finance","Project initiator (if finance), ","")IF(INDEX('MOA role matrix'!$B$2:$D$13,1,MATCH($B235,'MOA role matrix'!$B$1:$D$1,0))="Auto","Project initiator (auto), ","")IF(INDEX('MOA role matrix'!$B$2:$D$13,2,MATCH($B235,'MOA role matrix'!$B$1:$D$1,0))="Fill","MOA signers (client), ","")IF(INDEX('MOA role matrix'!$B$2:$D$13,2,MATCH($B235,'MOA role matrix'!$B$1:$D$1,0))="If finance","MOA signers (client) (if finance), ","")IF(INDEX('MOA role matrix'!$B$2:$D$13,2,MATCH($B235,'MOA role matrix'!$B$1:$D$1,0))="Auto","MOA signers (client) (auto), ","")IF(INDEX('MOA role matrix'!$B$2:$D$13,3,MATCH($B235,'MOA role matrix'!$B$1:$D$1,0))="Fill","CFO / Head of Finance, ","")IF(INDEX('MOA role matrix'!$B$2:$D$13,3,MATCH($B235,'MOA role matrix'!$B$1:$D$1,0))="If finance","CFO / Head of Finance (if finance), ","")IF(INDEX('MOA role matrix'!$B$2:$D$13,3,MATCH($B235,'MOA role matrix'!$B$1:$D$1,0))="Auto","CFO / Head of Finance (auto), ","")IF(INDEX('MOA role matrix'!$B$2:$D$13,4,MATCH($B235,'MOA role matrix'!$B$1:$D$1,0))="Fill","CEO / COO / GM, ","")IF(INDEX('MOA role matrix'!$B$2:$D$13,4,MATCH($B235,'MOA role matrix'!$B$1:$D$1,0))="If finance","CEO / COO / GM (if finance), ","")IF(INDEX('MOA role matrix'!$B$2:$D$13,4,MATCH($B235,'MOA role matrix'!$B$1:$D$1,0))="Auto","CEO / COO / GM (auto), ","")IF(INDEX('MOA role matrix'!$B$2:$D$13,5,MATCH($B235,'MOA role matrix'!$B$1:$D$1,0))="Fill","Board member 1, ","")IF(INDEX('MOA role matrix'!$B$2:$D$13,5,MATCH($B235,'MOA role matrix'!$B$1:$D$1,0))="If finance","Board member 1 (if finance), ","")IF(INDEX('MOA role matrix'!$B$2:$D$13,5,MATCH($B235,'MOA role matrix'!$B$1:$D$1,0))="Auto","Board member 1 (auto), ","")IF(INDEX('MOA role matrix'!$B$2:$D$13,6,MATCH($B235,'MOA role matrix'!$B$1:$D$1,0))="Fill","Board member 2, ","")IF(INDEX('MOA role matrix'!$B$2:$D$13,6,MATCH($B235,'MOA role matrix'!$B$1:$D$1,0))="If finance","Board member 2 (if finance), ","")IF(INDEX('MOA role matrix'!$B$2:$D$13,6,MATCH($B235,'MOA role matrix'!$B$1:$D$1,0))="Auto","Board member 2 (auto), ","")IF(INDEX('MOA role matrix'!$B$2:$D$13,7,MATCH($B235,'MOA role matrix'!$B$1:$D$1,0))="Fill","LOA holder 1, ","")IF(INDEX('MOA role matrix'!$B$2:$D$13,7,MATCH($B235,'MOA role matrix'!$B$1:$D$1,0))="If finance","LOA holder 1 (if finance), ","")IF(INDEX('MOA role matrix'!$B$2:$D$13,7,MATCH($B235,'MOA role matrix'!$B$1:$D$1,0))="Auto","LOA holder 1 (auto), ","")IF(INDEX('MOA role matrix'!$B$2:$D$13,8,MATCH($B235,'MOA role matrix'!$B$1:$D$1,0))="Fill","LOA holder 2, ","")IF(INDEX('MOA role matrix'!$B$2:$D$13,8,MATCH($B235,'MOA role matrix'!$B$1:$D$1,0))="If finance","LOA holder 2 (if finance), ","")IF(INDEX('MOA role matrix'!$B$2:$D$13,8,MATCH($B235,'MOA role matrix'!$B$1:$D$1,0))="Auto","LOA holder 2 (auto), ","")IF(INDEX('MOA role matrix'!$B$2:$D$13,9,MATCH($B235,'MOA role matrix'!$B$1:$D$1,0))="Fill","Senior Manager CoSec, ","")IF(INDEX('MOA role matrix'!$B$2:$D$13,9,MATCH($B235,'MOA role matrix'!$B$1:$D$1,0))="If finance","Senior Manager CoSec (if finance), ","")IF(INDEX('MOA role matrix'!$B$2:$D$13,9,MATCH($B235,'MOA role matrix'!$B$1:$D$1,0))="Auto","Senior Manager CoSec (auto), ","")IF(INDEX('MOA role matrix'!$B$2:$D$13,10,MATCH($B235,'MOA role matrix'!$B$1:$D$1,0))="Fill","Division MOI managers, ","")IF(INDEX('MOA role matrix'!$B$2:$D$13,10,MATCH($B235,'MOA role matrix'!$B$1:$D$1,0))="If finance","Division MOI managers (if finance), ","")IF(INDEX('MOA role matrix'!$B$2:$D$13,10,MATCH($B235,'MOA role matrix'!$B$1:$D$1,0))="Auto","Division MOI managers (auto), ","")IF(INDEX('MOA role matrix'!$B$2:$D$13,11,MATCH($B235,'MOA role matrix'!$B$1:$D$1,0))="Fill","Ms Teh (bank), ","")IF(INDEX('MOA role matrix'!$B$2:$D$13,11,MATCH($B235,'MOA role matrix'!$B$1:$D$1,0))="If finance","Ms Teh (bank) (if finance), ","")IF(INDEX('MOA role matrix'!$B$2:$D$13,11,MATCH($B235,'MOA role matrix'!$B$1:$D$1,0))="Auto","Ms Teh (bank) (auto), ","")IF(INDEX('MOA role matrix'!$B$2:$D$13,12,MATCH($B235,'MOA role matrix'!$B$1:$D$1,0))="Fill","DLCM, ","")IF(INDEX('MOA role matrix'!$B$2:$D$13,12,MATCH($B235,'MOA role matrix'!$B$1:$D$1,0))="If finance","DLCM (if finance), ","")IF(INDEX('MOA role matrix'!$B$2:$D$13,12,MATCH($B235,'MOA role matrix'!$B$1:$D$1,0))="Auto","DLCM (auto), ","")))</f>
        <v/>
      </c>
      <c r="D235" s="5">
        <f>IF($A235="","",IFERROR(INDEX(FILTER('Client contacts'!$B$2:$B$500,('Client contacts'!$A$2:$A$500=$A235)*('Client contacts'!$H$2:$H$500="Y"),""),1),""))</f>
        <v/>
      </c>
      <c r="E235" s="5">
        <f>IF($A235="","",IFERROR(INDEX(FILTER('Client contacts'!$C$2:$C$500,('Client contacts'!$A$2:$A$500=$A235)*('Client contacts'!$H$2:$H$500="Y"),""),1),""))</f>
        <v/>
      </c>
      <c r="F235" s="5">
        <f>IF($A235="","",IFERROR(INDEX(FILTER('Client contacts'!$B$2:$B$500,('Client contacts'!$A$2:$A$500=$A235)*('Client contacts'!$G$2:$G$500="Y"),""),1),""))</f>
        <v/>
      </c>
      <c r="G235" s="5">
        <f>IF($A235="","",IFERROR(INDEX(FILTER('Client contacts'!$C$2:$C$500,('Client contacts'!$A$2:$A$500=$A235)*('Client contacts'!$G$2:$G$500="Y"),""),1),""))</f>
        <v/>
      </c>
      <c r="H235" s="5">
        <f>IF($A235="","",IFERROR(INDEX(FILTER('Client contacts'!$B$2:$B$500,('Client contacts'!$A$2:$A$500=$A235)*('Client contacts'!$G$2:$G$500="Y"),""),2),""))</f>
        <v/>
      </c>
      <c r="I235" s="5">
        <f>IF($A235="","",IFERROR(INDEX(FILTER('Client contacts'!$C$2:$C$500,('Client contacts'!$A$2:$A$500=$A235)*('Client contacts'!$G$2:$G$500="Y"),""),2),""))</f>
        <v/>
      </c>
      <c r="J235" s="8" t="n"/>
      <c r="K235" s="8" t="n"/>
      <c r="L235" s="8" t="n"/>
      <c r="M235" s="8" t="n"/>
      <c r="N235" s="8" t="n"/>
      <c r="O235" s="8" t="n"/>
      <c r="P235" s="8" t="n"/>
      <c r="Q235" s="8" t="n"/>
      <c r="R235" s="5">
        <f>IF($A235="","",IFERROR(INDEX(Companies!$I$2:$I$500,MATCH($A235,Companies!$A$2:$A$500,0)),""))</f>
        <v/>
      </c>
      <c r="S235" s="8" t="n"/>
      <c r="T235" s="8" t="n"/>
      <c r="U235" s="8" t="n"/>
      <c r="V235" s="8" t="n"/>
      <c r="W235" s="8" t="n"/>
    </row>
    <row r="236">
      <c r="C236" s="5">
        <f>IF($B236="","",TRIM(IF(INDEX('MOA role matrix'!$B$2:$D$13,1,MATCH($B236,'MOA role matrix'!$B$1:$D$1,0))="Fill","Project initiator, ","")IF(INDEX('MOA role matrix'!$B$2:$D$13,1,MATCH($B236,'MOA role matrix'!$B$1:$D$1,0))="If finance","Project initiator (if finance), ","")IF(INDEX('MOA role matrix'!$B$2:$D$13,1,MATCH($B236,'MOA role matrix'!$B$1:$D$1,0))="Auto","Project initiator (auto), ","")IF(INDEX('MOA role matrix'!$B$2:$D$13,2,MATCH($B236,'MOA role matrix'!$B$1:$D$1,0))="Fill","MOA signers (client), ","")IF(INDEX('MOA role matrix'!$B$2:$D$13,2,MATCH($B236,'MOA role matrix'!$B$1:$D$1,0))="If finance","MOA signers (client) (if finance), ","")IF(INDEX('MOA role matrix'!$B$2:$D$13,2,MATCH($B236,'MOA role matrix'!$B$1:$D$1,0))="Auto","MOA signers (client) (auto), ","")IF(INDEX('MOA role matrix'!$B$2:$D$13,3,MATCH($B236,'MOA role matrix'!$B$1:$D$1,0))="Fill","CFO / Head of Finance, ","")IF(INDEX('MOA role matrix'!$B$2:$D$13,3,MATCH($B236,'MOA role matrix'!$B$1:$D$1,0))="If finance","CFO / Head of Finance (if finance), ","")IF(INDEX('MOA role matrix'!$B$2:$D$13,3,MATCH($B236,'MOA role matrix'!$B$1:$D$1,0))="Auto","CFO / Head of Finance (auto), ","")IF(INDEX('MOA role matrix'!$B$2:$D$13,4,MATCH($B236,'MOA role matrix'!$B$1:$D$1,0))="Fill","CEO / COO / GM, ","")IF(INDEX('MOA role matrix'!$B$2:$D$13,4,MATCH($B236,'MOA role matrix'!$B$1:$D$1,0))="If finance","CEO / COO / GM (if finance), ","")IF(INDEX('MOA role matrix'!$B$2:$D$13,4,MATCH($B236,'MOA role matrix'!$B$1:$D$1,0))="Auto","CEO / COO / GM (auto), ","")IF(INDEX('MOA role matrix'!$B$2:$D$13,5,MATCH($B236,'MOA role matrix'!$B$1:$D$1,0))="Fill","Board member 1, ","")IF(INDEX('MOA role matrix'!$B$2:$D$13,5,MATCH($B236,'MOA role matrix'!$B$1:$D$1,0))="If finance","Board member 1 (if finance), ","")IF(INDEX('MOA role matrix'!$B$2:$D$13,5,MATCH($B236,'MOA role matrix'!$B$1:$D$1,0))="Auto","Board member 1 (auto), ","")IF(INDEX('MOA role matrix'!$B$2:$D$13,6,MATCH($B236,'MOA role matrix'!$B$1:$D$1,0))="Fill","Board member 2, ","")IF(INDEX('MOA role matrix'!$B$2:$D$13,6,MATCH($B236,'MOA role matrix'!$B$1:$D$1,0))="If finance","Board member 2 (if finance), ","")IF(INDEX('MOA role matrix'!$B$2:$D$13,6,MATCH($B236,'MOA role matrix'!$B$1:$D$1,0))="Auto","Board member 2 (auto), ","")IF(INDEX('MOA role matrix'!$B$2:$D$13,7,MATCH($B236,'MOA role matrix'!$B$1:$D$1,0))="Fill","LOA holder 1, ","")IF(INDEX('MOA role matrix'!$B$2:$D$13,7,MATCH($B236,'MOA role matrix'!$B$1:$D$1,0))="If finance","LOA holder 1 (if finance), ","")IF(INDEX('MOA role matrix'!$B$2:$D$13,7,MATCH($B236,'MOA role matrix'!$B$1:$D$1,0))="Auto","LOA holder 1 (auto), ","")IF(INDEX('MOA role matrix'!$B$2:$D$13,8,MATCH($B236,'MOA role matrix'!$B$1:$D$1,0))="Fill","LOA holder 2, ","")IF(INDEX('MOA role matrix'!$B$2:$D$13,8,MATCH($B236,'MOA role matrix'!$B$1:$D$1,0))="If finance","LOA holder 2 (if finance), ","")IF(INDEX('MOA role matrix'!$B$2:$D$13,8,MATCH($B236,'MOA role matrix'!$B$1:$D$1,0))="Auto","LOA holder 2 (auto), ","")IF(INDEX('MOA role matrix'!$B$2:$D$13,9,MATCH($B236,'MOA role matrix'!$B$1:$D$1,0))="Fill","Senior Manager CoSec, ","")IF(INDEX('MOA role matrix'!$B$2:$D$13,9,MATCH($B236,'MOA role matrix'!$B$1:$D$1,0))="If finance","Senior Manager CoSec (if finance), ","")IF(INDEX('MOA role matrix'!$B$2:$D$13,9,MATCH($B236,'MOA role matrix'!$B$1:$D$1,0))="Auto","Senior Manager CoSec (auto), ","")IF(INDEX('MOA role matrix'!$B$2:$D$13,10,MATCH($B236,'MOA role matrix'!$B$1:$D$1,0))="Fill","Division MOI managers, ","")IF(INDEX('MOA role matrix'!$B$2:$D$13,10,MATCH($B236,'MOA role matrix'!$B$1:$D$1,0))="If finance","Division MOI managers (if finance), ","")IF(INDEX('MOA role matrix'!$B$2:$D$13,10,MATCH($B236,'MOA role matrix'!$B$1:$D$1,0))="Auto","Division MOI managers (auto), ","")IF(INDEX('MOA role matrix'!$B$2:$D$13,11,MATCH($B236,'MOA role matrix'!$B$1:$D$1,0))="Fill","Ms Teh (bank), ","")IF(INDEX('MOA role matrix'!$B$2:$D$13,11,MATCH($B236,'MOA role matrix'!$B$1:$D$1,0))="If finance","Ms Teh (bank) (if finance), ","")IF(INDEX('MOA role matrix'!$B$2:$D$13,11,MATCH($B236,'MOA role matrix'!$B$1:$D$1,0))="Auto","Ms Teh (bank) (auto), ","")IF(INDEX('MOA role matrix'!$B$2:$D$13,12,MATCH($B236,'MOA role matrix'!$B$1:$D$1,0))="Fill","DLCM, ","")IF(INDEX('MOA role matrix'!$B$2:$D$13,12,MATCH($B236,'MOA role matrix'!$B$1:$D$1,0))="If finance","DLCM (if finance), ","")IF(INDEX('MOA role matrix'!$B$2:$D$13,12,MATCH($B236,'MOA role matrix'!$B$1:$D$1,0))="Auto","DLCM (auto), ","")))</f>
        <v/>
      </c>
      <c r="D236" s="5">
        <f>IF($A236="","",IFERROR(INDEX(FILTER('Client contacts'!$B$2:$B$500,('Client contacts'!$A$2:$A$500=$A236)*('Client contacts'!$H$2:$H$500="Y"),""),1),""))</f>
        <v/>
      </c>
      <c r="E236" s="5">
        <f>IF($A236="","",IFERROR(INDEX(FILTER('Client contacts'!$C$2:$C$500,('Client contacts'!$A$2:$A$500=$A236)*('Client contacts'!$H$2:$H$500="Y"),""),1),""))</f>
        <v/>
      </c>
      <c r="F236" s="5">
        <f>IF($A236="","",IFERROR(INDEX(FILTER('Client contacts'!$B$2:$B$500,('Client contacts'!$A$2:$A$500=$A236)*('Client contacts'!$G$2:$G$500="Y"),""),1),""))</f>
        <v/>
      </c>
      <c r="G236" s="5">
        <f>IF($A236="","",IFERROR(INDEX(FILTER('Client contacts'!$C$2:$C$500,('Client contacts'!$A$2:$A$500=$A236)*('Client contacts'!$G$2:$G$500="Y"),""),1),""))</f>
        <v/>
      </c>
      <c r="H236" s="5">
        <f>IF($A236="","",IFERROR(INDEX(FILTER('Client contacts'!$B$2:$B$500,('Client contacts'!$A$2:$A$500=$A236)*('Client contacts'!$G$2:$G$500="Y"),""),2),""))</f>
        <v/>
      </c>
      <c r="I236" s="5">
        <f>IF($A236="","",IFERROR(INDEX(FILTER('Client contacts'!$C$2:$C$500,('Client contacts'!$A$2:$A$500=$A236)*('Client contacts'!$G$2:$G$500="Y"),""),2),""))</f>
        <v/>
      </c>
      <c r="J236" s="8" t="n"/>
      <c r="K236" s="8" t="n"/>
      <c r="L236" s="8" t="n"/>
      <c r="M236" s="8" t="n"/>
      <c r="N236" s="8" t="n"/>
      <c r="O236" s="8" t="n"/>
      <c r="P236" s="8" t="n"/>
      <c r="Q236" s="8" t="n"/>
      <c r="R236" s="5">
        <f>IF($A236="","",IFERROR(INDEX(Companies!$I$2:$I$500,MATCH($A236,Companies!$A$2:$A$500,0)),""))</f>
        <v/>
      </c>
      <c r="S236" s="8" t="n"/>
      <c r="T236" s="8" t="n"/>
      <c r="U236" s="8" t="n"/>
      <c r="V236" s="8" t="n"/>
      <c r="W236" s="8" t="n"/>
    </row>
    <row r="237">
      <c r="C237" s="5">
        <f>IF($B237="","",TRIM(IF(INDEX('MOA role matrix'!$B$2:$D$13,1,MATCH($B237,'MOA role matrix'!$B$1:$D$1,0))="Fill","Project initiator, ","")IF(INDEX('MOA role matrix'!$B$2:$D$13,1,MATCH($B237,'MOA role matrix'!$B$1:$D$1,0))="If finance","Project initiator (if finance), ","")IF(INDEX('MOA role matrix'!$B$2:$D$13,1,MATCH($B237,'MOA role matrix'!$B$1:$D$1,0))="Auto","Project initiator (auto), ","")IF(INDEX('MOA role matrix'!$B$2:$D$13,2,MATCH($B237,'MOA role matrix'!$B$1:$D$1,0))="Fill","MOA signers (client), ","")IF(INDEX('MOA role matrix'!$B$2:$D$13,2,MATCH($B237,'MOA role matrix'!$B$1:$D$1,0))="If finance","MOA signers (client) (if finance), ","")IF(INDEX('MOA role matrix'!$B$2:$D$13,2,MATCH($B237,'MOA role matrix'!$B$1:$D$1,0))="Auto","MOA signers (client) (auto), ","")IF(INDEX('MOA role matrix'!$B$2:$D$13,3,MATCH($B237,'MOA role matrix'!$B$1:$D$1,0))="Fill","CFO / Head of Finance, ","")IF(INDEX('MOA role matrix'!$B$2:$D$13,3,MATCH($B237,'MOA role matrix'!$B$1:$D$1,0))="If finance","CFO / Head of Finance (if finance), ","")IF(INDEX('MOA role matrix'!$B$2:$D$13,3,MATCH($B237,'MOA role matrix'!$B$1:$D$1,0))="Auto","CFO / Head of Finance (auto), ","")IF(INDEX('MOA role matrix'!$B$2:$D$13,4,MATCH($B237,'MOA role matrix'!$B$1:$D$1,0))="Fill","CEO / COO / GM, ","")IF(INDEX('MOA role matrix'!$B$2:$D$13,4,MATCH($B237,'MOA role matrix'!$B$1:$D$1,0))="If finance","CEO / COO / GM (if finance), ","")IF(INDEX('MOA role matrix'!$B$2:$D$13,4,MATCH($B237,'MOA role matrix'!$B$1:$D$1,0))="Auto","CEO / COO / GM (auto), ","")IF(INDEX('MOA role matrix'!$B$2:$D$13,5,MATCH($B237,'MOA role matrix'!$B$1:$D$1,0))="Fill","Board member 1, ","")IF(INDEX('MOA role matrix'!$B$2:$D$13,5,MATCH($B237,'MOA role matrix'!$B$1:$D$1,0))="If finance","Board member 1 (if finance), ","")IF(INDEX('MOA role matrix'!$B$2:$D$13,5,MATCH($B237,'MOA role matrix'!$B$1:$D$1,0))="Auto","Board member 1 (auto), ","")IF(INDEX('MOA role matrix'!$B$2:$D$13,6,MATCH($B237,'MOA role matrix'!$B$1:$D$1,0))="Fill","Board member 2, ","")IF(INDEX('MOA role matrix'!$B$2:$D$13,6,MATCH($B237,'MOA role matrix'!$B$1:$D$1,0))="If finance","Board member 2 (if finance), ","")IF(INDEX('MOA role matrix'!$B$2:$D$13,6,MATCH($B237,'MOA role matrix'!$B$1:$D$1,0))="Auto","Board member 2 (auto), ","")IF(INDEX('MOA role matrix'!$B$2:$D$13,7,MATCH($B237,'MOA role matrix'!$B$1:$D$1,0))="Fill","LOA holder 1, ","")IF(INDEX('MOA role matrix'!$B$2:$D$13,7,MATCH($B237,'MOA role matrix'!$B$1:$D$1,0))="If finance","LOA holder 1 (if finance), ","")IF(INDEX('MOA role matrix'!$B$2:$D$13,7,MATCH($B237,'MOA role matrix'!$B$1:$D$1,0))="Auto","LOA holder 1 (auto), ","")IF(INDEX('MOA role matrix'!$B$2:$D$13,8,MATCH($B237,'MOA role matrix'!$B$1:$D$1,0))="Fill","LOA holder 2, ","")IF(INDEX('MOA role matrix'!$B$2:$D$13,8,MATCH($B237,'MOA role matrix'!$B$1:$D$1,0))="If finance","LOA holder 2 (if finance), ","")IF(INDEX('MOA role matrix'!$B$2:$D$13,8,MATCH($B237,'MOA role matrix'!$B$1:$D$1,0))="Auto","LOA holder 2 (auto), ","")IF(INDEX('MOA role matrix'!$B$2:$D$13,9,MATCH($B237,'MOA role matrix'!$B$1:$D$1,0))="Fill","Senior Manager CoSec, ","")IF(INDEX('MOA role matrix'!$B$2:$D$13,9,MATCH($B237,'MOA role matrix'!$B$1:$D$1,0))="If finance","Senior Manager CoSec (if finance), ","")IF(INDEX('MOA role matrix'!$B$2:$D$13,9,MATCH($B237,'MOA role matrix'!$B$1:$D$1,0))="Auto","Senior Manager CoSec (auto), ","")IF(INDEX('MOA role matrix'!$B$2:$D$13,10,MATCH($B237,'MOA role matrix'!$B$1:$D$1,0))="Fill","Division MOI managers, ","")IF(INDEX('MOA role matrix'!$B$2:$D$13,10,MATCH($B237,'MOA role matrix'!$B$1:$D$1,0))="If finance","Division MOI managers (if finance), ","")IF(INDEX('MOA role matrix'!$B$2:$D$13,10,MATCH($B237,'MOA role matrix'!$B$1:$D$1,0))="Auto","Division MOI managers (auto), ","")IF(INDEX('MOA role matrix'!$B$2:$D$13,11,MATCH($B237,'MOA role matrix'!$B$1:$D$1,0))="Fill","Ms Teh (bank), ","")IF(INDEX('MOA role matrix'!$B$2:$D$13,11,MATCH($B237,'MOA role matrix'!$B$1:$D$1,0))="If finance","Ms Teh (bank) (if finance), ","")IF(INDEX('MOA role matrix'!$B$2:$D$13,11,MATCH($B237,'MOA role matrix'!$B$1:$D$1,0))="Auto","Ms Teh (bank) (auto), ","")IF(INDEX('MOA role matrix'!$B$2:$D$13,12,MATCH($B237,'MOA role matrix'!$B$1:$D$1,0))="Fill","DLCM, ","")IF(INDEX('MOA role matrix'!$B$2:$D$13,12,MATCH($B237,'MOA role matrix'!$B$1:$D$1,0))="If finance","DLCM (if finance), ","")IF(INDEX('MOA role matrix'!$B$2:$D$13,12,MATCH($B237,'MOA role matrix'!$B$1:$D$1,0))="Auto","DLCM (auto), ","")))</f>
        <v/>
      </c>
      <c r="D237" s="5">
        <f>IF($A237="","",IFERROR(INDEX(FILTER('Client contacts'!$B$2:$B$500,('Client contacts'!$A$2:$A$500=$A237)*('Client contacts'!$H$2:$H$500="Y"),""),1),""))</f>
        <v/>
      </c>
      <c r="E237" s="5">
        <f>IF($A237="","",IFERROR(INDEX(FILTER('Client contacts'!$C$2:$C$500,('Client contacts'!$A$2:$A$500=$A237)*('Client contacts'!$H$2:$H$500="Y"),""),1),""))</f>
        <v/>
      </c>
      <c r="F237" s="5">
        <f>IF($A237="","",IFERROR(INDEX(FILTER('Client contacts'!$B$2:$B$500,('Client contacts'!$A$2:$A$500=$A237)*('Client contacts'!$G$2:$G$500="Y"),""),1),""))</f>
        <v/>
      </c>
      <c r="G237" s="5">
        <f>IF($A237="","",IFERROR(INDEX(FILTER('Client contacts'!$C$2:$C$500,('Client contacts'!$A$2:$A$500=$A237)*('Client contacts'!$G$2:$G$500="Y"),""),1),""))</f>
        <v/>
      </c>
      <c r="H237" s="5">
        <f>IF($A237="","",IFERROR(INDEX(FILTER('Client contacts'!$B$2:$B$500,('Client contacts'!$A$2:$A$500=$A237)*('Client contacts'!$G$2:$G$500="Y"),""),2),""))</f>
        <v/>
      </c>
      <c r="I237" s="5">
        <f>IF($A237="","",IFERROR(INDEX(FILTER('Client contacts'!$C$2:$C$500,('Client contacts'!$A$2:$A$500=$A237)*('Client contacts'!$G$2:$G$500="Y"),""),2),""))</f>
        <v/>
      </c>
      <c r="J237" s="8" t="n"/>
      <c r="K237" s="8" t="n"/>
      <c r="L237" s="8" t="n"/>
      <c r="M237" s="8" t="n"/>
      <c r="N237" s="8" t="n"/>
      <c r="O237" s="8" t="n"/>
      <c r="P237" s="8" t="n"/>
      <c r="Q237" s="8" t="n"/>
      <c r="R237" s="5">
        <f>IF($A237="","",IFERROR(INDEX(Companies!$I$2:$I$500,MATCH($A237,Companies!$A$2:$A$500,0)),""))</f>
        <v/>
      </c>
      <c r="S237" s="8" t="n"/>
      <c r="T237" s="8" t="n"/>
      <c r="U237" s="8" t="n"/>
      <c r="V237" s="8" t="n"/>
      <c r="W237" s="8" t="n"/>
    </row>
    <row r="238">
      <c r="C238" s="5">
        <f>IF($B238="","",TRIM(IF(INDEX('MOA role matrix'!$B$2:$D$13,1,MATCH($B238,'MOA role matrix'!$B$1:$D$1,0))="Fill","Project initiator, ","")IF(INDEX('MOA role matrix'!$B$2:$D$13,1,MATCH($B238,'MOA role matrix'!$B$1:$D$1,0))="If finance","Project initiator (if finance), ","")IF(INDEX('MOA role matrix'!$B$2:$D$13,1,MATCH($B238,'MOA role matrix'!$B$1:$D$1,0))="Auto","Project initiator (auto), ","")IF(INDEX('MOA role matrix'!$B$2:$D$13,2,MATCH($B238,'MOA role matrix'!$B$1:$D$1,0))="Fill","MOA signers (client), ","")IF(INDEX('MOA role matrix'!$B$2:$D$13,2,MATCH($B238,'MOA role matrix'!$B$1:$D$1,0))="If finance","MOA signers (client) (if finance), ","")IF(INDEX('MOA role matrix'!$B$2:$D$13,2,MATCH($B238,'MOA role matrix'!$B$1:$D$1,0))="Auto","MOA signers (client) (auto), ","")IF(INDEX('MOA role matrix'!$B$2:$D$13,3,MATCH($B238,'MOA role matrix'!$B$1:$D$1,0))="Fill","CFO / Head of Finance, ","")IF(INDEX('MOA role matrix'!$B$2:$D$13,3,MATCH($B238,'MOA role matrix'!$B$1:$D$1,0))="If finance","CFO / Head of Finance (if finance), ","")IF(INDEX('MOA role matrix'!$B$2:$D$13,3,MATCH($B238,'MOA role matrix'!$B$1:$D$1,0))="Auto","CFO / Head of Finance (auto), ","")IF(INDEX('MOA role matrix'!$B$2:$D$13,4,MATCH($B238,'MOA role matrix'!$B$1:$D$1,0))="Fill","CEO / COO / GM, ","")IF(INDEX('MOA role matrix'!$B$2:$D$13,4,MATCH($B238,'MOA role matrix'!$B$1:$D$1,0))="If finance","CEO / COO / GM (if finance), ","")IF(INDEX('MOA role matrix'!$B$2:$D$13,4,MATCH($B238,'MOA role matrix'!$B$1:$D$1,0))="Auto","CEO / COO / GM (auto), ","")IF(INDEX('MOA role matrix'!$B$2:$D$13,5,MATCH($B238,'MOA role matrix'!$B$1:$D$1,0))="Fill","Board member 1, ","")IF(INDEX('MOA role matrix'!$B$2:$D$13,5,MATCH($B238,'MOA role matrix'!$B$1:$D$1,0))="If finance","Board member 1 (if finance), ","")IF(INDEX('MOA role matrix'!$B$2:$D$13,5,MATCH($B238,'MOA role matrix'!$B$1:$D$1,0))="Auto","Board member 1 (auto), ","")IF(INDEX('MOA role matrix'!$B$2:$D$13,6,MATCH($B238,'MOA role matrix'!$B$1:$D$1,0))="Fill","Board member 2, ","")IF(INDEX('MOA role matrix'!$B$2:$D$13,6,MATCH($B238,'MOA role matrix'!$B$1:$D$1,0))="If finance","Board member 2 (if finance), ","")IF(INDEX('MOA role matrix'!$B$2:$D$13,6,MATCH($B238,'MOA role matrix'!$B$1:$D$1,0))="Auto","Board member 2 (auto), ","")IF(INDEX('MOA role matrix'!$B$2:$D$13,7,MATCH($B238,'MOA role matrix'!$B$1:$D$1,0))="Fill","LOA holder 1, ","")IF(INDEX('MOA role matrix'!$B$2:$D$13,7,MATCH($B238,'MOA role matrix'!$B$1:$D$1,0))="If finance","LOA holder 1 (if finance), ","")IF(INDEX('MOA role matrix'!$B$2:$D$13,7,MATCH($B238,'MOA role matrix'!$B$1:$D$1,0))="Auto","LOA holder 1 (auto), ","")IF(INDEX('MOA role matrix'!$B$2:$D$13,8,MATCH($B238,'MOA role matrix'!$B$1:$D$1,0))="Fill","LOA holder 2, ","")IF(INDEX('MOA role matrix'!$B$2:$D$13,8,MATCH($B238,'MOA role matrix'!$B$1:$D$1,0))="If finance","LOA holder 2 (if finance), ","")IF(INDEX('MOA role matrix'!$B$2:$D$13,8,MATCH($B238,'MOA role matrix'!$B$1:$D$1,0))="Auto","LOA holder 2 (auto), ","")IF(INDEX('MOA role matrix'!$B$2:$D$13,9,MATCH($B238,'MOA role matrix'!$B$1:$D$1,0))="Fill","Senior Manager CoSec, ","")IF(INDEX('MOA role matrix'!$B$2:$D$13,9,MATCH($B238,'MOA role matrix'!$B$1:$D$1,0))="If finance","Senior Manager CoSec (if finance), ","")IF(INDEX('MOA role matrix'!$B$2:$D$13,9,MATCH($B238,'MOA role matrix'!$B$1:$D$1,0))="Auto","Senior Manager CoSec (auto), ","")IF(INDEX('MOA role matrix'!$B$2:$D$13,10,MATCH($B238,'MOA role matrix'!$B$1:$D$1,0))="Fill","Division MOI managers, ","")IF(INDEX('MOA role matrix'!$B$2:$D$13,10,MATCH($B238,'MOA role matrix'!$B$1:$D$1,0))="If finance","Division MOI managers (if finance), ","")IF(INDEX('MOA role matrix'!$B$2:$D$13,10,MATCH($B238,'MOA role matrix'!$B$1:$D$1,0))="Auto","Division MOI managers (auto), ","")IF(INDEX('MOA role matrix'!$B$2:$D$13,11,MATCH($B238,'MOA role matrix'!$B$1:$D$1,0))="Fill","Ms Teh (bank), ","")IF(INDEX('MOA role matrix'!$B$2:$D$13,11,MATCH($B238,'MOA role matrix'!$B$1:$D$1,0))="If finance","Ms Teh (bank) (if finance), ","")IF(INDEX('MOA role matrix'!$B$2:$D$13,11,MATCH($B238,'MOA role matrix'!$B$1:$D$1,0))="Auto","Ms Teh (bank) (auto), ","")IF(INDEX('MOA role matrix'!$B$2:$D$13,12,MATCH($B238,'MOA role matrix'!$B$1:$D$1,0))="Fill","DLCM, ","")IF(INDEX('MOA role matrix'!$B$2:$D$13,12,MATCH($B238,'MOA role matrix'!$B$1:$D$1,0))="If finance","DLCM (if finance), ","")IF(INDEX('MOA role matrix'!$B$2:$D$13,12,MATCH($B238,'MOA role matrix'!$B$1:$D$1,0))="Auto","DLCM (auto), ","")))</f>
        <v/>
      </c>
      <c r="D238" s="5">
        <f>IF($A238="","",IFERROR(INDEX(FILTER('Client contacts'!$B$2:$B$500,('Client contacts'!$A$2:$A$500=$A238)*('Client contacts'!$H$2:$H$500="Y"),""),1),""))</f>
        <v/>
      </c>
      <c r="E238" s="5">
        <f>IF($A238="","",IFERROR(INDEX(FILTER('Client contacts'!$C$2:$C$500,('Client contacts'!$A$2:$A$500=$A238)*('Client contacts'!$H$2:$H$500="Y"),""),1),""))</f>
        <v/>
      </c>
      <c r="F238" s="5">
        <f>IF($A238="","",IFERROR(INDEX(FILTER('Client contacts'!$B$2:$B$500,('Client contacts'!$A$2:$A$500=$A238)*('Client contacts'!$G$2:$G$500="Y"),""),1),""))</f>
        <v/>
      </c>
      <c r="G238" s="5">
        <f>IF($A238="","",IFERROR(INDEX(FILTER('Client contacts'!$C$2:$C$500,('Client contacts'!$A$2:$A$500=$A238)*('Client contacts'!$G$2:$G$500="Y"),""),1),""))</f>
        <v/>
      </c>
      <c r="H238" s="5">
        <f>IF($A238="","",IFERROR(INDEX(FILTER('Client contacts'!$B$2:$B$500,('Client contacts'!$A$2:$A$500=$A238)*('Client contacts'!$G$2:$G$500="Y"),""),2),""))</f>
        <v/>
      </c>
      <c r="I238" s="5">
        <f>IF($A238="","",IFERROR(INDEX(FILTER('Client contacts'!$C$2:$C$500,('Client contacts'!$A$2:$A$500=$A238)*('Client contacts'!$G$2:$G$500="Y"),""),2),""))</f>
        <v/>
      </c>
      <c r="J238" s="8" t="n"/>
      <c r="K238" s="8" t="n"/>
      <c r="L238" s="8" t="n"/>
      <c r="M238" s="8" t="n"/>
      <c r="N238" s="8" t="n"/>
      <c r="O238" s="8" t="n"/>
      <c r="P238" s="8" t="n"/>
      <c r="Q238" s="8" t="n"/>
      <c r="R238" s="5">
        <f>IF($A238="","",IFERROR(INDEX(Companies!$I$2:$I$500,MATCH($A238,Companies!$A$2:$A$500,0)),""))</f>
        <v/>
      </c>
      <c r="S238" s="8" t="n"/>
      <c r="T238" s="8" t="n"/>
      <c r="U238" s="8" t="n"/>
      <c r="V238" s="8" t="n"/>
      <c r="W238" s="8" t="n"/>
    </row>
    <row r="239">
      <c r="C239" s="5">
        <f>IF($B239="","",TRIM(IF(INDEX('MOA role matrix'!$B$2:$D$13,1,MATCH($B239,'MOA role matrix'!$B$1:$D$1,0))="Fill","Project initiator, ","")IF(INDEX('MOA role matrix'!$B$2:$D$13,1,MATCH($B239,'MOA role matrix'!$B$1:$D$1,0))="If finance","Project initiator (if finance), ","")IF(INDEX('MOA role matrix'!$B$2:$D$13,1,MATCH($B239,'MOA role matrix'!$B$1:$D$1,0))="Auto","Project initiator (auto), ","")IF(INDEX('MOA role matrix'!$B$2:$D$13,2,MATCH($B239,'MOA role matrix'!$B$1:$D$1,0))="Fill","MOA signers (client), ","")IF(INDEX('MOA role matrix'!$B$2:$D$13,2,MATCH($B239,'MOA role matrix'!$B$1:$D$1,0))="If finance","MOA signers (client) (if finance), ","")IF(INDEX('MOA role matrix'!$B$2:$D$13,2,MATCH($B239,'MOA role matrix'!$B$1:$D$1,0))="Auto","MOA signers (client) (auto), ","")IF(INDEX('MOA role matrix'!$B$2:$D$13,3,MATCH($B239,'MOA role matrix'!$B$1:$D$1,0))="Fill","CFO / Head of Finance, ","")IF(INDEX('MOA role matrix'!$B$2:$D$13,3,MATCH($B239,'MOA role matrix'!$B$1:$D$1,0))="If finance","CFO / Head of Finance (if finance), ","")IF(INDEX('MOA role matrix'!$B$2:$D$13,3,MATCH($B239,'MOA role matrix'!$B$1:$D$1,0))="Auto","CFO / Head of Finance (auto), ","")IF(INDEX('MOA role matrix'!$B$2:$D$13,4,MATCH($B239,'MOA role matrix'!$B$1:$D$1,0))="Fill","CEO / COO / GM, ","")IF(INDEX('MOA role matrix'!$B$2:$D$13,4,MATCH($B239,'MOA role matrix'!$B$1:$D$1,0))="If finance","CEO / COO / GM (if finance), ","")IF(INDEX('MOA role matrix'!$B$2:$D$13,4,MATCH($B239,'MOA role matrix'!$B$1:$D$1,0))="Auto","CEO / COO / GM (auto), ","")IF(INDEX('MOA role matrix'!$B$2:$D$13,5,MATCH($B239,'MOA role matrix'!$B$1:$D$1,0))="Fill","Board member 1, ","")IF(INDEX('MOA role matrix'!$B$2:$D$13,5,MATCH($B239,'MOA role matrix'!$B$1:$D$1,0))="If finance","Board member 1 (if finance), ","")IF(INDEX('MOA role matrix'!$B$2:$D$13,5,MATCH($B239,'MOA role matrix'!$B$1:$D$1,0))="Auto","Board member 1 (auto), ","")IF(INDEX('MOA role matrix'!$B$2:$D$13,6,MATCH($B239,'MOA role matrix'!$B$1:$D$1,0))="Fill","Board member 2, ","")IF(INDEX('MOA role matrix'!$B$2:$D$13,6,MATCH($B239,'MOA role matrix'!$B$1:$D$1,0))="If finance","Board member 2 (if finance), ","")IF(INDEX('MOA role matrix'!$B$2:$D$13,6,MATCH($B239,'MOA role matrix'!$B$1:$D$1,0))="Auto","Board member 2 (auto), ","")IF(INDEX('MOA role matrix'!$B$2:$D$13,7,MATCH($B239,'MOA role matrix'!$B$1:$D$1,0))="Fill","LOA holder 1, ","")IF(INDEX('MOA role matrix'!$B$2:$D$13,7,MATCH($B239,'MOA role matrix'!$B$1:$D$1,0))="If finance","LOA holder 1 (if finance), ","")IF(INDEX('MOA role matrix'!$B$2:$D$13,7,MATCH($B239,'MOA role matrix'!$B$1:$D$1,0))="Auto","LOA holder 1 (auto), ","")IF(INDEX('MOA role matrix'!$B$2:$D$13,8,MATCH($B239,'MOA role matrix'!$B$1:$D$1,0))="Fill","LOA holder 2, ","")IF(INDEX('MOA role matrix'!$B$2:$D$13,8,MATCH($B239,'MOA role matrix'!$B$1:$D$1,0))="If finance","LOA holder 2 (if finance), ","")IF(INDEX('MOA role matrix'!$B$2:$D$13,8,MATCH($B239,'MOA role matrix'!$B$1:$D$1,0))="Auto","LOA holder 2 (auto), ","")IF(INDEX('MOA role matrix'!$B$2:$D$13,9,MATCH($B239,'MOA role matrix'!$B$1:$D$1,0))="Fill","Senior Manager CoSec, ","")IF(INDEX('MOA role matrix'!$B$2:$D$13,9,MATCH($B239,'MOA role matrix'!$B$1:$D$1,0))="If finance","Senior Manager CoSec (if finance), ","")IF(INDEX('MOA role matrix'!$B$2:$D$13,9,MATCH($B239,'MOA role matrix'!$B$1:$D$1,0))="Auto","Senior Manager CoSec (auto), ","")IF(INDEX('MOA role matrix'!$B$2:$D$13,10,MATCH($B239,'MOA role matrix'!$B$1:$D$1,0))="Fill","Division MOI managers, ","")IF(INDEX('MOA role matrix'!$B$2:$D$13,10,MATCH($B239,'MOA role matrix'!$B$1:$D$1,0))="If finance","Division MOI managers (if finance), ","")IF(INDEX('MOA role matrix'!$B$2:$D$13,10,MATCH($B239,'MOA role matrix'!$B$1:$D$1,0))="Auto","Division MOI managers (auto), ","")IF(INDEX('MOA role matrix'!$B$2:$D$13,11,MATCH($B239,'MOA role matrix'!$B$1:$D$1,0))="Fill","Ms Teh (bank), ","")IF(INDEX('MOA role matrix'!$B$2:$D$13,11,MATCH($B239,'MOA role matrix'!$B$1:$D$1,0))="If finance","Ms Teh (bank) (if finance), ","")IF(INDEX('MOA role matrix'!$B$2:$D$13,11,MATCH($B239,'MOA role matrix'!$B$1:$D$1,0))="Auto","Ms Teh (bank) (auto), ","")IF(INDEX('MOA role matrix'!$B$2:$D$13,12,MATCH($B239,'MOA role matrix'!$B$1:$D$1,0))="Fill","DLCM, ","")IF(INDEX('MOA role matrix'!$B$2:$D$13,12,MATCH($B239,'MOA role matrix'!$B$1:$D$1,0))="If finance","DLCM (if finance), ","")IF(INDEX('MOA role matrix'!$B$2:$D$13,12,MATCH($B239,'MOA role matrix'!$B$1:$D$1,0))="Auto","DLCM (auto), ","")))</f>
        <v/>
      </c>
      <c r="D239" s="5">
        <f>IF($A239="","",IFERROR(INDEX(FILTER('Client contacts'!$B$2:$B$500,('Client contacts'!$A$2:$A$500=$A239)*('Client contacts'!$H$2:$H$500="Y"),""),1),""))</f>
        <v/>
      </c>
      <c r="E239" s="5">
        <f>IF($A239="","",IFERROR(INDEX(FILTER('Client contacts'!$C$2:$C$500,('Client contacts'!$A$2:$A$500=$A239)*('Client contacts'!$H$2:$H$500="Y"),""),1),""))</f>
        <v/>
      </c>
      <c r="F239" s="5">
        <f>IF($A239="","",IFERROR(INDEX(FILTER('Client contacts'!$B$2:$B$500,('Client contacts'!$A$2:$A$500=$A239)*('Client contacts'!$G$2:$G$500="Y"),""),1),""))</f>
        <v/>
      </c>
      <c r="G239" s="5">
        <f>IF($A239="","",IFERROR(INDEX(FILTER('Client contacts'!$C$2:$C$500,('Client contacts'!$A$2:$A$500=$A239)*('Client contacts'!$G$2:$G$500="Y"),""),1),""))</f>
        <v/>
      </c>
      <c r="H239" s="5">
        <f>IF($A239="","",IFERROR(INDEX(FILTER('Client contacts'!$B$2:$B$500,('Client contacts'!$A$2:$A$500=$A239)*('Client contacts'!$G$2:$G$500="Y"),""),2),""))</f>
        <v/>
      </c>
      <c r="I239" s="5">
        <f>IF($A239="","",IFERROR(INDEX(FILTER('Client contacts'!$C$2:$C$500,('Client contacts'!$A$2:$A$500=$A239)*('Client contacts'!$G$2:$G$500="Y"),""),2),""))</f>
        <v/>
      </c>
      <c r="J239" s="8" t="n"/>
      <c r="K239" s="8" t="n"/>
      <c r="L239" s="8" t="n"/>
      <c r="M239" s="8" t="n"/>
      <c r="N239" s="8" t="n"/>
      <c r="O239" s="8" t="n"/>
      <c r="P239" s="8" t="n"/>
      <c r="Q239" s="8" t="n"/>
      <c r="R239" s="5">
        <f>IF($A239="","",IFERROR(INDEX(Companies!$I$2:$I$500,MATCH($A239,Companies!$A$2:$A$500,0)),""))</f>
        <v/>
      </c>
      <c r="S239" s="8" t="n"/>
      <c r="T239" s="8" t="n"/>
      <c r="U239" s="8" t="n"/>
      <c r="V239" s="8" t="n"/>
      <c r="W239" s="8" t="n"/>
    </row>
    <row r="240">
      <c r="C240" s="5">
        <f>IF($B240="","",TRIM(IF(INDEX('MOA role matrix'!$B$2:$D$13,1,MATCH($B240,'MOA role matrix'!$B$1:$D$1,0))="Fill","Project initiator, ","")IF(INDEX('MOA role matrix'!$B$2:$D$13,1,MATCH($B240,'MOA role matrix'!$B$1:$D$1,0))="If finance","Project initiator (if finance), ","")IF(INDEX('MOA role matrix'!$B$2:$D$13,1,MATCH($B240,'MOA role matrix'!$B$1:$D$1,0))="Auto","Project initiator (auto), ","")IF(INDEX('MOA role matrix'!$B$2:$D$13,2,MATCH($B240,'MOA role matrix'!$B$1:$D$1,0))="Fill","MOA signers (client), ","")IF(INDEX('MOA role matrix'!$B$2:$D$13,2,MATCH($B240,'MOA role matrix'!$B$1:$D$1,0))="If finance","MOA signers (client) (if finance), ","")IF(INDEX('MOA role matrix'!$B$2:$D$13,2,MATCH($B240,'MOA role matrix'!$B$1:$D$1,0))="Auto","MOA signers (client) (auto), ","")IF(INDEX('MOA role matrix'!$B$2:$D$13,3,MATCH($B240,'MOA role matrix'!$B$1:$D$1,0))="Fill","CFO / Head of Finance, ","")IF(INDEX('MOA role matrix'!$B$2:$D$13,3,MATCH($B240,'MOA role matrix'!$B$1:$D$1,0))="If finance","CFO / Head of Finance (if finance), ","")IF(INDEX('MOA role matrix'!$B$2:$D$13,3,MATCH($B240,'MOA role matrix'!$B$1:$D$1,0))="Auto","CFO / Head of Finance (auto), ","")IF(INDEX('MOA role matrix'!$B$2:$D$13,4,MATCH($B240,'MOA role matrix'!$B$1:$D$1,0))="Fill","CEO / COO / GM, ","")IF(INDEX('MOA role matrix'!$B$2:$D$13,4,MATCH($B240,'MOA role matrix'!$B$1:$D$1,0))="If finance","CEO / COO / GM (if finance), ","")IF(INDEX('MOA role matrix'!$B$2:$D$13,4,MATCH($B240,'MOA role matrix'!$B$1:$D$1,0))="Auto","CEO / COO / GM (auto), ","")IF(INDEX('MOA role matrix'!$B$2:$D$13,5,MATCH($B240,'MOA role matrix'!$B$1:$D$1,0))="Fill","Board member 1, ","")IF(INDEX('MOA role matrix'!$B$2:$D$13,5,MATCH($B240,'MOA role matrix'!$B$1:$D$1,0))="If finance","Board member 1 (if finance), ","")IF(INDEX('MOA role matrix'!$B$2:$D$13,5,MATCH($B240,'MOA role matrix'!$B$1:$D$1,0))="Auto","Board member 1 (auto), ","")IF(INDEX('MOA role matrix'!$B$2:$D$13,6,MATCH($B240,'MOA role matrix'!$B$1:$D$1,0))="Fill","Board member 2, ","")IF(INDEX('MOA role matrix'!$B$2:$D$13,6,MATCH($B240,'MOA role matrix'!$B$1:$D$1,0))="If finance","Board member 2 (if finance), ","")IF(INDEX('MOA role matrix'!$B$2:$D$13,6,MATCH($B240,'MOA role matrix'!$B$1:$D$1,0))="Auto","Board member 2 (auto), ","")IF(INDEX('MOA role matrix'!$B$2:$D$13,7,MATCH($B240,'MOA role matrix'!$B$1:$D$1,0))="Fill","LOA holder 1, ","")IF(INDEX('MOA role matrix'!$B$2:$D$13,7,MATCH($B240,'MOA role matrix'!$B$1:$D$1,0))="If finance","LOA holder 1 (if finance), ","")IF(INDEX('MOA role matrix'!$B$2:$D$13,7,MATCH($B240,'MOA role matrix'!$B$1:$D$1,0))="Auto","LOA holder 1 (auto), ","")IF(INDEX('MOA role matrix'!$B$2:$D$13,8,MATCH($B240,'MOA role matrix'!$B$1:$D$1,0))="Fill","LOA holder 2, ","")IF(INDEX('MOA role matrix'!$B$2:$D$13,8,MATCH($B240,'MOA role matrix'!$B$1:$D$1,0))="If finance","LOA holder 2 (if finance), ","")IF(INDEX('MOA role matrix'!$B$2:$D$13,8,MATCH($B240,'MOA role matrix'!$B$1:$D$1,0))="Auto","LOA holder 2 (auto), ","")IF(INDEX('MOA role matrix'!$B$2:$D$13,9,MATCH($B240,'MOA role matrix'!$B$1:$D$1,0))="Fill","Senior Manager CoSec, ","")IF(INDEX('MOA role matrix'!$B$2:$D$13,9,MATCH($B240,'MOA role matrix'!$B$1:$D$1,0))="If finance","Senior Manager CoSec (if finance), ","")IF(INDEX('MOA role matrix'!$B$2:$D$13,9,MATCH($B240,'MOA role matrix'!$B$1:$D$1,0))="Auto","Senior Manager CoSec (auto), ","")IF(INDEX('MOA role matrix'!$B$2:$D$13,10,MATCH($B240,'MOA role matrix'!$B$1:$D$1,0))="Fill","Division MOI managers, ","")IF(INDEX('MOA role matrix'!$B$2:$D$13,10,MATCH($B240,'MOA role matrix'!$B$1:$D$1,0))="If finance","Division MOI managers (if finance), ","")IF(INDEX('MOA role matrix'!$B$2:$D$13,10,MATCH($B240,'MOA role matrix'!$B$1:$D$1,0))="Auto","Division MOI managers (auto), ","")IF(INDEX('MOA role matrix'!$B$2:$D$13,11,MATCH($B240,'MOA role matrix'!$B$1:$D$1,0))="Fill","Ms Teh (bank), ","")IF(INDEX('MOA role matrix'!$B$2:$D$13,11,MATCH($B240,'MOA role matrix'!$B$1:$D$1,0))="If finance","Ms Teh (bank) (if finance), ","")IF(INDEX('MOA role matrix'!$B$2:$D$13,11,MATCH($B240,'MOA role matrix'!$B$1:$D$1,0))="Auto","Ms Teh (bank) (auto), ","")IF(INDEX('MOA role matrix'!$B$2:$D$13,12,MATCH($B240,'MOA role matrix'!$B$1:$D$1,0))="Fill","DLCM, ","")IF(INDEX('MOA role matrix'!$B$2:$D$13,12,MATCH($B240,'MOA role matrix'!$B$1:$D$1,0))="If finance","DLCM (if finance), ","")IF(INDEX('MOA role matrix'!$B$2:$D$13,12,MATCH($B240,'MOA role matrix'!$B$1:$D$1,0))="Auto","DLCM (auto), ","")))</f>
        <v/>
      </c>
      <c r="D240" s="5">
        <f>IF($A240="","",IFERROR(INDEX(FILTER('Client contacts'!$B$2:$B$500,('Client contacts'!$A$2:$A$500=$A240)*('Client contacts'!$H$2:$H$500="Y"),""),1),""))</f>
        <v/>
      </c>
      <c r="E240" s="5">
        <f>IF($A240="","",IFERROR(INDEX(FILTER('Client contacts'!$C$2:$C$500,('Client contacts'!$A$2:$A$500=$A240)*('Client contacts'!$H$2:$H$500="Y"),""),1),""))</f>
        <v/>
      </c>
      <c r="F240" s="5">
        <f>IF($A240="","",IFERROR(INDEX(FILTER('Client contacts'!$B$2:$B$500,('Client contacts'!$A$2:$A$500=$A240)*('Client contacts'!$G$2:$G$500="Y"),""),1),""))</f>
        <v/>
      </c>
      <c r="G240" s="5">
        <f>IF($A240="","",IFERROR(INDEX(FILTER('Client contacts'!$C$2:$C$500,('Client contacts'!$A$2:$A$500=$A240)*('Client contacts'!$G$2:$G$500="Y"),""),1),""))</f>
        <v/>
      </c>
      <c r="H240" s="5">
        <f>IF($A240="","",IFERROR(INDEX(FILTER('Client contacts'!$B$2:$B$500,('Client contacts'!$A$2:$A$500=$A240)*('Client contacts'!$G$2:$G$500="Y"),""),2),""))</f>
        <v/>
      </c>
      <c r="I240" s="5">
        <f>IF($A240="","",IFERROR(INDEX(FILTER('Client contacts'!$C$2:$C$500,('Client contacts'!$A$2:$A$500=$A240)*('Client contacts'!$G$2:$G$500="Y"),""),2),""))</f>
        <v/>
      </c>
      <c r="J240" s="8" t="n"/>
      <c r="K240" s="8" t="n"/>
      <c r="L240" s="8" t="n"/>
      <c r="M240" s="8" t="n"/>
      <c r="N240" s="8" t="n"/>
      <c r="O240" s="8" t="n"/>
      <c r="P240" s="8" t="n"/>
      <c r="Q240" s="8" t="n"/>
      <c r="R240" s="5">
        <f>IF($A240="","",IFERROR(INDEX(Companies!$I$2:$I$500,MATCH($A240,Companies!$A$2:$A$500,0)),""))</f>
        <v/>
      </c>
      <c r="S240" s="8" t="n"/>
      <c r="T240" s="8" t="n"/>
      <c r="U240" s="8" t="n"/>
      <c r="V240" s="8" t="n"/>
      <c r="W240" s="8" t="n"/>
    </row>
    <row r="241">
      <c r="C241" s="5">
        <f>IF($B241="","",TRIM(IF(INDEX('MOA role matrix'!$B$2:$D$13,1,MATCH($B241,'MOA role matrix'!$B$1:$D$1,0))="Fill","Project initiator, ","")IF(INDEX('MOA role matrix'!$B$2:$D$13,1,MATCH($B241,'MOA role matrix'!$B$1:$D$1,0))="If finance","Project initiator (if finance), ","")IF(INDEX('MOA role matrix'!$B$2:$D$13,1,MATCH($B241,'MOA role matrix'!$B$1:$D$1,0))="Auto","Project initiator (auto), ","")IF(INDEX('MOA role matrix'!$B$2:$D$13,2,MATCH($B241,'MOA role matrix'!$B$1:$D$1,0))="Fill","MOA signers (client), ","")IF(INDEX('MOA role matrix'!$B$2:$D$13,2,MATCH($B241,'MOA role matrix'!$B$1:$D$1,0))="If finance","MOA signers (client) (if finance), ","")IF(INDEX('MOA role matrix'!$B$2:$D$13,2,MATCH($B241,'MOA role matrix'!$B$1:$D$1,0))="Auto","MOA signers (client) (auto), ","")IF(INDEX('MOA role matrix'!$B$2:$D$13,3,MATCH($B241,'MOA role matrix'!$B$1:$D$1,0))="Fill","CFO / Head of Finance, ","")IF(INDEX('MOA role matrix'!$B$2:$D$13,3,MATCH($B241,'MOA role matrix'!$B$1:$D$1,0))="If finance","CFO / Head of Finance (if finance), ","")IF(INDEX('MOA role matrix'!$B$2:$D$13,3,MATCH($B241,'MOA role matrix'!$B$1:$D$1,0))="Auto","CFO / Head of Finance (auto), ","")IF(INDEX('MOA role matrix'!$B$2:$D$13,4,MATCH($B241,'MOA role matrix'!$B$1:$D$1,0))="Fill","CEO / COO / GM, ","")IF(INDEX('MOA role matrix'!$B$2:$D$13,4,MATCH($B241,'MOA role matrix'!$B$1:$D$1,0))="If finance","CEO / COO / GM (if finance), ","")IF(INDEX('MOA role matrix'!$B$2:$D$13,4,MATCH($B241,'MOA role matrix'!$B$1:$D$1,0))="Auto","CEO / COO / GM (auto), ","")IF(INDEX('MOA role matrix'!$B$2:$D$13,5,MATCH($B241,'MOA role matrix'!$B$1:$D$1,0))="Fill","Board member 1, ","")IF(INDEX('MOA role matrix'!$B$2:$D$13,5,MATCH($B241,'MOA role matrix'!$B$1:$D$1,0))="If finance","Board member 1 (if finance), ","")IF(INDEX('MOA role matrix'!$B$2:$D$13,5,MATCH($B241,'MOA role matrix'!$B$1:$D$1,0))="Auto","Board member 1 (auto), ","")IF(INDEX('MOA role matrix'!$B$2:$D$13,6,MATCH($B241,'MOA role matrix'!$B$1:$D$1,0))="Fill","Board member 2, ","")IF(INDEX('MOA role matrix'!$B$2:$D$13,6,MATCH($B241,'MOA role matrix'!$B$1:$D$1,0))="If finance","Board member 2 (if finance), ","")IF(INDEX('MOA role matrix'!$B$2:$D$13,6,MATCH($B241,'MOA role matrix'!$B$1:$D$1,0))="Auto","Board member 2 (auto), ","")IF(INDEX('MOA role matrix'!$B$2:$D$13,7,MATCH($B241,'MOA role matrix'!$B$1:$D$1,0))="Fill","LOA holder 1, ","")IF(INDEX('MOA role matrix'!$B$2:$D$13,7,MATCH($B241,'MOA role matrix'!$B$1:$D$1,0))="If finance","LOA holder 1 (if finance), ","")IF(INDEX('MOA role matrix'!$B$2:$D$13,7,MATCH($B241,'MOA role matrix'!$B$1:$D$1,0))="Auto","LOA holder 1 (auto), ","")IF(INDEX('MOA role matrix'!$B$2:$D$13,8,MATCH($B241,'MOA role matrix'!$B$1:$D$1,0))="Fill","LOA holder 2, ","")IF(INDEX('MOA role matrix'!$B$2:$D$13,8,MATCH($B241,'MOA role matrix'!$B$1:$D$1,0))="If finance","LOA holder 2 (if finance), ","")IF(INDEX('MOA role matrix'!$B$2:$D$13,8,MATCH($B241,'MOA role matrix'!$B$1:$D$1,0))="Auto","LOA holder 2 (auto), ","")IF(INDEX('MOA role matrix'!$B$2:$D$13,9,MATCH($B241,'MOA role matrix'!$B$1:$D$1,0))="Fill","Senior Manager CoSec, ","")IF(INDEX('MOA role matrix'!$B$2:$D$13,9,MATCH($B241,'MOA role matrix'!$B$1:$D$1,0))="If finance","Senior Manager CoSec (if finance), ","")IF(INDEX('MOA role matrix'!$B$2:$D$13,9,MATCH($B241,'MOA role matrix'!$B$1:$D$1,0))="Auto","Senior Manager CoSec (auto), ","")IF(INDEX('MOA role matrix'!$B$2:$D$13,10,MATCH($B241,'MOA role matrix'!$B$1:$D$1,0))="Fill","Division MOI managers, ","")IF(INDEX('MOA role matrix'!$B$2:$D$13,10,MATCH($B241,'MOA role matrix'!$B$1:$D$1,0))="If finance","Division MOI managers (if finance), ","")IF(INDEX('MOA role matrix'!$B$2:$D$13,10,MATCH($B241,'MOA role matrix'!$B$1:$D$1,0))="Auto","Division MOI managers (auto), ","")IF(INDEX('MOA role matrix'!$B$2:$D$13,11,MATCH($B241,'MOA role matrix'!$B$1:$D$1,0))="Fill","Ms Teh (bank), ","")IF(INDEX('MOA role matrix'!$B$2:$D$13,11,MATCH($B241,'MOA role matrix'!$B$1:$D$1,0))="If finance","Ms Teh (bank) (if finance), ","")IF(INDEX('MOA role matrix'!$B$2:$D$13,11,MATCH($B241,'MOA role matrix'!$B$1:$D$1,0))="Auto","Ms Teh (bank) (auto), ","")IF(INDEX('MOA role matrix'!$B$2:$D$13,12,MATCH($B241,'MOA role matrix'!$B$1:$D$1,0))="Fill","DLCM, ","")IF(INDEX('MOA role matrix'!$B$2:$D$13,12,MATCH($B241,'MOA role matrix'!$B$1:$D$1,0))="If finance","DLCM (if finance), ","")IF(INDEX('MOA role matrix'!$B$2:$D$13,12,MATCH($B241,'MOA role matrix'!$B$1:$D$1,0))="Auto","DLCM (auto), ","")))</f>
        <v/>
      </c>
      <c r="D241" s="5">
        <f>IF($A241="","",IFERROR(INDEX(FILTER('Client contacts'!$B$2:$B$500,('Client contacts'!$A$2:$A$500=$A241)*('Client contacts'!$H$2:$H$500="Y"),""),1),""))</f>
        <v/>
      </c>
      <c r="E241" s="5">
        <f>IF($A241="","",IFERROR(INDEX(FILTER('Client contacts'!$C$2:$C$500,('Client contacts'!$A$2:$A$500=$A241)*('Client contacts'!$H$2:$H$500="Y"),""),1),""))</f>
        <v/>
      </c>
      <c r="F241" s="5">
        <f>IF($A241="","",IFERROR(INDEX(FILTER('Client contacts'!$B$2:$B$500,('Client contacts'!$A$2:$A$500=$A241)*('Client contacts'!$G$2:$G$500="Y"),""),1),""))</f>
        <v/>
      </c>
      <c r="G241" s="5">
        <f>IF($A241="","",IFERROR(INDEX(FILTER('Client contacts'!$C$2:$C$500,('Client contacts'!$A$2:$A$500=$A241)*('Client contacts'!$G$2:$G$500="Y"),""),1),""))</f>
        <v/>
      </c>
      <c r="H241" s="5">
        <f>IF($A241="","",IFERROR(INDEX(FILTER('Client contacts'!$B$2:$B$500,('Client contacts'!$A$2:$A$500=$A241)*('Client contacts'!$G$2:$G$500="Y"),""),2),""))</f>
        <v/>
      </c>
      <c r="I241" s="5">
        <f>IF($A241="","",IFERROR(INDEX(FILTER('Client contacts'!$C$2:$C$500,('Client contacts'!$A$2:$A$500=$A241)*('Client contacts'!$G$2:$G$500="Y"),""),2),""))</f>
        <v/>
      </c>
      <c r="J241" s="8" t="n"/>
      <c r="K241" s="8" t="n"/>
      <c r="L241" s="8" t="n"/>
      <c r="M241" s="8" t="n"/>
      <c r="N241" s="8" t="n"/>
      <c r="O241" s="8" t="n"/>
      <c r="P241" s="8" t="n"/>
      <c r="Q241" s="8" t="n"/>
      <c r="R241" s="5">
        <f>IF($A241="","",IFERROR(INDEX(Companies!$I$2:$I$500,MATCH($A241,Companies!$A$2:$A$500,0)),""))</f>
        <v/>
      </c>
      <c r="S241" s="8" t="n"/>
      <c r="T241" s="8" t="n"/>
      <c r="U241" s="8" t="n"/>
      <c r="V241" s="8" t="n"/>
      <c r="W241" s="8" t="n"/>
    </row>
    <row r="242">
      <c r="C242" s="5">
        <f>IF($B242="","",TRIM(IF(INDEX('MOA role matrix'!$B$2:$D$13,1,MATCH($B242,'MOA role matrix'!$B$1:$D$1,0))="Fill","Project initiator, ","")IF(INDEX('MOA role matrix'!$B$2:$D$13,1,MATCH($B242,'MOA role matrix'!$B$1:$D$1,0))="If finance","Project initiator (if finance), ","")IF(INDEX('MOA role matrix'!$B$2:$D$13,1,MATCH($B242,'MOA role matrix'!$B$1:$D$1,0))="Auto","Project initiator (auto), ","")IF(INDEX('MOA role matrix'!$B$2:$D$13,2,MATCH($B242,'MOA role matrix'!$B$1:$D$1,0))="Fill","MOA signers (client), ","")IF(INDEX('MOA role matrix'!$B$2:$D$13,2,MATCH($B242,'MOA role matrix'!$B$1:$D$1,0))="If finance","MOA signers (client) (if finance), ","")IF(INDEX('MOA role matrix'!$B$2:$D$13,2,MATCH($B242,'MOA role matrix'!$B$1:$D$1,0))="Auto","MOA signers (client) (auto), ","")IF(INDEX('MOA role matrix'!$B$2:$D$13,3,MATCH($B242,'MOA role matrix'!$B$1:$D$1,0))="Fill","CFO / Head of Finance, ","")IF(INDEX('MOA role matrix'!$B$2:$D$13,3,MATCH($B242,'MOA role matrix'!$B$1:$D$1,0))="If finance","CFO / Head of Finance (if finance), ","")IF(INDEX('MOA role matrix'!$B$2:$D$13,3,MATCH($B242,'MOA role matrix'!$B$1:$D$1,0))="Auto","CFO / Head of Finance (auto), ","")IF(INDEX('MOA role matrix'!$B$2:$D$13,4,MATCH($B242,'MOA role matrix'!$B$1:$D$1,0))="Fill","CEO / COO / GM, ","")IF(INDEX('MOA role matrix'!$B$2:$D$13,4,MATCH($B242,'MOA role matrix'!$B$1:$D$1,0))="If finance","CEO / COO / GM (if finance), ","")IF(INDEX('MOA role matrix'!$B$2:$D$13,4,MATCH($B242,'MOA role matrix'!$B$1:$D$1,0))="Auto","CEO / COO / GM (auto), ","")IF(INDEX('MOA role matrix'!$B$2:$D$13,5,MATCH($B242,'MOA role matrix'!$B$1:$D$1,0))="Fill","Board member 1, ","")IF(INDEX('MOA role matrix'!$B$2:$D$13,5,MATCH($B242,'MOA role matrix'!$B$1:$D$1,0))="If finance","Board member 1 (if finance), ","")IF(INDEX('MOA role matrix'!$B$2:$D$13,5,MATCH($B242,'MOA role matrix'!$B$1:$D$1,0))="Auto","Board member 1 (auto), ","")IF(INDEX('MOA role matrix'!$B$2:$D$13,6,MATCH($B242,'MOA role matrix'!$B$1:$D$1,0))="Fill","Board member 2, ","")IF(INDEX('MOA role matrix'!$B$2:$D$13,6,MATCH($B242,'MOA role matrix'!$B$1:$D$1,0))="If finance","Board member 2 (if finance), ","")IF(INDEX('MOA role matrix'!$B$2:$D$13,6,MATCH($B242,'MOA role matrix'!$B$1:$D$1,0))="Auto","Board member 2 (auto), ","")IF(INDEX('MOA role matrix'!$B$2:$D$13,7,MATCH($B242,'MOA role matrix'!$B$1:$D$1,0))="Fill","LOA holder 1, ","")IF(INDEX('MOA role matrix'!$B$2:$D$13,7,MATCH($B242,'MOA role matrix'!$B$1:$D$1,0))="If finance","LOA holder 1 (if finance), ","")IF(INDEX('MOA role matrix'!$B$2:$D$13,7,MATCH($B242,'MOA role matrix'!$B$1:$D$1,0))="Auto","LOA holder 1 (auto), ","")IF(INDEX('MOA role matrix'!$B$2:$D$13,8,MATCH($B242,'MOA role matrix'!$B$1:$D$1,0))="Fill","LOA holder 2, ","")IF(INDEX('MOA role matrix'!$B$2:$D$13,8,MATCH($B242,'MOA role matrix'!$B$1:$D$1,0))="If finance","LOA holder 2 (if finance), ","")IF(INDEX('MOA role matrix'!$B$2:$D$13,8,MATCH($B242,'MOA role matrix'!$B$1:$D$1,0))="Auto","LOA holder 2 (auto), ","")IF(INDEX('MOA role matrix'!$B$2:$D$13,9,MATCH($B242,'MOA role matrix'!$B$1:$D$1,0))="Fill","Senior Manager CoSec, ","")IF(INDEX('MOA role matrix'!$B$2:$D$13,9,MATCH($B242,'MOA role matrix'!$B$1:$D$1,0))="If finance","Senior Manager CoSec (if finance), ","")IF(INDEX('MOA role matrix'!$B$2:$D$13,9,MATCH($B242,'MOA role matrix'!$B$1:$D$1,0))="Auto","Senior Manager CoSec (auto), ","")IF(INDEX('MOA role matrix'!$B$2:$D$13,10,MATCH($B242,'MOA role matrix'!$B$1:$D$1,0))="Fill","Division MOI managers, ","")IF(INDEX('MOA role matrix'!$B$2:$D$13,10,MATCH($B242,'MOA role matrix'!$B$1:$D$1,0))="If finance","Division MOI managers (if finance), ","")IF(INDEX('MOA role matrix'!$B$2:$D$13,10,MATCH($B242,'MOA role matrix'!$B$1:$D$1,0))="Auto","Division MOI managers (auto), ","")IF(INDEX('MOA role matrix'!$B$2:$D$13,11,MATCH($B242,'MOA role matrix'!$B$1:$D$1,0))="Fill","Ms Teh (bank), ","")IF(INDEX('MOA role matrix'!$B$2:$D$13,11,MATCH($B242,'MOA role matrix'!$B$1:$D$1,0))="If finance","Ms Teh (bank) (if finance), ","")IF(INDEX('MOA role matrix'!$B$2:$D$13,11,MATCH($B242,'MOA role matrix'!$B$1:$D$1,0))="Auto","Ms Teh (bank) (auto), ","")IF(INDEX('MOA role matrix'!$B$2:$D$13,12,MATCH($B242,'MOA role matrix'!$B$1:$D$1,0))="Fill","DLCM, ","")IF(INDEX('MOA role matrix'!$B$2:$D$13,12,MATCH($B242,'MOA role matrix'!$B$1:$D$1,0))="If finance","DLCM (if finance), ","")IF(INDEX('MOA role matrix'!$B$2:$D$13,12,MATCH($B242,'MOA role matrix'!$B$1:$D$1,0))="Auto","DLCM (auto), ","")))</f>
        <v/>
      </c>
      <c r="D242" s="5">
        <f>IF($A242="","",IFERROR(INDEX(FILTER('Client contacts'!$B$2:$B$500,('Client contacts'!$A$2:$A$500=$A242)*('Client contacts'!$H$2:$H$500="Y"),""),1),""))</f>
        <v/>
      </c>
      <c r="E242" s="5">
        <f>IF($A242="","",IFERROR(INDEX(FILTER('Client contacts'!$C$2:$C$500,('Client contacts'!$A$2:$A$500=$A242)*('Client contacts'!$H$2:$H$500="Y"),""),1),""))</f>
        <v/>
      </c>
      <c r="F242" s="5">
        <f>IF($A242="","",IFERROR(INDEX(FILTER('Client contacts'!$B$2:$B$500,('Client contacts'!$A$2:$A$500=$A242)*('Client contacts'!$G$2:$G$500="Y"),""),1),""))</f>
        <v/>
      </c>
      <c r="G242" s="5">
        <f>IF($A242="","",IFERROR(INDEX(FILTER('Client contacts'!$C$2:$C$500,('Client contacts'!$A$2:$A$500=$A242)*('Client contacts'!$G$2:$G$500="Y"),""),1),""))</f>
        <v/>
      </c>
      <c r="H242" s="5">
        <f>IF($A242="","",IFERROR(INDEX(FILTER('Client contacts'!$B$2:$B$500,('Client contacts'!$A$2:$A$500=$A242)*('Client contacts'!$G$2:$G$500="Y"),""),2),""))</f>
        <v/>
      </c>
      <c r="I242" s="5">
        <f>IF($A242="","",IFERROR(INDEX(FILTER('Client contacts'!$C$2:$C$500,('Client contacts'!$A$2:$A$500=$A242)*('Client contacts'!$G$2:$G$500="Y"),""),2),""))</f>
        <v/>
      </c>
      <c r="J242" s="8" t="n"/>
      <c r="K242" s="8" t="n"/>
      <c r="L242" s="8" t="n"/>
      <c r="M242" s="8" t="n"/>
      <c r="N242" s="8" t="n"/>
      <c r="O242" s="8" t="n"/>
      <c r="P242" s="8" t="n"/>
      <c r="Q242" s="8" t="n"/>
      <c r="R242" s="5">
        <f>IF($A242="","",IFERROR(INDEX(Companies!$I$2:$I$500,MATCH($A242,Companies!$A$2:$A$500,0)),""))</f>
        <v/>
      </c>
      <c r="S242" s="8" t="n"/>
      <c r="T242" s="8" t="n"/>
      <c r="U242" s="8" t="n"/>
      <c r="V242" s="8" t="n"/>
      <c r="W242" s="8" t="n"/>
    </row>
    <row r="243">
      <c r="C243" s="5">
        <f>IF($B243="","",TRIM(IF(INDEX('MOA role matrix'!$B$2:$D$13,1,MATCH($B243,'MOA role matrix'!$B$1:$D$1,0))="Fill","Project initiator, ","")IF(INDEX('MOA role matrix'!$B$2:$D$13,1,MATCH($B243,'MOA role matrix'!$B$1:$D$1,0))="If finance","Project initiator (if finance), ","")IF(INDEX('MOA role matrix'!$B$2:$D$13,1,MATCH($B243,'MOA role matrix'!$B$1:$D$1,0))="Auto","Project initiator (auto), ","")IF(INDEX('MOA role matrix'!$B$2:$D$13,2,MATCH($B243,'MOA role matrix'!$B$1:$D$1,0))="Fill","MOA signers (client), ","")IF(INDEX('MOA role matrix'!$B$2:$D$13,2,MATCH($B243,'MOA role matrix'!$B$1:$D$1,0))="If finance","MOA signers (client) (if finance), ","")IF(INDEX('MOA role matrix'!$B$2:$D$13,2,MATCH($B243,'MOA role matrix'!$B$1:$D$1,0))="Auto","MOA signers (client) (auto), ","")IF(INDEX('MOA role matrix'!$B$2:$D$13,3,MATCH($B243,'MOA role matrix'!$B$1:$D$1,0))="Fill","CFO / Head of Finance, ","")IF(INDEX('MOA role matrix'!$B$2:$D$13,3,MATCH($B243,'MOA role matrix'!$B$1:$D$1,0))="If finance","CFO / Head of Finance (if finance), ","")IF(INDEX('MOA role matrix'!$B$2:$D$13,3,MATCH($B243,'MOA role matrix'!$B$1:$D$1,0))="Auto","CFO / Head of Finance (auto), ","")IF(INDEX('MOA role matrix'!$B$2:$D$13,4,MATCH($B243,'MOA role matrix'!$B$1:$D$1,0))="Fill","CEO / COO / GM, ","")IF(INDEX('MOA role matrix'!$B$2:$D$13,4,MATCH($B243,'MOA role matrix'!$B$1:$D$1,0))="If finance","CEO / COO / GM (if finance), ","")IF(INDEX('MOA role matrix'!$B$2:$D$13,4,MATCH($B243,'MOA role matrix'!$B$1:$D$1,0))="Auto","CEO / COO / GM (auto), ","")IF(INDEX('MOA role matrix'!$B$2:$D$13,5,MATCH($B243,'MOA role matrix'!$B$1:$D$1,0))="Fill","Board member 1, ","")IF(INDEX('MOA role matrix'!$B$2:$D$13,5,MATCH($B243,'MOA role matrix'!$B$1:$D$1,0))="If finance","Board member 1 (if finance), ","")IF(INDEX('MOA role matrix'!$B$2:$D$13,5,MATCH($B243,'MOA role matrix'!$B$1:$D$1,0))="Auto","Board member 1 (auto), ","")IF(INDEX('MOA role matrix'!$B$2:$D$13,6,MATCH($B243,'MOA role matrix'!$B$1:$D$1,0))="Fill","Board member 2, ","")IF(INDEX('MOA role matrix'!$B$2:$D$13,6,MATCH($B243,'MOA role matrix'!$B$1:$D$1,0))="If finance","Board member 2 (if finance), ","")IF(INDEX('MOA role matrix'!$B$2:$D$13,6,MATCH($B243,'MOA role matrix'!$B$1:$D$1,0))="Auto","Board member 2 (auto), ","")IF(INDEX('MOA role matrix'!$B$2:$D$13,7,MATCH($B243,'MOA role matrix'!$B$1:$D$1,0))="Fill","LOA holder 1, ","")IF(INDEX('MOA role matrix'!$B$2:$D$13,7,MATCH($B243,'MOA role matrix'!$B$1:$D$1,0))="If finance","LOA holder 1 (if finance), ","")IF(INDEX('MOA role matrix'!$B$2:$D$13,7,MATCH($B243,'MOA role matrix'!$B$1:$D$1,0))="Auto","LOA holder 1 (auto), ","")IF(INDEX('MOA role matrix'!$B$2:$D$13,8,MATCH($B243,'MOA role matrix'!$B$1:$D$1,0))="Fill","LOA holder 2, ","")IF(INDEX('MOA role matrix'!$B$2:$D$13,8,MATCH($B243,'MOA role matrix'!$B$1:$D$1,0))="If finance","LOA holder 2 (if finance), ","")IF(INDEX('MOA role matrix'!$B$2:$D$13,8,MATCH($B243,'MOA role matrix'!$B$1:$D$1,0))="Auto","LOA holder 2 (auto), ","")IF(INDEX('MOA role matrix'!$B$2:$D$13,9,MATCH($B243,'MOA role matrix'!$B$1:$D$1,0))="Fill","Senior Manager CoSec, ","")IF(INDEX('MOA role matrix'!$B$2:$D$13,9,MATCH($B243,'MOA role matrix'!$B$1:$D$1,0))="If finance","Senior Manager CoSec (if finance), ","")IF(INDEX('MOA role matrix'!$B$2:$D$13,9,MATCH($B243,'MOA role matrix'!$B$1:$D$1,0))="Auto","Senior Manager CoSec (auto), ","")IF(INDEX('MOA role matrix'!$B$2:$D$13,10,MATCH($B243,'MOA role matrix'!$B$1:$D$1,0))="Fill","Division MOI managers, ","")IF(INDEX('MOA role matrix'!$B$2:$D$13,10,MATCH($B243,'MOA role matrix'!$B$1:$D$1,0))="If finance","Division MOI managers (if finance), ","")IF(INDEX('MOA role matrix'!$B$2:$D$13,10,MATCH($B243,'MOA role matrix'!$B$1:$D$1,0))="Auto","Division MOI managers (auto), ","")IF(INDEX('MOA role matrix'!$B$2:$D$13,11,MATCH($B243,'MOA role matrix'!$B$1:$D$1,0))="Fill","Ms Teh (bank), ","")IF(INDEX('MOA role matrix'!$B$2:$D$13,11,MATCH($B243,'MOA role matrix'!$B$1:$D$1,0))="If finance","Ms Teh (bank) (if finance), ","")IF(INDEX('MOA role matrix'!$B$2:$D$13,11,MATCH($B243,'MOA role matrix'!$B$1:$D$1,0))="Auto","Ms Teh (bank) (auto), ","")IF(INDEX('MOA role matrix'!$B$2:$D$13,12,MATCH($B243,'MOA role matrix'!$B$1:$D$1,0))="Fill","DLCM, ","")IF(INDEX('MOA role matrix'!$B$2:$D$13,12,MATCH($B243,'MOA role matrix'!$B$1:$D$1,0))="If finance","DLCM (if finance), ","")IF(INDEX('MOA role matrix'!$B$2:$D$13,12,MATCH($B243,'MOA role matrix'!$B$1:$D$1,0))="Auto","DLCM (auto), ","")))</f>
        <v/>
      </c>
      <c r="D243" s="5">
        <f>IF($A243="","",IFERROR(INDEX(FILTER('Client contacts'!$B$2:$B$500,('Client contacts'!$A$2:$A$500=$A243)*('Client contacts'!$H$2:$H$500="Y"),""),1),""))</f>
        <v/>
      </c>
      <c r="E243" s="5">
        <f>IF($A243="","",IFERROR(INDEX(FILTER('Client contacts'!$C$2:$C$500,('Client contacts'!$A$2:$A$500=$A243)*('Client contacts'!$H$2:$H$500="Y"),""),1),""))</f>
        <v/>
      </c>
      <c r="F243" s="5">
        <f>IF($A243="","",IFERROR(INDEX(FILTER('Client contacts'!$B$2:$B$500,('Client contacts'!$A$2:$A$500=$A243)*('Client contacts'!$G$2:$G$500="Y"),""),1),""))</f>
        <v/>
      </c>
      <c r="G243" s="5">
        <f>IF($A243="","",IFERROR(INDEX(FILTER('Client contacts'!$C$2:$C$500,('Client contacts'!$A$2:$A$500=$A243)*('Client contacts'!$G$2:$G$500="Y"),""),1),""))</f>
        <v/>
      </c>
      <c r="H243" s="5">
        <f>IF($A243="","",IFERROR(INDEX(FILTER('Client contacts'!$B$2:$B$500,('Client contacts'!$A$2:$A$500=$A243)*('Client contacts'!$G$2:$G$500="Y"),""),2),""))</f>
        <v/>
      </c>
      <c r="I243" s="5">
        <f>IF($A243="","",IFERROR(INDEX(FILTER('Client contacts'!$C$2:$C$500,('Client contacts'!$A$2:$A$500=$A243)*('Client contacts'!$G$2:$G$500="Y"),""),2),""))</f>
        <v/>
      </c>
      <c r="J243" s="8" t="n"/>
      <c r="K243" s="8" t="n"/>
      <c r="L243" s="8" t="n"/>
      <c r="M243" s="8" t="n"/>
      <c r="N243" s="8" t="n"/>
      <c r="O243" s="8" t="n"/>
      <c r="P243" s="8" t="n"/>
      <c r="Q243" s="8" t="n"/>
      <c r="R243" s="5">
        <f>IF($A243="","",IFERROR(INDEX(Companies!$I$2:$I$500,MATCH($A243,Companies!$A$2:$A$500,0)),""))</f>
        <v/>
      </c>
      <c r="S243" s="8" t="n"/>
      <c r="T243" s="8" t="n"/>
      <c r="U243" s="8" t="n"/>
      <c r="V243" s="8" t="n"/>
      <c r="W243" s="8" t="n"/>
    </row>
    <row r="244">
      <c r="C244" s="5">
        <f>IF($B244="","",TRIM(IF(INDEX('MOA role matrix'!$B$2:$D$13,1,MATCH($B244,'MOA role matrix'!$B$1:$D$1,0))="Fill","Project initiator, ","")IF(INDEX('MOA role matrix'!$B$2:$D$13,1,MATCH($B244,'MOA role matrix'!$B$1:$D$1,0))="If finance","Project initiator (if finance), ","")IF(INDEX('MOA role matrix'!$B$2:$D$13,1,MATCH($B244,'MOA role matrix'!$B$1:$D$1,0))="Auto","Project initiator (auto), ","")IF(INDEX('MOA role matrix'!$B$2:$D$13,2,MATCH($B244,'MOA role matrix'!$B$1:$D$1,0))="Fill","MOA signers (client), ","")IF(INDEX('MOA role matrix'!$B$2:$D$13,2,MATCH($B244,'MOA role matrix'!$B$1:$D$1,0))="If finance","MOA signers (client) (if finance), ","")IF(INDEX('MOA role matrix'!$B$2:$D$13,2,MATCH($B244,'MOA role matrix'!$B$1:$D$1,0))="Auto","MOA signers (client) (auto), ","")IF(INDEX('MOA role matrix'!$B$2:$D$13,3,MATCH($B244,'MOA role matrix'!$B$1:$D$1,0))="Fill","CFO / Head of Finance, ","")IF(INDEX('MOA role matrix'!$B$2:$D$13,3,MATCH($B244,'MOA role matrix'!$B$1:$D$1,0))="If finance","CFO / Head of Finance (if finance), ","")IF(INDEX('MOA role matrix'!$B$2:$D$13,3,MATCH($B244,'MOA role matrix'!$B$1:$D$1,0))="Auto","CFO / Head of Finance (auto), ","")IF(INDEX('MOA role matrix'!$B$2:$D$13,4,MATCH($B244,'MOA role matrix'!$B$1:$D$1,0))="Fill","CEO / COO / GM, ","")IF(INDEX('MOA role matrix'!$B$2:$D$13,4,MATCH($B244,'MOA role matrix'!$B$1:$D$1,0))="If finance","CEO / COO / GM (if finance), ","")IF(INDEX('MOA role matrix'!$B$2:$D$13,4,MATCH($B244,'MOA role matrix'!$B$1:$D$1,0))="Auto","CEO / COO / GM (auto), ","")IF(INDEX('MOA role matrix'!$B$2:$D$13,5,MATCH($B244,'MOA role matrix'!$B$1:$D$1,0))="Fill","Board member 1, ","")IF(INDEX('MOA role matrix'!$B$2:$D$13,5,MATCH($B244,'MOA role matrix'!$B$1:$D$1,0))="If finance","Board member 1 (if finance), ","")IF(INDEX('MOA role matrix'!$B$2:$D$13,5,MATCH($B244,'MOA role matrix'!$B$1:$D$1,0))="Auto","Board member 1 (auto), ","")IF(INDEX('MOA role matrix'!$B$2:$D$13,6,MATCH($B244,'MOA role matrix'!$B$1:$D$1,0))="Fill","Board member 2, ","")IF(INDEX('MOA role matrix'!$B$2:$D$13,6,MATCH($B244,'MOA role matrix'!$B$1:$D$1,0))="If finance","Board member 2 (if finance), ","")IF(INDEX('MOA role matrix'!$B$2:$D$13,6,MATCH($B244,'MOA role matrix'!$B$1:$D$1,0))="Auto","Board member 2 (auto), ","")IF(INDEX('MOA role matrix'!$B$2:$D$13,7,MATCH($B244,'MOA role matrix'!$B$1:$D$1,0))="Fill","LOA holder 1, ","")IF(INDEX('MOA role matrix'!$B$2:$D$13,7,MATCH($B244,'MOA role matrix'!$B$1:$D$1,0))="If finance","LOA holder 1 (if finance), ","")IF(INDEX('MOA role matrix'!$B$2:$D$13,7,MATCH($B244,'MOA role matrix'!$B$1:$D$1,0))="Auto","LOA holder 1 (auto), ","")IF(INDEX('MOA role matrix'!$B$2:$D$13,8,MATCH($B244,'MOA role matrix'!$B$1:$D$1,0))="Fill","LOA holder 2, ","")IF(INDEX('MOA role matrix'!$B$2:$D$13,8,MATCH($B244,'MOA role matrix'!$B$1:$D$1,0))="If finance","LOA holder 2 (if finance), ","")IF(INDEX('MOA role matrix'!$B$2:$D$13,8,MATCH($B244,'MOA role matrix'!$B$1:$D$1,0))="Auto","LOA holder 2 (auto), ","")IF(INDEX('MOA role matrix'!$B$2:$D$13,9,MATCH($B244,'MOA role matrix'!$B$1:$D$1,0))="Fill","Senior Manager CoSec, ","")IF(INDEX('MOA role matrix'!$B$2:$D$13,9,MATCH($B244,'MOA role matrix'!$B$1:$D$1,0))="If finance","Senior Manager CoSec (if finance), ","")IF(INDEX('MOA role matrix'!$B$2:$D$13,9,MATCH($B244,'MOA role matrix'!$B$1:$D$1,0))="Auto","Senior Manager CoSec (auto), ","")IF(INDEX('MOA role matrix'!$B$2:$D$13,10,MATCH($B244,'MOA role matrix'!$B$1:$D$1,0))="Fill","Division MOI managers, ","")IF(INDEX('MOA role matrix'!$B$2:$D$13,10,MATCH($B244,'MOA role matrix'!$B$1:$D$1,0))="If finance","Division MOI managers (if finance), ","")IF(INDEX('MOA role matrix'!$B$2:$D$13,10,MATCH($B244,'MOA role matrix'!$B$1:$D$1,0))="Auto","Division MOI managers (auto), ","")IF(INDEX('MOA role matrix'!$B$2:$D$13,11,MATCH($B244,'MOA role matrix'!$B$1:$D$1,0))="Fill","Ms Teh (bank), ","")IF(INDEX('MOA role matrix'!$B$2:$D$13,11,MATCH($B244,'MOA role matrix'!$B$1:$D$1,0))="If finance","Ms Teh (bank) (if finance), ","")IF(INDEX('MOA role matrix'!$B$2:$D$13,11,MATCH($B244,'MOA role matrix'!$B$1:$D$1,0))="Auto","Ms Teh (bank) (auto), ","")IF(INDEX('MOA role matrix'!$B$2:$D$13,12,MATCH($B244,'MOA role matrix'!$B$1:$D$1,0))="Fill","DLCM, ","")IF(INDEX('MOA role matrix'!$B$2:$D$13,12,MATCH($B244,'MOA role matrix'!$B$1:$D$1,0))="If finance","DLCM (if finance), ","")IF(INDEX('MOA role matrix'!$B$2:$D$13,12,MATCH($B244,'MOA role matrix'!$B$1:$D$1,0))="Auto","DLCM (auto), ","")))</f>
        <v/>
      </c>
      <c r="D244" s="5">
        <f>IF($A244="","",IFERROR(INDEX(FILTER('Client contacts'!$B$2:$B$500,('Client contacts'!$A$2:$A$500=$A244)*('Client contacts'!$H$2:$H$500="Y"),""),1),""))</f>
        <v/>
      </c>
      <c r="E244" s="5">
        <f>IF($A244="","",IFERROR(INDEX(FILTER('Client contacts'!$C$2:$C$500,('Client contacts'!$A$2:$A$500=$A244)*('Client contacts'!$H$2:$H$500="Y"),""),1),""))</f>
        <v/>
      </c>
      <c r="F244" s="5">
        <f>IF($A244="","",IFERROR(INDEX(FILTER('Client contacts'!$B$2:$B$500,('Client contacts'!$A$2:$A$500=$A244)*('Client contacts'!$G$2:$G$500="Y"),""),1),""))</f>
        <v/>
      </c>
      <c r="G244" s="5">
        <f>IF($A244="","",IFERROR(INDEX(FILTER('Client contacts'!$C$2:$C$500,('Client contacts'!$A$2:$A$500=$A244)*('Client contacts'!$G$2:$G$500="Y"),""),1),""))</f>
        <v/>
      </c>
      <c r="H244" s="5">
        <f>IF($A244="","",IFERROR(INDEX(FILTER('Client contacts'!$B$2:$B$500,('Client contacts'!$A$2:$A$500=$A244)*('Client contacts'!$G$2:$G$500="Y"),""),2),""))</f>
        <v/>
      </c>
      <c r="I244" s="5">
        <f>IF($A244="","",IFERROR(INDEX(FILTER('Client contacts'!$C$2:$C$500,('Client contacts'!$A$2:$A$500=$A244)*('Client contacts'!$G$2:$G$500="Y"),""),2),""))</f>
        <v/>
      </c>
      <c r="J244" s="8" t="n"/>
      <c r="K244" s="8" t="n"/>
      <c r="L244" s="8" t="n"/>
      <c r="M244" s="8" t="n"/>
      <c r="N244" s="8" t="n"/>
      <c r="O244" s="8" t="n"/>
      <c r="P244" s="8" t="n"/>
      <c r="Q244" s="8" t="n"/>
      <c r="R244" s="5">
        <f>IF($A244="","",IFERROR(INDEX(Companies!$I$2:$I$500,MATCH($A244,Companies!$A$2:$A$500,0)),""))</f>
        <v/>
      </c>
      <c r="S244" s="8" t="n"/>
      <c r="T244" s="8" t="n"/>
      <c r="U244" s="8" t="n"/>
      <c r="V244" s="8" t="n"/>
      <c r="W244" s="8" t="n"/>
    </row>
    <row r="245">
      <c r="C245" s="5">
        <f>IF($B245="","",TRIM(IF(INDEX('MOA role matrix'!$B$2:$D$13,1,MATCH($B245,'MOA role matrix'!$B$1:$D$1,0))="Fill","Project initiator, ","")IF(INDEX('MOA role matrix'!$B$2:$D$13,1,MATCH($B245,'MOA role matrix'!$B$1:$D$1,0))="If finance","Project initiator (if finance), ","")IF(INDEX('MOA role matrix'!$B$2:$D$13,1,MATCH($B245,'MOA role matrix'!$B$1:$D$1,0))="Auto","Project initiator (auto), ","")IF(INDEX('MOA role matrix'!$B$2:$D$13,2,MATCH($B245,'MOA role matrix'!$B$1:$D$1,0))="Fill","MOA signers (client), ","")IF(INDEX('MOA role matrix'!$B$2:$D$13,2,MATCH($B245,'MOA role matrix'!$B$1:$D$1,0))="If finance","MOA signers (client) (if finance), ","")IF(INDEX('MOA role matrix'!$B$2:$D$13,2,MATCH($B245,'MOA role matrix'!$B$1:$D$1,0))="Auto","MOA signers (client) (auto), ","")IF(INDEX('MOA role matrix'!$B$2:$D$13,3,MATCH($B245,'MOA role matrix'!$B$1:$D$1,0))="Fill","CFO / Head of Finance, ","")IF(INDEX('MOA role matrix'!$B$2:$D$13,3,MATCH($B245,'MOA role matrix'!$B$1:$D$1,0))="If finance","CFO / Head of Finance (if finance), ","")IF(INDEX('MOA role matrix'!$B$2:$D$13,3,MATCH($B245,'MOA role matrix'!$B$1:$D$1,0))="Auto","CFO / Head of Finance (auto), ","")IF(INDEX('MOA role matrix'!$B$2:$D$13,4,MATCH($B245,'MOA role matrix'!$B$1:$D$1,0))="Fill","CEO / COO / GM, ","")IF(INDEX('MOA role matrix'!$B$2:$D$13,4,MATCH($B245,'MOA role matrix'!$B$1:$D$1,0))="If finance","CEO / COO / GM (if finance), ","")IF(INDEX('MOA role matrix'!$B$2:$D$13,4,MATCH($B245,'MOA role matrix'!$B$1:$D$1,0))="Auto","CEO / COO / GM (auto), ","")IF(INDEX('MOA role matrix'!$B$2:$D$13,5,MATCH($B245,'MOA role matrix'!$B$1:$D$1,0))="Fill","Board member 1, ","")IF(INDEX('MOA role matrix'!$B$2:$D$13,5,MATCH($B245,'MOA role matrix'!$B$1:$D$1,0))="If finance","Board member 1 (if finance), ","")IF(INDEX('MOA role matrix'!$B$2:$D$13,5,MATCH($B245,'MOA role matrix'!$B$1:$D$1,0))="Auto","Board member 1 (auto), ","")IF(INDEX('MOA role matrix'!$B$2:$D$13,6,MATCH($B245,'MOA role matrix'!$B$1:$D$1,0))="Fill","Board member 2, ","")IF(INDEX('MOA role matrix'!$B$2:$D$13,6,MATCH($B245,'MOA role matrix'!$B$1:$D$1,0))="If finance","Board member 2 (if finance), ","")IF(INDEX('MOA role matrix'!$B$2:$D$13,6,MATCH($B245,'MOA role matrix'!$B$1:$D$1,0))="Auto","Board member 2 (auto), ","")IF(INDEX('MOA role matrix'!$B$2:$D$13,7,MATCH($B245,'MOA role matrix'!$B$1:$D$1,0))="Fill","LOA holder 1, ","")IF(INDEX('MOA role matrix'!$B$2:$D$13,7,MATCH($B245,'MOA role matrix'!$B$1:$D$1,0))="If finance","LOA holder 1 (if finance), ","")IF(INDEX('MOA role matrix'!$B$2:$D$13,7,MATCH($B245,'MOA role matrix'!$B$1:$D$1,0))="Auto","LOA holder 1 (auto), ","")IF(INDEX('MOA role matrix'!$B$2:$D$13,8,MATCH($B245,'MOA role matrix'!$B$1:$D$1,0))="Fill","LOA holder 2, ","")IF(INDEX('MOA role matrix'!$B$2:$D$13,8,MATCH($B245,'MOA role matrix'!$B$1:$D$1,0))="If finance","LOA holder 2 (if finance), ","")IF(INDEX('MOA role matrix'!$B$2:$D$13,8,MATCH($B245,'MOA role matrix'!$B$1:$D$1,0))="Auto","LOA holder 2 (auto), ","")IF(INDEX('MOA role matrix'!$B$2:$D$13,9,MATCH($B245,'MOA role matrix'!$B$1:$D$1,0))="Fill","Senior Manager CoSec, ","")IF(INDEX('MOA role matrix'!$B$2:$D$13,9,MATCH($B245,'MOA role matrix'!$B$1:$D$1,0))="If finance","Senior Manager CoSec (if finance), ","")IF(INDEX('MOA role matrix'!$B$2:$D$13,9,MATCH($B245,'MOA role matrix'!$B$1:$D$1,0))="Auto","Senior Manager CoSec (auto), ","")IF(INDEX('MOA role matrix'!$B$2:$D$13,10,MATCH($B245,'MOA role matrix'!$B$1:$D$1,0))="Fill","Division MOI managers, ","")IF(INDEX('MOA role matrix'!$B$2:$D$13,10,MATCH($B245,'MOA role matrix'!$B$1:$D$1,0))="If finance","Division MOI managers (if finance), ","")IF(INDEX('MOA role matrix'!$B$2:$D$13,10,MATCH($B245,'MOA role matrix'!$B$1:$D$1,0))="Auto","Division MOI managers (auto), ","")IF(INDEX('MOA role matrix'!$B$2:$D$13,11,MATCH($B245,'MOA role matrix'!$B$1:$D$1,0))="Fill","Ms Teh (bank), ","")IF(INDEX('MOA role matrix'!$B$2:$D$13,11,MATCH($B245,'MOA role matrix'!$B$1:$D$1,0))="If finance","Ms Teh (bank) (if finance), ","")IF(INDEX('MOA role matrix'!$B$2:$D$13,11,MATCH($B245,'MOA role matrix'!$B$1:$D$1,0))="Auto","Ms Teh (bank) (auto), ","")IF(INDEX('MOA role matrix'!$B$2:$D$13,12,MATCH($B245,'MOA role matrix'!$B$1:$D$1,0))="Fill","DLCM, ","")IF(INDEX('MOA role matrix'!$B$2:$D$13,12,MATCH($B245,'MOA role matrix'!$B$1:$D$1,0))="If finance","DLCM (if finance), ","")IF(INDEX('MOA role matrix'!$B$2:$D$13,12,MATCH($B245,'MOA role matrix'!$B$1:$D$1,0))="Auto","DLCM (auto), ","")))</f>
        <v/>
      </c>
      <c r="D245" s="5">
        <f>IF($A245="","",IFERROR(INDEX(FILTER('Client contacts'!$B$2:$B$500,('Client contacts'!$A$2:$A$500=$A245)*('Client contacts'!$H$2:$H$500="Y"),""),1),""))</f>
        <v/>
      </c>
      <c r="E245" s="5">
        <f>IF($A245="","",IFERROR(INDEX(FILTER('Client contacts'!$C$2:$C$500,('Client contacts'!$A$2:$A$500=$A245)*('Client contacts'!$H$2:$H$500="Y"),""),1),""))</f>
        <v/>
      </c>
      <c r="F245" s="5">
        <f>IF($A245="","",IFERROR(INDEX(FILTER('Client contacts'!$B$2:$B$500,('Client contacts'!$A$2:$A$500=$A245)*('Client contacts'!$G$2:$G$500="Y"),""),1),""))</f>
        <v/>
      </c>
      <c r="G245" s="5">
        <f>IF($A245="","",IFERROR(INDEX(FILTER('Client contacts'!$C$2:$C$500,('Client contacts'!$A$2:$A$500=$A245)*('Client contacts'!$G$2:$G$500="Y"),""),1),""))</f>
        <v/>
      </c>
      <c r="H245" s="5">
        <f>IF($A245="","",IFERROR(INDEX(FILTER('Client contacts'!$B$2:$B$500,('Client contacts'!$A$2:$A$500=$A245)*('Client contacts'!$G$2:$G$500="Y"),""),2),""))</f>
        <v/>
      </c>
      <c r="I245" s="5">
        <f>IF($A245="","",IFERROR(INDEX(FILTER('Client contacts'!$C$2:$C$500,('Client contacts'!$A$2:$A$500=$A245)*('Client contacts'!$G$2:$G$500="Y"),""),2),""))</f>
        <v/>
      </c>
      <c r="J245" s="8" t="n"/>
      <c r="K245" s="8" t="n"/>
      <c r="L245" s="8" t="n"/>
      <c r="M245" s="8" t="n"/>
      <c r="N245" s="8" t="n"/>
      <c r="O245" s="8" t="n"/>
      <c r="P245" s="8" t="n"/>
      <c r="Q245" s="8" t="n"/>
      <c r="R245" s="5">
        <f>IF($A245="","",IFERROR(INDEX(Companies!$I$2:$I$500,MATCH($A245,Companies!$A$2:$A$500,0)),""))</f>
        <v/>
      </c>
      <c r="S245" s="8" t="n"/>
      <c r="T245" s="8" t="n"/>
      <c r="U245" s="8" t="n"/>
      <c r="V245" s="8" t="n"/>
      <c r="W245" s="8" t="n"/>
    </row>
    <row r="246">
      <c r="C246" s="5">
        <f>IF($B246="","",TRIM(IF(INDEX('MOA role matrix'!$B$2:$D$13,1,MATCH($B246,'MOA role matrix'!$B$1:$D$1,0))="Fill","Project initiator, ","")IF(INDEX('MOA role matrix'!$B$2:$D$13,1,MATCH($B246,'MOA role matrix'!$B$1:$D$1,0))="If finance","Project initiator (if finance), ","")IF(INDEX('MOA role matrix'!$B$2:$D$13,1,MATCH($B246,'MOA role matrix'!$B$1:$D$1,0))="Auto","Project initiator (auto), ","")IF(INDEX('MOA role matrix'!$B$2:$D$13,2,MATCH($B246,'MOA role matrix'!$B$1:$D$1,0))="Fill","MOA signers (client), ","")IF(INDEX('MOA role matrix'!$B$2:$D$13,2,MATCH($B246,'MOA role matrix'!$B$1:$D$1,0))="If finance","MOA signers (client) (if finance), ","")IF(INDEX('MOA role matrix'!$B$2:$D$13,2,MATCH($B246,'MOA role matrix'!$B$1:$D$1,0))="Auto","MOA signers (client) (auto), ","")IF(INDEX('MOA role matrix'!$B$2:$D$13,3,MATCH($B246,'MOA role matrix'!$B$1:$D$1,0))="Fill","CFO / Head of Finance, ","")IF(INDEX('MOA role matrix'!$B$2:$D$13,3,MATCH($B246,'MOA role matrix'!$B$1:$D$1,0))="If finance","CFO / Head of Finance (if finance), ","")IF(INDEX('MOA role matrix'!$B$2:$D$13,3,MATCH($B246,'MOA role matrix'!$B$1:$D$1,0))="Auto","CFO / Head of Finance (auto), ","")IF(INDEX('MOA role matrix'!$B$2:$D$13,4,MATCH($B246,'MOA role matrix'!$B$1:$D$1,0))="Fill","CEO / COO / GM, ","")IF(INDEX('MOA role matrix'!$B$2:$D$13,4,MATCH($B246,'MOA role matrix'!$B$1:$D$1,0))="If finance","CEO / COO / GM (if finance), ","")IF(INDEX('MOA role matrix'!$B$2:$D$13,4,MATCH($B246,'MOA role matrix'!$B$1:$D$1,0))="Auto","CEO / COO / GM (auto), ","")IF(INDEX('MOA role matrix'!$B$2:$D$13,5,MATCH($B246,'MOA role matrix'!$B$1:$D$1,0))="Fill","Board member 1, ","")IF(INDEX('MOA role matrix'!$B$2:$D$13,5,MATCH($B246,'MOA role matrix'!$B$1:$D$1,0))="If finance","Board member 1 (if finance), ","")IF(INDEX('MOA role matrix'!$B$2:$D$13,5,MATCH($B246,'MOA role matrix'!$B$1:$D$1,0))="Auto","Board member 1 (auto), ","")IF(INDEX('MOA role matrix'!$B$2:$D$13,6,MATCH($B246,'MOA role matrix'!$B$1:$D$1,0))="Fill","Board member 2, ","")IF(INDEX('MOA role matrix'!$B$2:$D$13,6,MATCH($B246,'MOA role matrix'!$B$1:$D$1,0))="If finance","Board member 2 (if finance), ","")IF(INDEX('MOA role matrix'!$B$2:$D$13,6,MATCH($B246,'MOA role matrix'!$B$1:$D$1,0))="Auto","Board member 2 (auto), ","")IF(INDEX('MOA role matrix'!$B$2:$D$13,7,MATCH($B246,'MOA role matrix'!$B$1:$D$1,0))="Fill","LOA holder 1, ","")IF(INDEX('MOA role matrix'!$B$2:$D$13,7,MATCH($B246,'MOA role matrix'!$B$1:$D$1,0))="If finance","LOA holder 1 (if finance), ","")IF(INDEX('MOA role matrix'!$B$2:$D$13,7,MATCH($B246,'MOA role matrix'!$B$1:$D$1,0))="Auto","LOA holder 1 (auto), ","")IF(INDEX('MOA role matrix'!$B$2:$D$13,8,MATCH($B246,'MOA role matrix'!$B$1:$D$1,0))="Fill","LOA holder 2, ","")IF(INDEX('MOA role matrix'!$B$2:$D$13,8,MATCH($B246,'MOA role matrix'!$B$1:$D$1,0))="If finance","LOA holder 2 (if finance), ","")IF(INDEX('MOA role matrix'!$B$2:$D$13,8,MATCH($B246,'MOA role matrix'!$B$1:$D$1,0))="Auto","LOA holder 2 (auto), ","")IF(INDEX('MOA role matrix'!$B$2:$D$13,9,MATCH($B246,'MOA role matrix'!$B$1:$D$1,0))="Fill","Senior Manager CoSec, ","")IF(INDEX('MOA role matrix'!$B$2:$D$13,9,MATCH($B246,'MOA role matrix'!$B$1:$D$1,0))="If finance","Senior Manager CoSec (if finance), ","")IF(INDEX('MOA role matrix'!$B$2:$D$13,9,MATCH($B246,'MOA role matrix'!$B$1:$D$1,0))="Auto","Senior Manager CoSec (auto), ","")IF(INDEX('MOA role matrix'!$B$2:$D$13,10,MATCH($B246,'MOA role matrix'!$B$1:$D$1,0))="Fill","Division MOI managers, ","")IF(INDEX('MOA role matrix'!$B$2:$D$13,10,MATCH($B246,'MOA role matrix'!$B$1:$D$1,0))="If finance","Division MOI managers (if finance), ","")IF(INDEX('MOA role matrix'!$B$2:$D$13,10,MATCH($B246,'MOA role matrix'!$B$1:$D$1,0))="Auto","Division MOI managers (auto), ","")IF(INDEX('MOA role matrix'!$B$2:$D$13,11,MATCH($B246,'MOA role matrix'!$B$1:$D$1,0))="Fill","Ms Teh (bank), ","")IF(INDEX('MOA role matrix'!$B$2:$D$13,11,MATCH($B246,'MOA role matrix'!$B$1:$D$1,0))="If finance","Ms Teh (bank) (if finance), ","")IF(INDEX('MOA role matrix'!$B$2:$D$13,11,MATCH($B246,'MOA role matrix'!$B$1:$D$1,0))="Auto","Ms Teh (bank) (auto), ","")IF(INDEX('MOA role matrix'!$B$2:$D$13,12,MATCH($B246,'MOA role matrix'!$B$1:$D$1,0))="Fill","DLCM, ","")IF(INDEX('MOA role matrix'!$B$2:$D$13,12,MATCH($B246,'MOA role matrix'!$B$1:$D$1,0))="If finance","DLCM (if finance), ","")IF(INDEX('MOA role matrix'!$B$2:$D$13,12,MATCH($B246,'MOA role matrix'!$B$1:$D$1,0))="Auto","DLCM (auto), ","")))</f>
        <v/>
      </c>
      <c r="D246" s="5">
        <f>IF($A246="","",IFERROR(INDEX(FILTER('Client contacts'!$B$2:$B$500,('Client contacts'!$A$2:$A$500=$A246)*('Client contacts'!$H$2:$H$500="Y"),""),1),""))</f>
        <v/>
      </c>
      <c r="E246" s="5">
        <f>IF($A246="","",IFERROR(INDEX(FILTER('Client contacts'!$C$2:$C$500,('Client contacts'!$A$2:$A$500=$A246)*('Client contacts'!$H$2:$H$500="Y"),""),1),""))</f>
        <v/>
      </c>
      <c r="F246" s="5">
        <f>IF($A246="","",IFERROR(INDEX(FILTER('Client contacts'!$B$2:$B$500,('Client contacts'!$A$2:$A$500=$A246)*('Client contacts'!$G$2:$G$500="Y"),""),1),""))</f>
        <v/>
      </c>
      <c r="G246" s="5">
        <f>IF($A246="","",IFERROR(INDEX(FILTER('Client contacts'!$C$2:$C$500,('Client contacts'!$A$2:$A$500=$A246)*('Client contacts'!$G$2:$G$500="Y"),""),1),""))</f>
        <v/>
      </c>
      <c r="H246" s="5">
        <f>IF($A246="","",IFERROR(INDEX(FILTER('Client contacts'!$B$2:$B$500,('Client contacts'!$A$2:$A$500=$A246)*('Client contacts'!$G$2:$G$500="Y"),""),2),""))</f>
        <v/>
      </c>
      <c r="I246" s="5">
        <f>IF($A246="","",IFERROR(INDEX(FILTER('Client contacts'!$C$2:$C$500,('Client contacts'!$A$2:$A$500=$A246)*('Client contacts'!$G$2:$G$500="Y"),""),2),""))</f>
        <v/>
      </c>
      <c r="J246" s="8" t="n"/>
      <c r="K246" s="8" t="n"/>
      <c r="L246" s="8" t="n"/>
      <c r="M246" s="8" t="n"/>
      <c r="N246" s="8" t="n"/>
      <c r="O246" s="8" t="n"/>
      <c r="P246" s="8" t="n"/>
      <c r="Q246" s="8" t="n"/>
      <c r="R246" s="5">
        <f>IF($A246="","",IFERROR(INDEX(Companies!$I$2:$I$500,MATCH($A246,Companies!$A$2:$A$500,0)),""))</f>
        <v/>
      </c>
      <c r="S246" s="8" t="n"/>
      <c r="T246" s="8" t="n"/>
      <c r="U246" s="8" t="n"/>
      <c r="V246" s="8" t="n"/>
      <c r="W246" s="8" t="n"/>
    </row>
    <row r="247">
      <c r="C247" s="5">
        <f>IF($B247="","",TRIM(IF(INDEX('MOA role matrix'!$B$2:$D$13,1,MATCH($B247,'MOA role matrix'!$B$1:$D$1,0))="Fill","Project initiator, ","")IF(INDEX('MOA role matrix'!$B$2:$D$13,1,MATCH($B247,'MOA role matrix'!$B$1:$D$1,0))="If finance","Project initiator (if finance), ","")IF(INDEX('MOA role matrix'!$B$2:$D$13,1,MATCH($B247,'MOA role matrix'!$B$1:$D$1,0))="Auto","Project initiator (auto), ","")IF(INDEX('MOA role matrix'!$B$2:$D$13,2,MATCH($B247,'MOA role matrix'!$B$1:$D$1,0))="Fill","MOA signers (client), ","")IF(INDEX('MOA role matrix'!$B$2:$D$13,2,MATCH($B247,'MOA role matrix'!$B$1:$D$1,0))="If finance","MOA signers (client) (if finance), ","")IF(INDEX('MOA role matrix'!$B$2:$D$13,2,MATCH($B247,'MOA role matrix'!$B$1:$D$1,0))="Auto","MOA signers (client) (auto), ","")IF(INDEX('MOA role matrix'!$B$2:$D$13,3,MATCH($B247,'MOA role matrix'!$B$1:$D$1,0))="Fill","CFO / Head of Finance, ","")IF(INDEX('MOA role matrix'!$B$2:$D$13,3,MATCH($B247,'MOA role matrix'!$B$1:$D$1,0))="If finance","CFO / Head of Finance (if finance), ","")IF(INDEX('MOA role matrix'!$B$2:$D$13,3,MATCH($B247,'MOA role matrix'!$B$1:$D$1,0))="Auto","CFO / Head of Finance (auto), ","")IF(INDEX('MOA role matrix'!$B$2:$D$13,4,MATCH($B247,'MOA role matrix'!$B$1:$D$1,0))="Fill","CEO / COO / GM, ","")IF(INDEX('MOA role matrix'!$B$2:$D$13,4,MATCH($B247,'MOA role matrix'!$B$1:$D$1,0))="If finance","CEO / COO / GM (if finance), ","")IF(INDEX('MOA role matrix'!$B$2:$D$13,4,MATCH($B247,'MOA role matrix'!$B$1:$D$1,0))="Auto","CEO / COO / GM (auto), ","")IF(INDEX('MOA role matrix'!$B$2:$D$13,5,MATCH($B247,'MOA role matrix'!$B$1:$D$1,0))="Fill","Board member 1, ","")IF(INDEX('MOA role matrix'!$B$2:$D$13,5,MATCH($B247,'MOA role matrix'!$B$1:$D$1,0))="If finance","Board member 1 (if finance), ","")IF(INDEX('MOA role matrix'!$B$2:$D$13,5,MATCH($B247,'MOA role matrix'!$B$1:$D$1,0))="Auto","Board member 1 (auto), ","")IF(INDEX('MOA role matrix'!$B$2:$D$13,6,MATCH($B247,'MOA role matrix'!$B$1:$D$1,0))="Fill","Board member 2, ","")IF(INDEX('MOA role matrix'!$B$2:$D$13,6,MATCH($B247,'MOA role matrix'!$B$1:$D$1,0))="If finance","Board member 2 (if finance), ","")IF(INDEX('MOA role matrix'!$B$2:$D$13,6,MATCH($B247,'MOA role matrix'!$B$1:$D$1,0))="Auto","Board member 2 (auto), ","")IF(INDEX('MOA role matrix'!$B$2:$D$13,7,MATCH($B247,'MOA role matrix'!$B$1:$D$1,0))="Fill","LOA holder 1, ","")IF(INDEX('MOA role matrix'!$B$2:$D$13,7,MATCH($B247,'MOA role matrix'!$B$1:$D$1,0))="If finance","LOA holder 1 (if finance), ","")IF(INDEX('MOA role matrix'!$B$2:$D$13,7,MATCH($B247,'MOA role matrix'!$B$1:$D$1,0))="Auto","LOA holder 1 (auto), ","")IF(INDEX('MOA role matrix'!$B$2:$D$13,8,MATCH($B247,'MOA role matrix'!$B$1:$D$1,0))="Fill","LOA holder 2, ","")IF(INDEX('MOA role matrix'!$B$2:$D$13,8,MATCH($B247,'MOA role matrix'!$B$1:$D$1,0))="If finance","LOA holder 2 (if finance), ","")IF(INDEX('MOA role matrix'!$B$2:$D$13,8,MATCH($B247,'MOA role matrix'!$B$1:$D$1,0))="Auto","LOA holder 2 (auto), ","")IF(INDEX('MOA role matrix'!$B$2:$D$13,9,MATCH($B247,'MOA role matrix'!$B$1:$D$1,0))="Fill","Senior Manager CoSec, ","")IF(INDEX('MOA role matrix'!$B$2:$D$13,9,MATCH($B247,'MOA role matrix'!$B$1:$D$1,0))="If finance","Senior Manager CoSec (if finance), ","")IF(INDEX('MOA role matrix'!$B$2:$D$13,9,MATCH($B247,'MOA role matrix'!$B$1:$D$1,0))="Auto","Senior Manager CoSec (auto), ","")IF(INDEX('MOA role matrix'!$B$2:$D$13,10,MATCH($B247,'MOA role matrix'!$B$1:$D$1,0))="Fill","Division MOI managers, ","")IF(INDEX('MOA role matrix'!$B$2:$D$13,10,MATCH($B247,'MOA role matrix'!$B$1:$D$1,0))="If finance","Division MOI managers (if finance), ","")IF(INDEX('MOA role matrix'!$B$2:$D$13,10,MATCH($B247,'MOA role matrix'!$B$1:$D$1,0))="Auto","Division MOI managers (auto), ","")IF(INDEX('MOA role matrix'!$B$2:$D$13,11,MATCH($B247,'MOA role matrix'!$B$1:$D$1,0))="Fill","Ms Teh (bank), ","")IF(INDEX('MOA role matrix'!$B$2:$D$13,11,MATCH($B247,'MOA role matrix'!$B$1:$D$1,0))="If finance","Ms Teh (bank) (if finance), ","")IF(INDEX('MOA role matrix'!$B$2:$D$13,11,MATCH($B247,'MOA role matrix'!$B$1:$D$1,0))="Auto","Ms Teh (bank) (auto), ","")IF(INDEX('MOA role matrix'!$B$2:$D$13,12,MATCH($B247,'MOA role matrix'!$B$1:$D$1,0))="Fill","DLCM, ","")IF(INDEX('MOA role matrix'!$B$2:$D$13,12,MATCH($B247,'MOA role matrix'!$B$1:$D$1,0))="If finance","DLCM (if finance), ","")IF(INDEX('MOA role matrix'!$B$2:$D$13,12,MATCH($B247,'MOA role matrix'!$B$1:$D$1,0))="Auto","DLCM (auto), ","")))</f>
        <v/>
      </c>
      <c r="D247" s="5">
        <f>IF($A247="","",IFERROR(INDEX(FILTER('Client contacts'!$B$2:$B$500,('Client contacts'!$A$2:$A$500=$A247)*('Client contacts'!$H$2:$H$500="Y"),""),1),""))</f>
        <v/>
      </c>
      <c r="E247" s="5">
        <f>IF($A247="","",IFERROR(INDEX(FILTER('Client contacts'!$C$2:$C$500,('Client contacts'!$A$2:$A$500=$A247)*('Client contacts'!$H$2:$H$500="Y"),""),1),""))</f>
        <v/>
      </c>
      <c r="F247" s="5">
        <f>IF($A247="","",IFERROR(INDEX(FILTER('Client contacts'!$B$2:$B$500,('Client contacts'!$A$2:$A$500=$A247)*('Client contacts'!$G$2:$G$500="Y"),""),1),""))</f>
        <v/>
      </c>
      <c r="G247" s="5">
        <f>IF($A247="","",IFERROR(INDEX(FILTER('Client contacts'!$C$2:$C$500,('Client contacts'!$A$2:$A$500=$A247)*('Client contacts'!$G$2:$G$500="Y"),""),1),""))</f>
        <v/>
      </c>
      <c r="H247" s="5">
        <f>IF($A247="","",IFERROR(INDEX(FILTER('Client contacts'!$B$2:$B$500,('Client contacts'!$A$2:$A$500=$A247)*('Client contacts'!$G$2:$G$500="Y"),""),2),""))</f>
        <v/>
      </c>
      <c r="I247" s="5">
        <f>IF($A247="","",IFERROR(INDEX(FILTER('Client contacts'!$C$2:$C$500,('Client contacts'!$A$2:$A$500=$A247)*('Client contacts'!$G$2:$G$500="Y"),""),2),""))</f>
        <v/>
      </c>
      <c r="J247" s="8" t="n"/>
      <c r="K247" s="8" t="n"/>
      <c r="L247" s="8" t="n"/>
      <c r="M247" s="8" t="n"/>
      <c r="N247" s="8" t="n"/>
      <c r="O247" s="8" t="n"/>
      <c r="P247" s="8" t="n"/>
      <c r="Q247" s="8" t="n"/>
      <c r="R247" s="5">
        <f>IF($A247="","",IFERROR(INDEX(Companies!$I$2:$I$500,MATCH($A247,Companies!$A$2:$A$500,0)),""))</f>
        <v/>
      </c>
      <c r="S247" s="8" t="n"/>
      <c r="T247" s="8" t="n"/>
      <c r="U247" s="8" t="n"/>
      <c r="V247" s="8" t="n"/>
      <c r="W247" s="8" t="n"/>
    </row>
    <row r="248">
      <c r="C248" s="5">
        <f>IF($B248="","",TRIM(IF(INDEX('MOA role matrix'!$B$2:$D$13,1,MATCH($B248,'MOA role matrix'!$B$1:$D$1,0))="Fill","Project initiator, ","")IF(INDEX('MOA role matrix'!$B$2:$D$13,1,MATCH($B248,'MOA role matrix'!$B$1:$D$1,0))="If finance","Project initiator (if finance), ","")IF(INDEX('MOA role matrix'!$B$2:$D$13,1,MATCH($B248,'MOA role matrix'!$B$1:$D$1,0))="Auto","Project initiator (auto), ","")IF(INDEX('MOA role matrix'!$B$2:$D$13,2,MATCH($B248,'MOA role matrix'!$B$1:$D$1,0))="Fill","MOA signers (client), ","")IF(INDEX('MOA role matrix'!$B$2:$D$13,2,MATCH($B248,'MOA role matrix'!$B$1:$D$1,0))="If finance","MOA signers (client) (if finance), ","")IF(INDEX('MOA role matrix'!$B$2:$D$13,2,MATCH($B248,'MOA role matrix'!$B$1:$D$1,0))="Auto","MOA signers (client) (auto), ","")IF(INDEX('MOA role matrix'!$B$2:$D$13,3,MATCH($B248,'MOA role matrix'!$B$1:$D$1,0))="Fill","CFO / Head of Finance, ","")IF(INDEX('MOA role matrix'!$B$2:$D$13,3,MATCH($B248,'MOA role matrix'!$B$1:$D$1,0))="If finance","CFO / Head of Finance (if finance), ","")IF(INDEX('MOA role matrix'!$B$2:$D$13,3,MATCH($B248,'MOA role matrix'!$B$1:$D$1,0))="Auto","CFO / Head of Finance (auto), ","")IF(INDEX('MOA role matrix'!$B$2:$D$13,4,MATCH($B248,'MOA role matrix'!$B$1:$D$1,0))="Fill","CEO / COO / GM, ","")IF(INDEX('MOA role matrix'!$B$2:$D$13,4,MATCH($B248,'MOA role matrix'!$B$1:$D$1,0))="If finance","CEO / COO / GM (if finance), ","")IF(INDEX('MOA role matrix'!$B$2:$D$13,4,MATCH($B248,'MOA role matrix'!$B$1:$D$1,0))="Auto","CEO / COO / GM (auto), ","")IF(INDEX('MOA role matrix'!$B$2:$D$13,5,MATCH($B248,'MOA role matrix'!$B$1:$D$1,0))="Fill","Board member 1, ","")IF(INDEX('MOA role matrix'!$B$2:$D$13,5,MATCH($B248,'MOA role matrix'!$B$1:$D$1,0))="If finance","Board member 1 (if finance), ","")IF(INDEX('MOA role matrix'!$B$2:$D$13,5,MATCH($B248,'MOA role matrix'!$B$1:$D$1,0))="Auto","Board member 1 (auto), ","")IF(INDEX('MOA role matrix'!$B$2:$D$13,6,MATCH($B248,'MOA role matrix'!$B$1:$D$1,0))="Fill","Board member 2, ","")IF(INDEX('MOA role matrix'!$B$2:$D$13,6,MATCH($B248,'MOA role matrix'!$B$1:$D$1,0))="If finance","Board member 2 (if finance), ","")IF(INDEX('MOA role matrix'!$B$2:$D$13,6,MATCH($B248,'MOA role matrix'!$B$1:$D$1,0))="Auto","Board member 2 (auto), ","")IF(INDEX('MOA role matrix'!$B$2:$D$13,7,MATCH($B248,'MOA role matrix'!$B$1:$D$1,0))="Fill","LOA holder 1, ","")IF(INDEX('MOA role matrix'!$B$2:$D$13,7,MATCH($B248,'MOA role matrix'!$B$1:$D$1,0))="If finance","LOA holder 1 (if finance), ","")IF(INDEX('MOA role matrix'!$B$2:$D$13,7,MATCH($B248,'MOA role matrix'!$B$1:$D$1,0))="Auto","LOA holder 1 (auto), ","")IF(INDEX('MOA role matrix'!$B$2:$D$13,8,MATCH($B248,'MOA role matrix'!$B$1:$D$1,0))="Fill","LOA holder 2, ","")IF(INDEX('MOA role matrix'!$B$2:$D$13,8,MATCH($B248,'MOA role matrix'!$B$1:$D$1,0))="If finance","LOA holder 2 (if finance), ","")IF(INDEX('MOA role matrix'!$B$2:$D$13,8,MATCH($B248,'MOA role matrix'!$B$1:$D$1,0))="Auto","LOA holder 2 (auto), ","")IF(INDEX('MOA role matrix'!$B$2:$D$13,9,MATCH($B248,'MOA role matrix'!$B$1:$D$1,0))="Fill","Senior Manager CoSec, ","")IF(INDEX('MOA role matrix'!$B$2:$D$13,9,MATCH($B248,'MOA role matrix'!$B$1:$D$1,0))="If finance","Senior Manager CoSec (if finance), ","")IF(INDEX('MOA role matrix'!$B$2:$D$13,9,MATCH($B248,'MOA role matrix'!$B$1:$D$1,0))="Auto","Senior Manager CoSec (auto), ","")IF(INDEX('MOA role matrix'!$B$2:$D$13,10,MATCH($B248,'MOA role matrix'!$B$1:$D$1,0))="Fill","Division MOI managers, ","")IF(INDEX('MOA role matrix'!$B$2:$D$13,10,MATCH($B248,'MOA role matrix'!$B$1:$D$1,0))="If finance","Division MOI managers (if finance), ","")IF(INDEX('MOA role matrix'!$B$2:$D$13,10,MATCH($B248,'MOA role matrix'!$B$1:$D$1,0))="Auto","Division MOI managers (auto), ","")IF(INDEX('MOA role matrix'!$B$2:$D$13,11,MATCH($B248,'MOA role matrix'!$B$1:$D$1,0))="Fill","Ms Teh (bank), ","")IF(INDEX('MOA role matrix'!$B$2:$D$13,11,MATCH($B248,'MOA role matrix'!$B$1:$D$1,0))="If finance","Ms Teh (bank) (if finance), ","")IF(INDEX('MOA role matrix'!$B$2:$D$13,11,MATCH($B248,'MOA role matrix'!$B$1:$D$1,0))="Auto","Ms Teh (bank) (auto), ","")IF(INDEX('MOA role matrix'!$B$2:$D$13,12,MATCH($B248,'MOA role matrix'!$B$1:$D$1,0))="Fill","DLCM, ","")IF(INDEX('MOA role matrix'!$B$2:$D$13,12,MATCH($B248,'MOA role matrix'!$B$1:$D$1,0))="If finance","DLCM (if finance), ","")IF(INDEX('MOA role matrix'!$B$2:$D$13,12,MATCH($B248,'MOA role matrix'!$B$1:$D$1,0))="Auto","DLCM (auto), ","")))</f>
        <v/>
      </c>
      <c r="D248" s="5">
        <f>IF($A248="","",IFERROR(INDEX(FILTER('Client contacts'!$B$2:$B$500,('Client contacts'!$A$2:$A$500=$A248)*('Client contacts'!$H$2:$H$500="Y"),""),1),""))</f>
        <v/>
      </c>
      <c r="E248" s="5">
        <f>IF($A248="","",IFERROR(INDEX(FILTER('Client contacts'!$C$2:$C$500,('Client contacts'!$A$2:$A$500=$A248)*('Client contacts'!$H$2:$H$500="Y"),""),1),""))</f>
        <v/>
      </c>
      <c r="F248" s="5">
        <f>IF($A248="","",IFERROR(INDEX(FILTER('Client contacts'!$B$2:$B$500,('Client contacts'!$A$2:$A$500=$A248)*('Client contacts'!$G$2:$G$500="Y"),""),1),""))</f>
        <v/>
      </c>
      <c r="G248" s="5">
        <f>IF($A248="","",IFERROR(INDEX(FILTER('Client contacts'!$C$2:$C$500,('Client contacts'!$A$2:$A$500=$A248)*('Client contacts'!$G$2:$G$500="Y"),""),1),""))</f>
        <v/>
      </c>
      <c r="H248" s="5">
        <f>IF($A248="","",IFERROR(INDEX(FILTER('Client contacts'!$B$2:$B$500,('Client contacts'!$A$2:$A$500=$A248)*('Client contacts'!$G$2:$G$500="Y"),""),2),""))</f>
        <v/>
      </c>
      <c r="I248" s="5">
        <f>IF($A248="","",IFERROR(INDEX(FILTER('Client contacts'!$C$2:$C$500,('Client contacts'!$A$2:$A$500=$A248)*('Client contacts'!$G$2:$G$500="Y"),""),2),""))</f>
        <v/>
      </c>
      <c r="J248" s="8" t="n"/>
      <c r="K248" s="8" t="n"/>
      <c r="L248" s="8" t="n"/>
      <c r="M248" s="8" t="n"/>
      <c r="N248" s="8" t="n"/>
      <c r="O248" s="8" t="n"/>
      <c r="P248" s="8" t="n"/>
      <c r="Q248" s="8" t="n"/>
      <c r="R248" s="5">
        <f>IF($A248="","",IFERROR(INDEX(Companies!$I$2:$I$500,MATCH($A248,Companies!$A$2:$A$500,0)),""))</f>
        <v/>
      </c>
      <c r="S248" s="8" t="n"/>
      <c r="T248" s="8" t="n"/>
      <c r="U248" s="8" t="n"/>
      <c r="V248" s="8" t="n"/>
      <c r="W248" s="8" t="n"/>
    </row>
    <row r="249">
      <c r="C249" s="5">
        <f>IF($B249="","",TRIM(IF(INDEX('MOA role matrix'!$B$2:$D$13,1,MATCH($B249,'MOA role matrix'!$B$1:$D$1,0))="Fill","Project initiator, ","")IF(INDEX('MOA role matrix'!$B$2:$D$13,1,MATCH($B249,'MOA role matrix'!$B$1:$D$1,0))="If finance","Project initiator (if finance), ","")IF(INDEX('MOA role matrix'!$B$2:$D$13,1,MATCH($B249,'MOA role matrix'!$B$1:$D$1,0))="Auto","Project initiator (auto), ","")IF(INDEX('MOA role matrix'!$B$2:$D$13,2,MATCH($B249,'MOA role matrix'!$B$1:$D$1,0))="Fill","MOA signers (client), ","")IF(INDEX('MOA role matrix'!$B$2:$D$13,2,MATCH($B249,'MOA role matrix'!$B$1:$D$1,0))="If finance","MOA signers (client) (if finance), ","")IF(INDEX('MOA role matrix'!$B$2:$D$13,2,MATCH($B249,'MOA role matrix'!$B$1:$D$1,0))="Auto","MOA signers (client) (auto), ","")IF(INDEX('MOA role matrix'!$B$2:$D$13,3,MATCH($B249,'MOA role matrix'!$B$1:$D$1,0))="Fill","CFO / Head of Finance, ","")IF(INDEX('MOA role matrix'!$B$2:$D$13,3,MATCH($B249,'MOA role matrix'!$B$1:$D$1,0))="If finance","CFO / Head of Finance (if finance), ","")IF(INDEX('MOA role matrix'!$B$2:$D$13,3,MATCH($B249,'MOA role matrix'!$B$1:$D$1,0))="Auto","CFO / Head of Finance (auto), ","")IF(INDEX('MOA role matrix'!$B$2:$D$13,4,MATCH($B249,'MOA role matrix'!$B$1:$D$1,0))="Fill","CEO / COO / GM, ","")IF(INDEX('MOA role matrix'!$B$2:$D$13,4,MATCH($B249,'MOA role matrix'!$B$1:$D$1,0))="If finance","CEO / COO / GM (if finance), ","")IF(INDEX('MOA role matrix'!$B$2:$D$13,4,MATCH($B249,'MOA role matrix'!$B$1:$D$1,0))="Auto","CEO / COO / GM (auto), ","")IF(INDEX('MOA role matrix'!$B$2:$D$13,5,MATCH($B249,'MOA role matrix'!$B$1:$D$1,0))="Fill","Board member 1, ","")IF(INDEX('MOA role matrix'!$B$2:$D$13,5,MATCH($B249,'MOA role matrix'!$B$1:$D$1,0))="If finance","Board member 1 (if finance), ","")IF(INDEX('MOA role matrix'!$B$2:$D$13,5,MATCH($B249,'MOA role matrix'!$B$1:$D$1,0))="Auto","Board member 1 (auto), ","")IF(INDEX('MOA role matrix'!$B$2:$D$13,6,MATCH($B249,'MOA role matrix'!$B$1:$D$1,0))="Fill","Board member 2, ","")IF(INDEX('MOA role matrix'!$B$2:$D$13,6,MATCH($B249,'MOA role matrix'!$B$1:$D$1,0))="If finance","Board member 2 (if finance), ","")IF(INDEX('MOA role matrix'!$B$2:$D$13,6,MATCH($B249,'MOA role matrix'!$B$1:$D$1,0))="Auto","Board member 2 (auto), ","")IF(INDEX('MOA role matrix'!$B$2:$D$13,7,MATCH($B249,'MOA role matrix'!$B$1:$D$1,0))="Fill","LOA holder 1, ","")IF(INDEX('MOA role matrix'!$B$2:$D$13,7,MATCH($B249,'MOA role matrix'!$B$1:$D$1,0))="If finance","LOA holder 1 (if finance), ","")IF(INDEX('MOA role matrix'!$B$2:$D$13,7,MATCH($B249,'MOA role matrix'!$B$1:$D$1,0))="Auto","LOA holder 1 (auto), ","")IF(INDEX('MOA role matrix'!$B$2:$D$13,8,MATCH($B249,'MOA role matrix'!$B$1:$D$1,0))="Fill","LOA holder 2, ","")IF(INDEX('MOA role matrix'!$B$2:$D$13,8,MATCH($B249,'MOA role matrix'!$B$1:$D$1,0))="If finance","LOA holder 2 (if finance), ","")IF(INDEX('MOA role matrix'!$B$2:$D$13,8,MATCH($B249,'MOA role matrix'!$B$1:$D$1,0))="Auto","LOA holder 2 (auto), ","")IF(INDEX('MOA role matrix'!$B$2:$D$13,9,MATCH($B249,'MOA role matrix'!$B$1:$D$1,0))="Fill","Senior Manager CoSec, ","")IF(INDEX('MOA role matrix'!$B$2:$D$13,9,MATCH($B249,'MOA role matrix'!$B$1:$D$1,0))="If finance","Senior Manager CoSec (if finance), ","")IF(INDEX('MOA role matrix'!$B$2:$D$13,9,MATCH($B249,'MOA role matrix'!$B$1:$D$1,0))="Auto","Senior Manager CoSec (auto), ","")IF(INDEX('MOA role matrix'!$B$2:$D$13,10,MATCH($B249,'MOA role matrix'!$B$1:$D$1,0))="Fill","Division MOI managers, ","")IF(INDEX('MOA role matrix'!$B$2:$D$13,10,MATCH($B249,'MOA role matrix'!$B$1:$D$1,0))="If finance","Division MOI managers (if finance), ","")IF(INDEX('MOA role matrix'!$B$2:$D$13,10,MATCH($B249,'MOA role matrix'!$B$1:$D$1,0))="Auto","Division MOI managers (auto), ","")IF(INDEX('MOA role matrix'!$B$2:$D$13,11,MATCH($B249,'MOA role matrix'!$B$1:$D$1,0))="Fill","Ms Teh (bank), ","")IF(INDEX('MOA role matrix'!$B$2:$D$13,11,MATCH($B249,'MOA role matrix'!$B$1:$D$1,0))="If finance","Ms Teh (bank) (if finance), ","")IF(INDEX('MOA role matrix'!$B$2:$D$13,11,MATCH($B249,'MOA role matrix'!$B$1:$D$1,0))="Auto","Ms Teh (bank) (auto), ","")IF(INDEX('MOA role matrix'!$B$2:$D$13,12,MATCH($B249,'MOA role matrix'!$B$1:$D$1,0))="Fill","DLCM, ","")IF(INDEX('MOA role matrix'!$B$2:$D$13,12,MATCH($B249,'MOA role matrix'!$B$1:$D$1,0))="If finance","DLCM (if finance), ","")IF(INDEX('MOA role matrix'!$B$2:$D$13,12,MATCH($B249,'MOA role matrix'!$B$1:$D$1,0))="Auto","DLCM (auto), ","")))</f>
        <v/>
      </c>
      <c r="D249" s="5">
        <f>IF($A249="","",IFERROR(INDEX(FILTER('Client contacts'!$B$2:$B$500,('Client contacts'!$A$2:$A$500=$A249)*('Client contacts'!$H$2:$H$500="Y"),""),1),""))</f>
        <v/>
      </c>
      <c r="E249" s="5">
        <f>IF($A249="","",IFERROR(INDEX(FILTER('Client contacts'!$C$2:$C$500,('Client contacts'!$A$2:$A$500=$A249)*('Client contacts'!$H$2:$H$500="Y"),""),1),""))</f>
        <v/>
      </c>
      <c r="F249" s="5">
        <f>IF($A249="","",IFERROR(INDEX(FILTER('Client contacts'!$B$2:$B$500,('Client contacts'!$A$2:$A$500=$A249)*('Client contacts'!$G$2:$G$500="Y"),""),1),""))</f>
        <v/>
      </c>
      <c r="G249" s="5">
        <f>IF($A249="","",IFERROR(INDEX(FILTER('Client contacts'!$C$2:$C$500,('Client contacts'!$A$2:$A$500=$A249)*('Client contacts'!$G$2:$G$500="Y"),""),1),""))</f>
        <v/>
      </c>
      <c r="H249" s="5">
        <f>IF($A249="","",IFERROR(INDEX(FILTER('Client contacts'!$B$2:$B$500,('Client contacts'!$A$2:$A$500=$A249)*('Client contacts'!$G$2:$G$500="Y"),""),2),""))</f>
        <v/>
      </c>
      <c r="I249" s="5">
        <f>IF($A249="","",IFERROR(INDEX(FILTER('Client contacts'!$C$2:$C$500,('Client contacts'!$A$2:$A$500=$A249)*('Client contacts'!$G$2:$G$500="Y"),""),2),""))</f>
        <v/>
      </c>
      <c r="J249" s="8" t="n"/>
      <c r="K249" s="8" t="n"/>
      <c r="L249" s="8" t="n"/>
      <c r="M249" s="8" t="n"/>
      <c r="N249" s="8" t="n"/>
      <c r="O249" s="8" t="n"/>
      <c r="P249" s="8" t="n"/>
      <c r="Q249" s="8" t="n"/>
      <c r="R249" s="5">
        <f>IF($A249="","",IFERROR(INDEX(Companies!$I$2:$I$500,MATCH($A249,Companies!$A$2:$A$500,0)),""))</f>
        <v/>
      </c>
      <c r="S249" s="8" t="n"/>
      <c r="T249" s="8" t="n"/>
      <c r="U249" s="8" t="n"/>
      <c r="V249" s="8" t="n"/>
      <c r="W249" s="8" t="n"/>
    </row>
    <row r="250">
      <c r="C250" s="5">
        <f>IF($B250="","",TRIM(IF(INDEX('MOA role matrix'!$B$2:$D$13,1,MATCH($B250,'MOA role matrix'!$B$1:$D$1,0))="Fill","Project initiator, ","")IF(INDEX('MOA role matrix'!$B$2:$D$13,1,MATCH($B250,'MOA role matrix'!$B$1:$D$1,0))="If finance","Project initiator (if finance), ","")IF(INDEX('MOA role matrix'!$B$2:$D$13,1,MATCH($B250,'MOA role matrix'!$B$1:$D$1,0))="Auto","Project initiator (auto), ","")IF(INDEX('MOA role matrix'!$B$2:$D$13,2,MATCH($B250,'MOA role matrix'!$B$1:$D$1,0))="Fill","MOA signers (client), ","")IF(INDEX('MOA role matrix'!$B$2:$D$13,2,MATCH($B250,'MOA role matrix'!$B$1:$D$1,0))="If finance","MOA signers (client) (if finance), ","")IF(INDEX('MOA role matrix'!$B$2:$D$13,2,MATCH($B250,'MOA role matrix'!$B$1:$D$1,0))="Auto","MOA signers (client) (auto), ","")IF(INDEX('MOA role matrix'!$B$2:$D$13,3,MATCH($B250,'MOA role matrix'!$B$1:$D$1,0))="Fill","CFO / Head of Finance, ","")IF(INDEX('MOA role matrix'!$B$2:$D$13,3,MATCH($B250,'MOA role matrix'!$B$1:$D$1,0))="If finance","CFO / Head of Finance (if finance), ","")IF(INDEX('MOA role matrix'!$B$2:$D$13,3,MATCH($B250,'MOA role matrix'!$B$1:$D$1,0))="Auto","CFO / Head of Finance (auto), ","")IF(INDEX('MOA role matrix'!$B$2:$D$13,4,MATCH($B250,'MOA role matrix'!$B$1:$D$1,0))="Fill","CEO / COO / GM, ","")IF(INDEX('MOA role matrix'!$B$2:$D$13,4,MATCH($B250,'MOA role matrix'!$B$1:$D$1,0))="If finance","CEO / COO / GM (if finance), ","")IF(INDEX('MOA role matrix'!$B$2:$D$13,4,MATCH($B250,'MOA role matrix'!$B$1:$D$1,0))="Auto","CEO / COO / GM (auto), ","")IF(INDEX('MOA role matrix'!$B$2:$D$13,5,MATCH($B250,'MOA role matrix'!$B$1:$D$1,0))="Fill","Board member 1, ","")IF(INDEX('MOA role matrix'!$B$2:$D$13,5,MATCH($B250,'MOA role matrix'!$B$1:$D$1,0))="If finance","Board member 1 (if finance), ","")IF(INDEX('MOA role matrix'!$B$2:$D$13,5,MATCH($B250,'MOA role matrix'!$B$1:$D$1,0))="Auto","Board member 1 (auto), ","")IF(INDEX('MOA role matrix'!$B$2:$D$13,6,MATCH($B250,'MOA role matrix'!$B$1:$D$1,0))="Fill","Board member 2, ","")IF(INDEX('MOA role matrix'!$B$2:$D$13,6,MATCH($B250,'MOA role matrix'!$B$1:$D$1,0))="If finance","Board member 2 (if finance), ","")IF(INDEX('MOA role matrix'!$B$2:$D$13,6,MATCH($B250,'MOA role matrix'!$B$1:$D$1,0))="Auto","Board member 2 (auto), ","")IF(INDEX('MOA role matrix'!$B$2:$D$13,7,MATCH($B250,'MOA role matrix'!$B$1:$D$1,0))="Fill","LOA holder 1, ","")IF(INDEX('MOA role matrix'!$B$2:$D$13,7,MATCH($B250,'MOA role matrix'!$B$1:$D$1,0))="If finance","LOA holder 1 (if finance), ","")IF(INDEX('MOA role matrix'!$B$2:$D$13,7,MATCH($B250,'MOA role matrix'!$B$1:$D$1,0))="Auto","LOA holder 1 (auto), ","")IF(INDEX('MOA role matrix'!$B$2:$D$13,8,MATCH($B250,'MOA role matrix'!$B$1:$D$1,0))="Fill","LOA holder 2, ","")IF(INDEX('MOA role matrix'!$B$2:$D$13,8,MATCH($B250,'MOA role matrix'!$B$1:$D$1,0))="If finance","LOA holder 2 (if finance), ","")IF(INDEX('MOA role matrix'!$B$2:$D$13,8,MATCH($B250,'MOA role matrix'!$B$1:$D$1,0))="Auto","LOA holder 2 (auto), ","")IF(INDEX('MOA role matrix'!$B$2:$D$13,9,MATCH($B250,'MOA role matrix'!$B$1:$D$1,0))="Fill","Senior Manager CoSec, ","")IF(INDEX('MOA role matrix'!$B$2:$D$13,9,MATCH($B250,'MOA role matrix'!$B$1:$D$1,0))="If finance","Senior Manager CoSec (if finance), ","")IF(INDEX('MOA role matrix'!$B$2:$D$13,9,MATCH($B250,'MOA role matrix'!$B$1:$D$1,0))="Auto","Senior Manager CoSec (auto), ","")IF(INDEX('MOA role matrix'!$B$2:$D$13,10,MATCH($B250,'MOA role matrix'!$B$1:$D$1,0))="Fill","Division MOI managers, ","")IF(INDEX('MOA role matrix'!$B$2:$D$13,10,MATCH($B250,'MOA role matrix'!$B$1:$D$1,0))="If finance","Division MOI managers (if finance), ","")IF(INDEX('MOA role matrix'!$B$2:$D$13,10,MATCH($B250,'MOA role matrix'!$B$1:$D$1,0))="Auto","Division MOI managers (auto), ","")IF(INDEX('MOA role matrix'!$B$2:$D$13,11,MATCH($B250,'MOA role matrix'!$B$1:$D$1,0))="Fill","Ms Teh (bank), ","")IF(INDEX('MOA role matrix'!$B$2:$D$13,11,MATCH($B250,'MOA role matrix'!$B$1:$D$1,0))="If finance","Ms Teh (bank) (if finance), ","")IF(INDEX('MOA role matrix'!$B$2:$D$13,11,MATCH($B250,'MOA role matrix'!$B$1:$D$1,0))="Auto","Ms Teh (bank) (auto), ","")IF(INDEX('MOA role matrix'!$B$2:$D$13,12,MATCH($B250,'MOA role matrix'!$B$1:$D$1,0))="Fill","DLCM, ","")IF(INDEX('MOA role matrix'!$B$2:$D$13,12,MATCH($B250,'MOA role matrix'!$B$1:$D$1,0))="If finance","DLCM (if finance), ","")IF(INDEX('MOA role matrix'!$B$2:$D$13,12,MATCH($B250,'MOA role matrix'!$B$1:$D$1,0))="Auto","DLCM (auto), ","")))</f>
        <v/>
      </c>
      <c r="D250" s="5">
        <f>IF($A250="","",IFERROR(INDEX(FILTER('Client contacts'!$B$2:$B$500,('Client contacts'!$A$2:$A$500=$A250)*('Client contacts'!$H$2:$H$500="Y"),""),1),""))</f>
        <v/>
      </c>
      <c r="E250" s="5">
        <f>IF($A250="","",IFERROR(INDEX(FILTER('Client contacts'!$C$2:$C$500,('Client contacts'!$A$2:$A$500=$A250)*('Client contacts'!$H$2:$H$500="Y"),""),1),""))</f>
        <v/>
      </c>
      <c r="F250" s="5">
        <f>IF($A250="","",IFERROR(INDEX(FILTER('Client contacts'!$B$2:$B$500,('Client contacts'!$A$2:$A$500=$A250)*('Client contacts'!$G$2:$G$500="Y"),""),1),""))</f>
        <v/>
      </c>
      <c r="G250" s="5">
        <f>IF($A250="","",IFERROR(INDEX(FILTER('Client contacts'!$C$2:$C$500,('Client contacts'!$A$2:$A$500=$A250)*('Client contacts'!$G$2:$G$500="Y"),""),1),""))</f>
        <v/>
      </c>
      <c r="H250" s="5">
        <f>IF($A250="","",IFERROR(INDEX(FILTER('Client contacts'!$B$2:$B$500,('Client contacts'!$A$2:$A$500=$A250)*('Client contacts'!$G$2:$G$500="Y"),""),2),""))</f>
        <v/>
      </c>
      <c r="I250" s="5">
        <f>IF($A250="","",IFERROR(INDEX(FILTER('Client contacts'!$C$2:$C$500,('Client contacts'!$A$2:$A$500=$A250)*('Client contacts'!$G$2:$G$500="Y"),""),2),""))</f>
        <v/>
      </c>
      <c r="J250" s="8" t="n"/>
      <c r="K250" s="8" t="n"/>
      <c r="L250" s="8" t="n"/>
      <c r="M250" s="8" t="n"/>
      <c r="N250" s="8" t="n"/>
      <c r="O250" s="8" t="n"/>
      <c r="P250" s="8" t="n"/>
      <c r="Q250" s="8" t="n"/>
      <c r="R250" s="5">
        <f>IF($A250="","",IFERROR(INDEX(Companies!$I$2:$I$500,MATCH($A250,Companies!$A$2:$A$500,0)),""))</f>
        <v/>
      </c>
      <c r="S250" s="8" t="n"/>
      <c r="T250" s="8" t="n"/>
      <c r="U250" s="8" t="n"/>
      <c r="V250" s="8" t="n"/>
      <c r="W250" s="8" t="n"/>
    </row>
    <row r="251">
      <c r="C251" s="5">
        <f>IF($B251="","",TRIM(IF(INDEX('MOA role matrix'!$B$2:$D$13,1,MATCH($B251,'MOA role matrix'!$B$1:$D$1,0))="Fill","Project initiator, ","")IF(INDEX('MOA role matrix'!$B$2:$D$13,1,MATCH($B251,'MOA role matrix'!$B$1:$D$1,0))="If finance","Project initiator (if finance), ","")IF(INDEX('MOA role matrix'!$B$2:$D$13,1,MATCH($B251,'MOA role matrix'!$B$1:$D$1,0))="Auto","Project initiator (auto), ","")IF(INDEX('MOA role matrix'!$B$2:$D$13,2,MATCH($B251,'MOA role matrix'!$B$1:$D$1,0))="Fill","MOA signers (client), ","")IF(INDEX('MOA role matrix'!$B$2:$D$13,2,MATCH($B251,'MOA role matrix'!$B$1:$D$1,0))="If finance","MOA signers (client) (if finance), ","")IF(INDEX('MOA role matrix'!$B$2:$D$13,2,MATCH($B251,'MOA role matrix'!$B$1:$D$1,0))="Auto","MOA signers (client) (auto), ","")IF(INDEX('MOA role matrix'!$B$2:$D$13,3,MATCH($B251,'MOA role matrix'!$B$1:$D$1,0))="Fill","CFO / Head of Finance, ","")IF(INDEX('MOA role matrix'!$B$2:$D$13,3,MATCH($B251,'MOA role matrix'!$B$1:$D$1,0))="If finance","CFO / Head of Finance (if finance), ","")IF(INDEX('MOA role matrix'!$B$2:$D$13,3,MATCH($B251,'MOA role matrix'!$B$1:$D$1,0))="Auto","CFO / Head of Finance (auto), ","")IF(INDEX('MOA role matrix'!$B$2:$D$13,4,MATCH($B251,'MOA role matrix'!$B$1:$D$1,0))="Fill","CEO / COO / GM, ","")IF(INDEX('MOA role matrix'!$B$2:$D$13,4,MATCH($B251,'MOA role matrix'!$B$1:$D$1,0))="If finance","CEO / COO / GM (if finance), ","")IF(INDEX('MOA role matrix'!$B$2:$D$13,4,MATCH($B251,'MOA role matrix'!$B$1:$D$1,0))="Auto","CEO / COO / GM (auto), ","")IF(INDEX('MOA role matrix'!$B$2:$D$13,5,MATCH($B251,'MOA role matrix'!$B$1:$D$1,0))="Fill","Board member 1, ","")IF(INDEX('MOA role matrix'!$B$2:$D$13,5,MATCH($B251,'MOA role matrix'!$B$1:$D$1,0))="If finance","Board member 1 (if finance), ","")IF(INDEX('MOA role matrix'!$B$2:$D$13,5,MATCH($B251,'MOA role matrix'!$B$1:$D$1,0))="Auto","Board member 1 (auto), ","")IF(INDEX('MOA role matrix'!$B$2:$D$13,6,MATCH($B251,'MOA role matrix'!$B$1:$D$1,0))="Fill","Board member 2, ","")IF(INDEX('MOA role matrix'!$B$2:$D$13,6,MATCH($B251,'MOA role matrix'!$B$1:$D$1,0))="If finance","Board member 2 (if finance), ","")IF(INDEX('MOA role matrix'!$B$2:$D$13,6,MATCH($B251,'MOA role matrix'!$B$1:$D$1,0))="Auto","Board member 2 (auto), ","")IF(INDEX('MOA role matrix'!$B$2:$D$13,7,MATCH($B251,'MOA role matrix'!$B$1:$D$1,0))="Fill","LOA holder 1, ","")IF(INDEX('MOA role matrix'!$B$2:$D$13,7,MATCH($B251,'MOA role matrix'!$B$1:$D$1,0))="If finance","LOA holder 1 (if finance), ","")IF(INDEX('MOA role matrix'!$B$2:$D$13,7,MATCH($B251,'MOA role matrix'!$B$1:$D$1,0))="Auto","LOA holder 1 (auto), ","")IF(INDEX('MOA role matrix'!$B$2:$D$13,8,MATCH($B251,'MOA role matrix'!$B$1:$D$1,0))="Fill","LOA holder 2, ","")IF(INDEX('MOA role matrix'!$B$2:$D$13,8,MATCH($B251,'MOA role matrix'!$B$1:$D$1,0))="If finance","LOA holder 2 (if finance), ","")IF(INDEX('MOA role matrix'!$B$2:$D$13,8,MATCH($B251,'MOA role matrix'!$B$1:$D$1,0))="Auto","LOA holder 2 (auto), ","")IF(INDEX('MOA role matrix'!$B$2:$D$13,9,MATCH($B251,'MOA role matrix'!$B$1:$D$1,0))="Fill","Senior Manager CoSec, ","")IF(INDEX('MOA role matrix'!$B$2:$D$13,9,MATCH($B251,'MOA role matrix'!$B$1:$D$1,0))="If finance","Senior Manager CoSec (if finance), ","")IF(INDEX('MOA role matrix'!$B$2:$D$13,9,MATCH($B251,'MOA role matrix'!$B$1:$D$1,0))="Auto","Senior Manager CoSec (auto), ","")IF(INDEX('MOA role matrix'!$B$2:$D$13,10,MATCH($B251,'MOA role matrix'!$B$1:$D$1,0))="Fill","Division MOI managers, ","")IF(INDEX('MOA role matrix'!$B$2:$D$13,10,MATCH($B251,'MOA role matrix'!$B$1:$D$1,0))="If finance","Division MOI managers (if finance), ","")IF(INDEX('MOA role matrix'!$B$2:$D$13,10,MATCH($B251,'MOA role matrix'!$B$1:$D$1,0))="Auto","Division MOI managers (auto), ","")IF(INDEX('MOA role matrix'!$B$2:$D$13,11,MATCH($B251,'MOA role matrix'!$B$1:$D$1,0))="Fill","Ms Teh (bank), ","")IF(INDEX('MOA role matrix'!$B$2:$D$13,11,MATCH($B251,'MOA role matrix'!$B$1:$D$1,0))="If finance","Ms Teh (bank) (if finance), ","")IF(INDEX('MOA role matrix'!$B$2:$D$13,11,MATCH($B251,'MOA role matrix'!$B$1:$D$1,0))="Auto","Ms Teh (bank) (auto), ","")IF(INDEX('MOA role matrix'!$B$2:$D$13,12,MATCH($B251,'MOA role matrix'!$B$1:$D$1,0))="Fill","DLCM, ","")IF(INDEX('MOA role matrix'!$B$2:$D$13,12,MATCH($B251,'MOA role matrix'!$B$1:$D$1,0))="If finance","DLCM (if finance), ","")IF(INDEX('MOA role matrix'!$B$2:$D$13,12,MATCH($B251,'MOA role matrix'!$B$1:$D$1,0))="Auto","DLCM (auto), ","")))</f>
        <v/>
      </c>
      <c r="D251" s="5">
        <f>IF($A251="","",IFERROR(INDEX(FILTER('Client contacts'!$B$2:$B$500,('Client contacts'!$A$2:$A$500=$A251)*('Client contacts'!$H$2:$H$500="Y"),""),1),""))</f>
        <v/>
      </c>
      <c r="E251" s="5">
        <f>IF($A251="","",IFERROR(INDEX(FILTER('Client contacts'!$C$2:$C$500,('Client contacts'!$A$2:$A$500=$A251)*('Client contacts'!$H$2:$H$500="Y"),""),1),""))</f>
        <v/>
      </c>
      <c r="F251" s="5">
        <f>IF($A251="","",IFERROR(INDEX(FILTER('Client contacts'!$B$2:$B$500,('Client contacts'!$A$2:$A$500=$A251)*('Client contacts'!$G$2:$G$500="Y"),""),1),""))</f>
        <v/>
      </c>
      <c r="G251" s="5">
        <f>IF($A251="","",IFERROR(INDEX(FILTER('Client contacts'!$C$2:$C$500,('Client contacts'!$A$2:$A$500=$A251)*('Client contacts'!$G$2:$G$500="Y"),""),1),""))</f>
        <v/>
      </c>
      <c r="H251" s="5">
        <f>IF($A251="","",IFERROR(INDEX(FILTER('Client contacts'!$B$2:$B$500,('Client contacts'!$A$2:$A$500=$A251)*('Client contacts'!$G$2:$G$500="Y"),""),2),""))</f>
        <v/>
      </c>
      <c r="I251" s="5">
        <f>IF($A251="","",IFERROR(INDEX(FILTER('Client contacts'!$C$2:$C$500,('Client contacts'!$A$2:$A$500=$A251)*('Client contacts'!$G$2:$G$500="Y"),""),2),""))</f>
        <v/>
      </c>
      <c r="J251" s="8" t="n"/>
      <c r="K251" s="8" t="n"/>
      <c r="L251" s="8" t="n"/>
      <c r="M251" s="8" t="n"/>
      <c r="N251" s="8" t="n"/>
      <c r="O251" s="8" t="n"/>
      <c r="P251" s="8" t="n"/>
      <c r="Q251" s="8" t="n"/>
      <c r="R251" s="5">
        <f>IF($A251="","",IFERROR(INDEX(Companies!$I$2:$I$500,MATCH($A251,Companies!$A$2:$A$500,0)),""))</f>
        <v/>
      </c>
      <c r="S251" s="8" t="n"/>
      <c r="T251" s="8" t="n"/>
      <c r="U251" s="8" t="n"/>
      <c r="V251" s="8" t="n"/>
      <c r="W251" s="8" t="n"/>
    </row>
    <row r="252">
      <c r="C252" s="5">
        <f>IF($B252="","",TRIM(IF(INDEX('MOA role matrix'!$B$2:$D$13,1,MATCH($B252,'MOA role matrix'!$B$1:$D$1,0))="Fill","Project initiator, ","")IF(INDEX('MOA role matrix'!$B$2:$D$13,1,MATCH($B252,'MOA role matrix'!$B$1:$D$1,0))="If finance","Project initiator (if finance), ","")IF(INDEX('MOA role matrix'!$B$2:$D$13,1,MATCH($B252,'MOA role matrix'!$B$1:$D$1,0))="Auto","Project initiator (auto), ","")IF(INDEX('MOA role matrix'!$B$2:$D$13,2,MATCH($B252,'MOA role matrix'!$B$1:$D$1,0))="Fill","MOA signers (client), ","")IF(INDEX('MOA role matrix'!$B$2:$D$13,2,MATCH($B252,'MOA role matrix'!$B$1:$D$1,0))="If finance","MOA signers (client) (if finance), ","")IF(INDEX('MOA role matrix'!$B$2:$D$13,2,MATCH($B252,'MOA role matrix'!$B$1:$D$1,0))="Auto","MOA signers (client) (auto), ","")IF(INDEX('MOA role matrix'!$B$2:$D$13,3,MATCH($B252,'MOA role matrix'!$B$1:$D$1,0))="Fill","CFO / Head of Finance, ","")IF(INDEX('MOA role matrix'!$B$2:$D$13,3,MATCH($B252,'MOA role matrix'!$B$1:$D$1,0))="If finance","CFO / Head of Finance (if finance), ","")IF(INDEX('MOA role matrix'!$B$2:$D$13,3,MATCH($B252,'MOA role matrix'!$B$1:$D$1,0))="Auto","CFO / Head of Finance (auto), ","")IF(INDEX('MOA role matrix'!$B$2:$D$13,4,MATCH($B252,'MOA role matrix'!$B$1:$D$1,0))="Fill","CEO / COO / GM, ","")IF(INDEX('MOA role matrix'!$B$2:$D$13,4,MATCH($B252,'MOA role matrix'!$B$1:$D$1,0))="If finance","CEO / COO / GM (if finance), ","")IF(INDEX('MOA role matrix'!$B$2:$D$13,4,MATCH($B252,'MOA role matrix'!$B$1:$D$1,0))="Auto","CEO / COO / GM (auto), ","")IF(INDEX('MOA role matrix'!$B$2:$D$13,5,MATCH($B252,'MOA role matrix'!$B$1:$D$1,0))="Fill","Board member 1, ","")IF(INDEX('MOA role matrix'!$B$2:$D$13,5,MATCH($B252,'MOA role matrix'!$B$1:$D$1,0))="If finance","Board member 1 (if finance), ","")IF(INDEX('MOA role matrix'!$B$2:$D$13,5,MATCH($B252,'MOA role matrix'!$B$1:$D$1,0))="Auto","Board member 1 (auto), ","")IF(INDEX('MOA role matrix'!$B$2:$D$13,6,MATCH($B252,'MOA role matrix'!$B$1:$D$1,0))="Fill","Board member 2, ","")IF(INDEX('MOA role matrix'!$B$2:$D$13,6,MATCH($B252,'MOA role matrix'!$B$1:$D$1,0))="If finance","Board member 2 (if finance), ","")IF(INDEX('MOA role matrix'!$B$2:$D$13,6,MATCH($B252,'MOA role matrix'!$B$1:$D$1,0))="Auto","Board member 2 (auto), ","")IF(INDEX('MOA role matrix'!$B$2:$D$13,7,MATCH($B252,'MOA role matrix'!$B$1:$D$1,0))="Fill","LOA holder 1, ","")IF(INDEX('MOA role matrix'!$B$2:$D$13,7,MATCH($B252,'MOA role matrix'!$B$1:$D$1,0))="If finance","LOA holder 1 (if finance), ","")IF(INDEX('MOA role matrix'!$B$2:$D$13,7,MATCH($B252,'MOA role matrix'!$B$1:$D$1,0))="Auto","LOA holder 1 (auto), ","")IF(INDEX('MOA role matrix'!$B$2:$D$13,8,MATCH($B252,'MOA role matrix'!$B$1:$D$1,0))="Fill","LOA holder 2, ","")IF(INDEX('MOA role matrix'!$B$2:$D$13,8,MATCH($B252,'MOA role matrix'!$B$1:$D$1,0))="If finance","LOA holder 2 (if finance), ","")IF(INDEX('MOA role matrix'!$B$2:$D$13,8,MATCH($B252,'MOA role matrix'!$B$1:$D$1,0))="Auto","LOA holder 2 (auto), ","")IF(INDEX('MOA role matrix'!$B$2:$D$13,9,MATCH($B252,'MOA role matrix'!$B$1:$D$1,0))="Fill","Senior Manager CoSec, ","")IF(INDEX('MOA role matrix'!$B$2:$D$13,9,MATCH($B252,'MOA role matrix'!$B$1:$D$1,0))="If finance","Senior Manager CoSec (if finance), ","")IF(INDEX('MOA role matrix'!$B$2:$D$13,9,MATCH($B252,'MOA role matrix'!$B$1:$D$1,0))="Auto","Senior Manager CoSec (auto), ","")IF(INDEX('MOA role matrix'!$B$2:$D$13,10,MATCH($B252,'MOA role matrix'!$B$1:$D$1,0))="Fill","Division MOI managers, ","")IF(INDEX('MOA role matrix'!$B$2:$D$13,10,MATCH($B252,'MOA role matrix'!$B$1:$D$1,0))="If finance","Division MOI managers (if finance), ","")IF(INDEX('MOA role matrix'!$B$2:$D$13,10,MATCH($B252,'MOA role matrix'!$B$1:$D$1,0))="Auto","Division MOI managers (auto), ","")IF(INDEX('MOA role matrix'!$B$2:$D$13,11,MATCH($B252,'MOA role matrix'!$B$1:$D$1,0))="Fill","Ms Teh (bank), ","")IF(INDEX('MOA role matrix'!$B$2:$D$13,11,MATCH($B252,'MOA role matrix'!$B$1:$D$1,0))="If finance","Ms Teh (bank) (if finance), ","")IF(INDEX('MOA role matrix'!$B$2:$D$13,11,MATCH($B252,'MOA role matrix'!$B$1:$D$1,0))="Auto","Ms Teh (bank) (auto), ","")IF(INDEX('MOA role matrix'!$B$2:$D$13,12,MATCH($B252,'MOA role matrix'!$B$1:$D$1,0))="Fill","DLCM, ","")IF(INDEX('MOA role matrix'!$B$2:$D$13,12,MATCH($B252,'MOA role matrix'!$B$1:$D$1,0))="If finance","DLCM (if finance), ","")IF(INDEX('MOA role matrix'!$B$2:$D$13,12,MATCH($B252,'MOA role matrix'!$B$1:$D$1,0))="Auto","DLCM (auto), ","")))</f>
        <v/>
      </c>
      <c r="D252" s="5">
        <f>IF($A252="","",IFERROR(INDEX(FILTER('Client contacts'!$B$2:$B$500,('Client contacts'!$A$2:$A$500=$A252)*('Client contacts'!$H$2:$H$500="Y"),""),1),""))</f>
        <v/>
      </c>
      <c r="E252" s="5">
        <f>IF($A252="","",IFERROR(INDEX(FILTER('Client contacts'!$C$2:$C$500,('Client contacts'!$A$2:$A$500=$A252)*('Client contacts'!$H$2:$H$500="Y"),""),1),""))</f>
        <v/>
      </c>
      <c r="F252" s="5">
        <f>IF($A252="","",IFERROR(INDEX(FILTER('Client contacts'!$B$2:$B$500,('Client contacts'!$A$2:$A$500=$A252)*('Client contacts'!$G$2:$G$500="Y"),""),1),""))</f>
        <v/>
      </c>
      <c r="G252" s="5">
        <f>IF($A252="","",IFERROR(INDEX(FILTER('Client contacts'!$C$2:$C$500,('Client contacts'!$A$2:$A$500=$A252)*('Client contacts'!$G$2:$G$500="Y"),""),1),""))</f>
        <v/>
      </c>
      <c r="H252" s="5">
        <f>IF($A252="","",IFERROR(INDEX(FILTER('Client contacts'!$B$2:$B$500,('Client contacts'!$A$2:$A$500=$A252)*('Client contacts'!$G$2:$G$500="Y"),""),2),""))</f>
        <v/>
      </c>
      <c r="I252" s="5">
        <f>IF($A252="","",IFERROR(INDEX(FILTER('Client contacts'!$C$2:$C$500,('Client contacts'!$A$2:$A$500=$A252)*('Client contacts'!$G$2:$G$500="Y"),""),2),""))</f>
        <v/>
      </c>
      <c r="J252" s="8" t="n"/>
      <c r="K252" s="8" t="n"/>
      <c r="L252" s="8" t="n"/>
      <c r="M252" s="8" t="n"/>
      <c r="N252" s="8" t="n"/>
      <c r="O252" s="8" t="n"/>
      <c r="P252" s="8" t="n"/>
      <c r="Q252" s="8" t="n"/>
      <c r="R252" s="5">
        <f>IF($A252="","",IFERROR(INDEX(Companies!$I$2:$I$500,MATCH($A252,Companies!$A$2:$A$500,0)),""))</f>
        <v/>
      </c>
      <c r="S252" s="8" t="n"/>
      <c r="T252" s="8" t="n"/>
      <c r="U252" s="8" t="n"/>
      <c r="V252" s="8" t="n"/>
      <c r="W252" s="8" t="n"/>
    </row>
    <row r="253">
      <c r="C253" s="5">
        <f>IF($B253="","",TRIM(IF(INDEX('MOA role matrix'!$B$2:$D$13,1,MATCH($B253,'MOA role matrix'!$B$1:$D$1,0))="Fill","Project initiator, ","")IF(INDEX('MOA role matrix'!$B$2:$D$13,1,MATCH($B253,'MOA role matrix'!$B$1:$D$1,0))="If finance","Project initiator (if finance), ","")IF(INDEX('MOA role matrix'!$B$2:$D$13,1,MATCH($B253,'MOA role matrix'!$B$1:$D$1,0))="Auto","Project initiator (auto), ","")IF(INDEX('MOA role matrix'!$B$2:$D$13,2,MATCH($B253,'MOA role matrix'!$B$1:$D$1,0))="Fill","MOA signers (client), ","")IF(INDEX('MOA role matrix'!$B$2:$D$13,2,MATCH($B253,'MOA role matrix'!$B$1:$D$1,0))="If finance","MOA signers (client) (if finance), ","")IF(INDEX('MOA role matrix'!$B$2:$D$13,2,MATCH($B253,'MOA role matrix'!$B$1:$D$1,0))="Auto","MOA signers (client) (auto), ","")IF(INDEX('MOA role matrix'!$B$2:$D$13,3,MATCH($B253,'MOA role matrix'!$B$1:$D$1,0))="Fill","CFO / Head of Finance, ","")IF(INDEX('MOA role matrix'!$B$2:$D$13,3,MATCH($B253,'MOA role matrix'!$B$1:$D$1,0))="If finance","CFO / Head of Finance (if finance), ","")IF(INDEX('MOA role matrix'!$B$2:$D$13,3,MATCH($B253,'MOA role matrix'!$B$1:$D$1,0))="Auto","CFO / Head of Finance (auto), ","")IF(INDEX('MOA role matrix'!$B$2:$D$13,4,MATCH($B253,'MOA role matrix'!$B$1:$D$1,0))="Fill","CEO / COO / GM, ","")IF(INDEX('MOA role matrix'!$B$2:$D$13,4,MATCH($B253,'MOA role matrix'!$B$1:$D$1,0))="If finance","CEO / COO / GM (if finance), ","")IF(INDEX('MOA role matrix'!$B$2:$D$13,4,MATCH($B253,'MOA role matrix'!$B$1:$D$1,0))="Auto","CEO / COO / GM (auto), ","")IF(INDEX('MOA role matrix'!$B$2:$D$13,5,MATCH($B253,'MOA role matrix'!$B$1:$D$1,0))="Fill","Board member 1, ","")IF(INDEX('MOA role matrix'!$B$2:$D$13,5,MATCH($B253,'MOA role matrix'!$B$1:$D$1,0))="If finance","Board member 1 (if finance), ","")IF(INDEX('MOA role matrix'!$B$2:$D$13,5,MATCH($B253,'MOA role matrix'!$B$1:$D$1,0))="Auto","Board member 1 (auto), ","")IF(INDEX('MOA role matrix'!$B$2:$D$13,6,MATCH($B253,'MOA role matrix'!$B$1:$D$1,0))="Fill","Board member 2, ","")IF(INDEX('MOA role matrix'!$B$2:$D$13,6,MATCH($B253,'MOA role matrix'!$B$1:$D$1,0))="If finance","Board member 2 (if finance), ","")IF(INDEX('MOA role matrix'!$B$2:$D$13,6,MATCH($B253,'MOA role matrix'!$B$1:$D$1,0))="Auto","Board member 2 (auto), ","")IF(INDEX('MOA role matrix'!$B$2:$D$13,7,MATCH($B253,'MOA role matrix'!$B$1:$D$1,0))="Fill","LOA holder 1, ","")IF(INDEX('MOA role matrix'!$B$2:$D$13,7,MATCH($B253,'MOA role matrix'!$B$1:$D$1,0))="If finance","LOA holder 1 (if finance), ","")IF(INDEX('MOA role matrix'!$B$2:$D$13,7,MATCH($B253,'MOA role matrix'!$B$1:$D$1,0))="Auto","LOA holder 1 (auto), ","")IF(INDEX('MOA role matrix'!$B$2:$D$13,8,MATCH($B253,'MOA role matrix'!$B$1:$D$1,0))="Fill","LOA holder 2, ","")IF(INDEX('MOA role matrix'!$B$2:$D$13,8,MATCH($B253,'MOA role matrix'!$B$1:$D$1,0))="If finance","LOA holder 2 (if finance), ","")IF(INDEX('MOA role matrix'!$B$2:$D$13,8,MATCH($B253,'MOA role matrix'!$B$1:$D$1,0))="Auto","LOA holder 2 (auto), ","")IF(INDEX('MOA role matrix'!$B$2:$D$13,9,MATCH($B253,'MOA role matrix'!$B$1:$D$1,0))="Fill","Senior Manager CoSec, ","")IF(INDEX('MOA role matrix'!$B$2:$D$13,9,MATCH($B253,'MOA role matrix'!$B$1:$D$1,0))="If finance","Senior Manager CoSec (if finance), ","")IF(INDEX('MOA role matrix'!$B$2:$D$13,9,MATCH($B253,'MOA role matrix'!$B$1:$D$1,0))="Auto","Senior Manager CoSec (auto), ","")IF(INDEX('MOA role matrix'!$B$2:$D$13,10,MATCH($B253,'MOA role matrix'!$B$1:$D$1,0))="Fill","Division MOI managers, ","")IF(INDEX('MOA role matrix'!$B$2:$D$13,10,MATCH($B253,'MOA role matrix'!$B$1:$D$1,0))="If finance","Division MOI managers (if finance), ","")IF(INDEX('MOA role matrix'!$B$2:$D$13,10,MATCH($B253,'MOA role matrix'!$B$1:$D$1,0))="Auto","Division MOI managers (auto), ","")IF(INDEX('MOA role matrix'!$B$2:$D$13,11,MATCH($B253,'MOA role matrix'!$B$1:$D$1,0))="Fill","Ms Teh (bank), ","")IF(INDEX('MOA role matrix'!$B$2:$D$13,11,MATCH($B253,'MOA role matrix'!$B$1:$D$1,0))="If finance","Ms Teh (bank) (if finance), ","")IF(INDEX('MOA role matrix'!$B$2:$D$13,11,MATCH($B253,'MOA role matrix'!$B$1:$D$1,0))="Auto","Ms Teh (bank) (auto), ","")IF(INDEX('MOA role matrix'!$B$2:$D$13,12,MATCH($B253,'MOA role matrix'!$B$1:$D$1,0))="Fill","DLCM, ","")IF(INDEX('MOA role matrix'!$B$2:$D$13,12,MATCH($B253,'MOA role matrix'!$B$1:$D$1,0))="If finance","DLCM (if finance), ","")IF(INDEX('MOA role matrix'!$B$2:$D$13,12,MATCH($B253,'MOA role matrix'!$B$1:$D$1,0))="Auto","DLCM (auto), ","")))</f>
        <v/>
      </c>
      <c r="D253" s="5">
        <f>IF($A253="","",IFERROR(INDEX(FILTER('Client contacts'!$B$2:$B$500,('Client contacts'!$A$2:$A$500=$A253)*('Client contacts'!$H$2:$H$500="Y"),""),1),""))</f>
        <v/>
      </c>
      <c r="E253" s="5">
        <f>IF($A253="","",IFERROR(INDEX(FILTER('Client contacts'!$C$2:$C$500,('Client contacts'!$A$2:$A$500=$A253)*('Client contacts'!$H$2:$H$500="Y"),""),1),""))</f>
        <v/>
      </c>
      <c r="F253" s="5">
        <f>IF($A253="","",IFERROR(INDEX(FILTER('Client contacts'!$B$2:$B$500,('Client contacts'!$A$2:$A$500=$A253)*('Client contacts'!$G$2:$G$500="Y"),""),1),""))</f>
        <v/>
      </c>
      <c r="G253" s="5">
        <f>IF($A253="","",IFERROR(INDEX(FILTER('Client contacts'!$C$2:$C$500,('Client contacts'!$A$2:$A$500=$A253)*('Client contacts'!$G$2:$G$500="Y"),""),1),""))</f>
        <v/>
      </c>
      <c r="H253" s="5">
        <f>IF($A253="","",IFERROR(INDEX(FILTER('Client contacts'!$B$2:$B$500,('Client contacts'!$A$2:$A$500=$A253)*('Client contacts'!$G$2:$G$500="Y"),""),2),""))</f>
        <v/>
      </c>
      <c r="I253" s="5">
        <f>IF($A253="","",IFERROR(INDEX(FILTER('Client contacts'!$C$2:$C$500,('Client contacts'!$A$2:$A$500=$A253)*('Client contacts'!$G$2:$G$500="Y"),""),2),""))</f>
        <v/>
      </c>
      <c r="J253" s="8" t="n"/>
      <c r="K253" s="8" t="n"/>
      <c r="L253" s="8" t="n"/>
      <c r="M253" s="8" t="n"/>
      <c r="N253" s="8" t="n"/>
      <c r="O253" s="8" t="n"/>
      <c r="P253" s="8" t="n"/>
      <c r="Q253" s="8" t="n"/>
      <c r="R253" s="5">
        <f>IF($A253="","",IFERROR(INDEX(Companies!$I$2:$I$500,MATCH($A253,Companies!$A$2:$A$500,0)),""))</f>
        <v/>
      </c>
      <c r="S253" s="8" t="n"/>
      <c r="T253" s="8" t="n"/>
      <c r="U253" s="8" t="n"/>
      <c r="V253" s="8" t="n"/>
      <c r="W253" s="8" t="n"/>
    </row>
    <row r="254">
      <c r="C254" s="5">
        <f>IF($B254="","",TRIM(IF(INDEX('MOA role matrix'!$B$2:$D$13,1,MATCH($B254,'MOA role matrix'!$B$1:$D$1,0))="Fill","Project initiator, ","")IF(INDEX('MOA role matrix'!$B$2:$D$13,1,MATCH($B254,'MOA role matrix'!$B$1:$D$1,0))="If finance","Project initiator (if finance), ","")IF(INDEX('MOA role matrix'!$B$2:$D$13,1,MATCH($B254,'MOA role matrix'!$B$1:$D$1,0))="Auto","Project initiator (auto), ","")IF(INDEX('MOA role matrix'!$B$2:$D$13,2,MATCH($B254,'MOA role matrix'!$B$1:$D$1,0))="Fill","MOA signers (client), ","")IF(INDEX('MOA role matrix'!$B$2:$D$13,2,MATCH($B254,'MOA role matrix'!$B$1:$D$1,0))="If finance","MOA signers (client) (if finance), ","")IF(INDEX('MOA role matrix'!$B$2:$D$13,2,MATCH($B254,'MOA role matrix'!$B$1:$D$1,0))="Auto","MOA signers (client) (auto), ","")IF(INDEX('MOA role matrix'!$B$2:$D$13,3,MATCH($B254,'MOA role matrix'!$B$1:$D$1,0))="Fill","CFO / Head of Finance, ","")IF(INDEX('MOA role matrix'!$B$2:$D$13,3,MATCH($B254,'MOA role matrix'!$B$1:$D$1,0))="If finance","CFO / Head of Finance (if finance), ","")IF(INDEX('MOA role matrix'!$B$2:$D$13,3,MATCH($B254,'MOA role matrix'!$B$1:$D$1,0))="Auto","CFO / Head of Finance (auto), ","")IF(INDEX('MOA role matrix'!$B$2:$D$13,4,MATCH($B254,'MOA role matrix'!$B$1:$D$1,0))="Fill","CEO / COO / GM, ","")IF(INDEX('MOA role matrix'!$B$2:$D$13,4,MATCH($B254,'MOA role matrix'!$B$1:$D$1,0))="If finance","CEO / COO / GM (if finance), ","")IF(INDEX('MOA role matrix'!$B$2:$D$13,4,MATCH($B254,'MOA role matrix'!$B$1:$D$1,0))="Auto","CEO / COO / GM (auto), ","")IF(INDEX('MOA role matrix'!$B$2:$D$13,5,MATCH($B254,'MOA role matrix'!$B$1:$D$1,0))="Fill","Board member 1, ","")IF(INDEX('MOA role matrix'!$B$2:$D$13,5,MATCH($B254,'MOA role matrix'!$B$1:$D$1,0))="If finance","Board member 1 (if finance), ","")IF(INDEX('MOA role matrix'!$B$2:$D$13,5,MATCH($B254,'MOA role matrix'!$B$1:$D$1,0))="Auto","Board member 1 (auto), ","")IF(INDEX('MOA role matrix'!$B$2:$D$13,6,MATCH($B254,'MOA role matrix'!$B$1:$D$1,0))="Fill","Board member 2, ","")IF(INDEX('MOA role matrix'!$B$2:$D$13,6,MATCH($B254,'MOA role matrix'!$B$1:$D$1,0))="If finance","Board member 2 (if finance), ","")IF(INDEX('MOA role matrix'!$B$2:$D$13,6,MATCH($B254,'MOA role matrix'!$B$1:$D$1,0))="Auto","Board member 2 (auto), ","")IF(INDEX('MOA role matrix'!$B$2:$D$13,7,MATCH($B254,'MOA role matrix'!$B$1:$D$1,0))="Fill","LOA holder 1, ","")IF(INDEX('MOA role matrix'!$B$2:$D$13,7,MATCH($B254,'MOA role matrix'!$B$1:$D$1,0))="If finance","LOA holder 1 (if finance), ","")IF(INDEX('MOA role matrix'!$B$2:$D$13,7,MATCH($B254,'MOA role matrix'!$B$1:$D$1,0))="Auto","LOA holder 1 (auto), ","")IF(INDEX('MOA role matrix'!$B$2:$D$13,8,MATCH($B254,'MOA role matrix'!$B$1:$D$1,0))="Fill","LOA holder 2, ","")IF(INDEX('MOA role matrix'!$B$2:$D$13,8,MATCH($B254,'MOA role matrix'!$B$1:$D$1,0))="If finance","LOA holder 2 (if finance), ","")IF(INDEX('MOA role matrix'!$B$2:$D$13,8,MATCH($B254,'MOA role matrix'!$B$1:$D$1,0))="Auto","LOA holder 2 (auto), ","")IF(INDEX('MOA role matrix'!$B$2:$D$13,9,MATCH($B254,'MOA role matrix'!$B$1:$D$1,0))="Fill","Senior Manager CoSec, ","")IF(INDEX('MOA role matrix'!$B$2:$D$13,9,MATCH($B254,'MOA role matrix'!$B$1:$D$1,0))="If finance","Senior Manager CoSec (if finance), ","")IF(INDEX('MOA role matrix'!$B$2:$D$13,9,MATCH($B254,'MOA role matrix'!$B$1:$D$1,0))="Auto","Senior Manager CoSec (auto), ","")IF(INDEX('MOA role matrix'!$B$2:$D$13,10,MATCH($B254,'MOA role matrix'!$B$1:$D$1,0))="Fill","Division MOI managers, ","")IF(INDEX('MOA role matrix'!$B$2:$D$13,10,MATCH($B254,'MOA role matrix'!$B$1:$D$1,0))="If finance","Division MOI managers (if finance), ","")IF(INDEX('MOA role matrix'!$B$2:$D$13,10,MATCH($B254,'MOA role matrix'!$B$1:$D$1,0))="Auto","Division MOI managers (auto), ","")IF(INDEX('MOA role matrix'!$B$2:$D$13,11,MATCH($B254,'MOA role matrix'!$B$1:$D$1,0))="Fill","Ms Teh (bank), ","")IF(INDEX('MOA role matrix'!$B$2:$D$13,11,MATCH($B254,'MOA role matrix'!$B$1:$D$1,0))="If finance","Ms Teh (bank) (if finance), ","")IF(INDEX('MOA role matrix'!$B$2:$D$13,11,MATCH($B254,'MOA role matrix'!$B$1:$D$1,0))="Auto","Ms Teh (bank) (auto), ","")IF(INDEX('MOA role matrix'!$B$2:$D$13,12,MATCH($B254,'MOA role matrix'!$B$1:$D$1,0))="Fill","DLCM, ","")IF(INDEX('MOA role matrix'!$B$2:$D$13,12,MATCH($B254,'MOA role matrix'!$B$1:$D$1,0))="If finance","DLCM (if finance), ","")IF(INDEX('MOA role matrix'!$B$2:$D$13,12,MATCH($B254,'MOA role matrix'!$B$1:$D$1,0))="Auto","DLCM (auto), ","")))</f>
        <v/>
      </c>
      <c r="D254" s="5">
        <f>IF($A254="","",IFERROR(INDEX(FILTER('Client contacts'!$B$2:$B$500,('Client contacts'!$A$2:$A$500=$A254)*('Client contacts'!$H$2:$H$500="Y"),""),1),""))</f>
        <v/>
      </c>
      <c r="E254" s="5">
        <f>IF($A254="","",IFERROR(INDEX(FILTER('Client contacts'!$C$2:$C$500,('Client contacts'!$A$2:$A$500=$A254)*('Client contacts'!$H$2:$H$500="Y"),""),1),""))</f>
        <v/>
      </c>
      <c r="F254" s="5">
        <f>IF($A254="","",IFERROR(INDEX(FILTER('Client contacts'!$B$2:$B$500,('Client contacts'!$A$2:$A$500=$A254)*('Client contacts'!$G$2:$G$500="Y"),""),1),""))</f>
        <v/>
      </c>
      <c r="G254" s="5">
        <f>IF($A254="","",IFERROR(INDEX(FILTER('Client contacts'!$C$2:$C$500,('Client contacts'!$A$2:$A$500=$A254)*('Client contacts'!$G$2:$G$500="Y"),""),1),""))</f>
        <v/>
      </c>
      <c r="H254" s="5">
        <f>IF($A254="","",IFERROR(INDEX(FILTER('Client contacts'!$B$2:$B$500,('Client contacts'!$A$2:$A$500=$A254)*('Client contacts'!$G$2:$G$500="Y"),""),2),""))</f>
        <v/>
      </c>
      <c r="I254" s="5">
        <f>IF($A254="","",IFERROR(INDEX(FILTER('Client contacts'!$C$2:$C$500,('Client contacts'!$A$2:$A$500=$A254)*('Client contacts'!$G$2:$G$500="Y"),""),2),""))</f>
        <v/>
      </c>
      <c r="J254" s="8" t="n"/>
      <c r="K254" s="8" t="n"/>
      <c r="L254" s="8" t="n"/>
      <c r="M254" s="8" t="n"/>
      <c r="N254" s="8" t="n"/>
      <c r="O254" s="8" t="n"/>
      <c r="P254" s="8" t="n"/>
      <c r="Q254" s="8" t="n"/>
      <c r="R254" s="5">
        <f>IF($A254="","",IFERROR(INDEX(Companies!$I$2:$I$500,MATCH($A254,Companies!$A$2:$A$500,0)),""))</f>
        <v/>
      </c>
      <c r="S254" s="8" t="n"/>
      <c r="T254" s="8" t="n"/>
      <c r="U254" s="8" t="n"/>
      <c r="V254" s="8" t="n"/>
      <c r="W254" s="8" t="n"/>
    </row>
    <row r="255">
      <c r="C255" s="5">
        <f>IF($B255="","",TRIM(IF(INDEX('MOA role matrix'!$B$2:$D$13,1,MATCH($B255,'MOA role matrix'!$B$1:$D$1,0))="Fill","Project initiator, ","")IF(INDEX('MOA role matrix'!$B$2:$D$13,1,MATCH($B255,'MOA role matrix'!$B$1:$D$1,0))="If finance","Project initiator (if finance), ","")IF(INDEX('MOA role matrix'!$B$2:$D$13,1,MATCH($B255,'MOA role matrix'!$B$1:$D$1,0))="Auto","Project initiator (auto), ","")IF(INDEX('MOA role matrix'!$B$2:$D$13,2,MATCH($B255,'MOA role matrix'!$B$1:$D$1,0))="Fill","MOA signers (client), ","")IF(INDEX('MOA role matrix'!$B$2:$D$13,2,MATCH($B255,'MOA role matrix'!$B$1:$D$1,0))="If finance","MOA signers (client) (if finance), ","")IF(INDEX('MOA role matrix'!$B$2:$D$13,2,MATCH($B255,'MOA role matrix'!$B$1:$D$1,0))="Auto","MOA signers (client) (auto), ","")IF(INDEX('MOA role matrix'!$B$2:$D$13,3,MATCH($B255,'MOA role matrix'!$B$1:$D$1,0))="Fill","CFO / Head of Finance, ","")IF(INDEX('MOA role matrix'!$B$2:$D$13,3,MATCH($B255,'MOA role matrix'!$B$1:$D$1,0))="If finance","CFO / Head of Finance (if finance), ","")IF(INDEX('MOA role matrix'!$B$2:$D$13,3,MATCH($B255,'MOA role matrix'!$B$1:$D$1,0))="Auto","CFO / Head of Finance (auto), ","")IF(INDEX('MOA role matrix'!$B$2:$D$13,4,MATCH($B255,'MOA role matrix'!$B$1:$D$1,0))="Fill","CEO / COO / GM, ","")IF(INDEX('MOA role matrix'!$B$2:$D$13,4,MATCH($B255,'MOA role matrix'!$B$1:$D$1,0))="If finance","CEO / COO / GM (if finance), ","")IF(INDEX('MOA role matrix'!$B$2:$D$13,4,MATCH($B255,'MOA role matrix'!$B$1:$D$1,0))="Auto","CEO / COO / GM (auto), ","")IF(INDEX('MOA role matrix'!$B$2:$D$13,5,MATCH($B255,'MOA role matrix'!$B$1:$D$1,0))="Fill","Board member 1, ","")IF(INDEX('MOA role matrix'!$B$2:$D$13,5,MATCH($B255,'MOA role matrix'!$B$1:$D$1,0))="If finance","Board member 1 (if finance), ","")IF(INDEX('MOA role matrix'!$B$2:$D$13,5,MATCH($B255,'MOA role matrix'!$B$1:$D$1,0))="Auto","Board member 1 (auto), ","")IF(INDEX('MOA role matrix'!$B$2:$D$13,6,MATCH($B255,'MOA role matrix'!$B$1:$D$1,0))="Fill","Board member 2, ","")IF(INDEX('MOA role matrix'!$B$2:$D$13,6,MATCH($B255,'MOA role matrix'!$B$1:$D$1,0))="If finance","Board member 2 (if finance), ","")IF(INDEX('MOA role matrix'!$B$2:$D$13,6,MATCH($B255,'MOA role matrix'!$B$1:$D$1,0))="Auto","Board member 2 (auto), ","")IF(INDEX('MOA role matrix'!$B$2:$D$13,7,MATCH($B255,'MOA role matrix'!$B$1:$D$1,0))="Fill","LOA holder 1, ","")IF(INDEX('MOA role matrix'!$B$2:$D$13,7,MATCH($B255,'MOA role matrix'!$B$1:$D$1,0))="If finance","LOA holder 1 (if finance), ","")IF(INDEX('MOA role matrix'!$B$2:$D$13,7,MATCH($B255,'MOA role matrix'!$B$1:$D$1,0))="Auto","LOA holder 1 (auto), ","")IF(INDEX('MOA role matrix'!$B$2:$D$13,8,MATCH($B255,'MOA role matrix'!$B$1:$D$1,0))="Fill","LOA holder 2, ","")IF(INDEX('MOA role matrix'!$B$2:$D$13,8,MATCH($B255,'MOA role matrix'!$B$1:$D$1,0))="If finance","LOA holder 2 (if finance), ","")IF(INDEX('MOA role matrix'!$B$2:$D$13,8,MATCH($B255,'MOA role matrix'!$B$1:$D$1,0))="Auto","LOA holder 2 (auto), ","")IF(INDEX('MOA role matrix'!$B$2:$D$13,9,MATCH($B255,'MOA role matrix'!$B$1:$D$1,0))="Fill","Senior Manager CoSec, ","")IF(INDEX('MOA role matrix'!$B$2:$D$13,9,MATCH($B255,'MOA role matrix'!$B$1:$D$1,0))="If finance","Senior Manager CoSec (if finance), ","")IF(INDEX('MOA role matrix'!$B$2:$D$13,9,MATCH($B255,'MOA role matrix'!$B$1:$D$1,0))="Auto","Senior Manager CoSec (auto), ","")IF(INDEX('MOA role matrix'!$B$2:$D$13,10,MATCH($B255,'MOA role matrix'!$B$1:$D$1,0))="Fill","Division MOI managers, ","")IF(INDEX('MOA role matrix'!$B$2:$D$13,10,MATCH($B255,'MOA role matrix'!$B$1:$D$1,0))="If finance","Division MOI managers (if finance), ","")IF(INDEX('MOA role matrix'!$B$2:$D$13,10,MATCH($B255,'MOA role matrix'!$B$1:$D$1,0))="Auto","Division MOI managers (auto), ","")IF(INDEX('MOA role matrix'!$B$2:$D$13,11,MATCH($B255,'MOA role matrix'!$B$1:$D$1,0))="Fill","Ms Teh (bank), ","")IF(INDEX('MOA role matrix'!$B$2:$D$13,11,MATCH($B255,'MOA role matrix'!$B$1:$D$1,0))="If finance","Ms Teh (bank) (if finance), ","")IF(INDEX('MOA role matrix'!$B$2:$D$13,11,MATCH($B255,'MOA role matrix'!$B$1:$D$1,0))="Auto","Ms Teh (bank) (auto), ","")IF(INDEX('MOA role matrix'!$B$2:$D$13,12,MATCH($B255,'MOA role matrix'!$B$1:$D$1,0))="Fill","DLCM, ","")IF(INDEX('MOA role matrix'!$B$2:$D$13,12,MATCH($B255,'MOA role matrix'!$B$1:$D$1,0))="If finance","DLCM (if finance), ","")IF(INDEX('MOA role matrix'!$B$2:$D$13,12,MATCH($B255,'MOA role matrix'!$B$1:$D$1,0))="Auto","DLCM (auto), ","")))</f>
        <v/>
      </c>
      <c r="D255" s="5">
        <f>IF($A255="","",IFERROR(INDEX(FILTER('Client contacts'!$B$2:$B$500,('Client contacts'!$A$2:$A$500=$A255)*('Client contacts'!$H$2:$H$500="Y"),""),1),""))</f>
        <v/>
      </c>
      <c r="E255" s="5">
        <f>IF($A255="","",IFERROR(INDEX(FILTER('Client contacts'!$C$2:$C$500,('Client contacts'!$A$2:$A$500=$A255)*('Client contacts'!$H$2:$H$500="Y"),""),1),""))</f>
        <v/>
      </c>
      <c r="F255" s="5">
        <f>IF($A255="","",IFERROR(INDEX(FILTER('Client contacts'!$B$2:$B$500,('Client contacts'!$A$2:$A$500=$A255)*('Client contacts'!$G$2:$G$500="Y"),""),1),""))</f>
        <v/>
      </c>
      <c r="G255" s="5">
        <f>IF($A255="","",IFERROR(INDEX(FILTER('Client contacts'!$C$2:$C$500,('Client contacts'!$A$2:$A$500=$A255)*('Client contacts'!$G$2:$G$500="Y"),""),1),""))</f>
        <v/>
      </c>
      <c r="H255" s="5">
        <f>IF($A255="","",IFERROR(INDEX(FILTER('Client contacts'!$B$2:$B$500,('Client contacts'!$A$2:$A$500=$A255)*('Client contacts'!$G$2:$G$500="Y"),""),2),""))</f>
        <v/>
      </c>
      <c r="I255" s="5">
        <f>IF($A255="","",IFERROR(INDEX(FILTER('Client contacts'!$C$2:$C$500,('Client contacts'!$A$2:$A$500=$A255)*('Client contacts'!$G$2:$G$500="Y"),""),2),""))</f>
        <v/>
      </c>
      <c r="J255" s="8" t="n"/>
      <c r="K255" s="8" t="n"/>
      <c r="L255" s="8" t="n"/>
      <c r="M255" s="8" t="n"/>
      <c r="N255" s="8" t="n"/>
      <c r="O255" s="8" t="n"/>
      <c r="P255" s="8" t="n"/>
      <c r="Q255" s="8" t="n"/>
      <c r="R255" s="5">
        <f>IF($A255="","",IFERROR(INDEX(Companies!$I$2:$I$500,MATCH($A255,Companies!$A$2:$A$500,0)),""))</f>
        <v/>
      </c>
      <c r="S255" s="8" t="n"/>
      <c r="T255" s="8" t="n"/>
      <c r="U255" s="8" t="n"/>
      <c r="V255" s="8" t="n"/>
      <c r="W255" s="8" t="n"/>
    </row>
    <row r="256">
      <c r="C256" s="5">
        <f>IF($B256="","",TRIM(IF(INDEX('MOA role matrix'!$B$2:$D$13,1,MATCH($B256,'MOA role matrix'!$B$1:$D$1,0))="Fill","Project initiator, ","")IF(INDEX('MOA role matrix'!$B$2:$D$13,1,MATCH($B256,'MOA role matrix'!$B$1:$D$1,0))="If finance","Project initiator (if finance), ","")IF(INDEX('MOA role matrix'!$B$2:$D$13,1,MATCH($B256,'MOA role matrix'!$B$1:$D$1,0))="Auto","Project initiator (auto), ","")IF(INDEX('MOA role matrix'!$B$2:$D$13,2,MATCH($B256,'MOA role matrix'!$B$1:$D$1,0))="Fill","MOA signers (client), ","")IF(INDEX('MOA role matrix'!$B$2:$D$13,2,MATCH($B256,'MOA role matrix'!$B$1:$D$1,0))="If finance","MOA signers (client) (if finance), ","")IF(INDEX('MOA role matrix'!$B$2:$D$13,2,MATCH($B256,'MOA role matrix'!$B$1:$D$1,0))="Auto","MOA signers (client) (auto), ","")IF(INDEX('MOA role matrix'!$B$2:$D$13,3,MATCH($B256,'MOA role matrix'!$B$1:$D$1,0))="Fill","CFO / Head of Finance, ","")IF(INDEX('MOA role matrix'!$B$2:$D$13,3,MATCH($B256,'MOA role matrix'!$B$1:$D$1,0))="If finance","CFO / Head of Finance (if finance), ","")IF(INDEX('MOA role matrix'!$B$2:$D$13,3,MATCH($B256,'MOA role matrix'!$B$1:$D$1,0))="Auto","CFO / Head of Finance (auto), ","")IF(INDEX('MOA role matrix'!$B$2:$D$13,4,MATCH($B256,'MOA role matrix'!$B$1:$D$1,0))="Fill","CEO / COO / GM, ","")IF(INDEX('MOA role matrix'!$B$2:$D$13,4,MATCH($B256,'MOA role matrix'!$B$1:$D$1,0))="If finance","CEO / COO / GM (if finance), ","")IF(INDEX('MOA role matrix'!$B$2:$D$13,4,MATCH($B256,'MOA role matrix'!$B$1:$D$1,0))="Auto","CEO / COO / GM (auto), ","")IF(INDEX('MOA role matrix'!$B$2:$D$13,5,MATCH($B256,'MOA role matrix'!$B$1:$D$1,0))="Fill","Board member 1, ","")IF(INDEX('MOA role matrix'!$B$2:$D$13,5,MATCH($B256,'MOA role matrix'!$B$1:$D$1,0))="If finance","Board member 1 (if finance), ","")IF(INDEX('MOA role matrix'!$B$2:$D$13,5,MATCH($B256,'MOA role matrix'!$B$1:$D$1,0))="Auto","Board member 1 (auto), ","")IF(INDEX('MOA role matrix'!$B$2:$D$13,6,MATCH($B256,'MOA role matrix'!$B$1:$D$1,0))="Fill","Board member 2, ","")IF(INDEX('MOA role matrix'!$B$2:$D$13,6,MATCH($B256,'MOA role matrix'!$B$1:$D$1,0))="If finance","Board member 2 (if finance), ","")IF(INDEX('MOA role matrix'!$B$2:$D$13,6,MATCH($B256,'MOA role matrix'!$B$1:$D$1,0))="Auto","Board member 2 (auto), ","")IF(INDEX('MOA role matrix'!$B$2:$D$13,7,MATCH($B256,'MOA role matrix'!$B$1:$D$1,0))="Fill","LOA holder 1, ","")IF(INDEX('MOA role matrix'!$B$2:$D$13,7,MATCH($B256,'MOA role matrix'!$B$1:$D$1,0))="If finance","LOA holder 1 (if finance), ","")IF(INDEX('MOA role matrix'!$B$2:$D$13,7,MATCH($B256,'MOA role matrix'!$B$1:$D$1,0))="Auto","LOA holder 1 (auto), ","")IF(INDEX('MOA role matrix'!$B$2:$D$13,8,MATCH($B256,'MOA role matrix'!$B$1:$D$1,0))="Fill","LOA holder 2, ","")IF(INDEX('MOA role matrix'!$B$2:$D$13,8,MATCH($B256,'MOA role matrix'!$B$1:$D$1,0))="If finance","LOA holder 2 (if finance), ","")IF(INDEX('MOA role matrix'!$B$2:$D$13,8,MATCH($B256,'MOA role matrix'!$B$1:$D$1,0))="Auto","LOA holder 2 (auto), ","")IF(INDEX('MOA role matrix'!$B$2:$D$13,9,MATCH($B256,'MOA role matrix'!$B$1:$D$1,0))="Fill","Senior Manager CoSec, ","")IF(INDEX('MOA role matrix'!$B$2:$D$13,9,MATCH($B256,'MOA role matrix'!$B$1:$D$1,0))="If finance","Senior Manager CoSec (if finance), ","")IF(INDEX('MOA role matrix'!$B$2:$D$13,9,MATCH($B256,'MOA role matrix'!$B$1:$D$1,0))="Auto","Senior Manager CoSec (auto), ","")IF(INDEX('MOA role matrix'!$B$2:$D$13,10,MATCH($B256,'MOA role matrix'!$B$1:$D$1,0))="Fill","Division MOI managers, ","")IF(INDEX('MOA role matrix'!$B$2:$D$13,10,MATCH($B256,'MOA role matrix'!$B$1:$D$1,0))="If finance","Division MOI managers (if finance), ","")IF(INDEX('MOA role matrix'!$B$2:$D$13,10,MATCH($B256,'MOA role matrix'!$B$1:$D$1,0))="Auto","Division MOI managers (auto), ","")IF(INDEX('MOA role matrix'!$B$2:$D$13,11,MATCH($B256,'MOA role matrix'!$B$1:$D$1,0))="Fill","Ms Teh (bank), ","")IF(INDEX('MOA role matrix'!$B$2:$D$13,11,MATCH($B256,'MOA role matrix'!$B$1:$D$1,0))="If finance","Ms Teh (bank) (if finance), ","")IF(INDEX('MOA role matrix'!$B$2:$D$13,11,MATCH($B256,'MOA role matrix'!$B$1:$D$1,0))="Auto","Ms Teh (bank) (auto), ","")IF(INDEX('MOA role matrix'!$B$2:$D$13,12,MATCH($B256,'MOA role matrix'!$B$1:$D$1,0))="Fill","DLCM, ","")IF(INDEX('MOA role matrix'!$B$2:$D$13,12,MATCH($B256,'MOA role matrix'!$B$1:$D$1,0))="If finance","DLCM (if finance), ","")IF(INDEX('MOA role matrix'!$B$2:$D$13,12,MATCH($B256,'MOA role matrix'!$B$1:$D$1,0))="Auto","DLCM (auto), ","")))</f>
        <v/>
      </c>
      <c r="D256" s="5">
        <f>IF($A256="","",IFERROR(INDEX(FILTER('Client contacts'!$B$2:$B$500,('Client contacts'!$A$2:$A$500=$A256)*('Client contacts'!$H$2:$H$500="Y"),""),1),""))</f>
        <v/>
      </c>
      <c r="E256" s="5">
        <f>IF($A256="","",IFERROR(INDEX(FILTER('Client contacts'!$C$2:$C$500,('Client contacts'!$A$2:$A$500=$A256)*('Client contacts'!$H$2:$H$500="Y"),""),1),""))</f>
        <v/>
      </c>
      <c r="F256" s="5">
        <f>IF($A256="","",IFERROR(INDEX(FILTER('Client contacts'!$B$2:$B$500,('Client contacts'!$A$2:$A$500=$A256)*('Client contacts'!$G$2:$G$500="Y"),""),1),""))</f>
        <v/>
      </c>
      <c r="G256" s="5">
        <f>IF($A256="","",IFERROR(INDEX(FILTER('Client contacts'!$C$2:$C$500,('Client contacts'!$A$2:$A$500=$A256)*('Client contacts'!$G$2:$G$500="Y"),""),1),""))</f>
        <v/>
      </c>
      <c r="H256" s="5">
        <f>IF($A256="","",IFERROR(INDEX(FILTER('Client contacts'!$B$2:$B$500,('Client contacts'!$A$2:$A$500=$A256)*('Client contacts'!$G$2:$G$500="Y"),""),2),""))</f>
        <v/>
      </c>
      <c r="I256" s="5">
        <f>IF($A256="","",IFERROR(INDEX(FILTER('Client contacts'!$C$2:$C$500,('Client contacts'!$A$2:$A$500=$A256)*('Client contacts'!$G$2:$G$500="Y"),""),2),""))</f>
        <v/>
      </c>
      <c r="J256" s="8" t="n"/>
      <c r="K256" s="8" t="n"/>
      <c r="L256" s="8" t="n"/>
      <c r="M256" s="8" t="n"/>
      <c r="N256" s="8" t="n"/>
      <c r="O256" s="8" t="n"/>
      <c r="P256" s="8" t="n"/>
      <c r="Q256" s="8" t="n"/>
      <c r="R256" s="5">
        <f>IF($A256="","",IFERROR(INDEX(Companies!$I$2:$I$500,MATCH($A256,Companies!$A$2:$A$500,0)),""))</f>
        <v/>
      </c>
      <c r="S256" s="8" t="n"/>
      <c r="T256" s="8" t="n"/>
      <c r="U256" s="8" t="n"/>
      <c r="V256" s="8" t="n"/>
      <c r="W256" s="8" t="n"/>
    </row>
    <row r="257">
      <c r="C257" s="5">
        <f>IF($B257="","",TRIM(IF(INDEX('MOA role matrix'!$B$2:$D$13,1,MATCH($B257,'MOA role matrix'!$B$1:$D$1,0))="Fill","Project initiator, ","")IF(INDEX('MOA role matrix'!$B$2:$D$13,1,MATCH($B257,'MOA role matrix'!$B$1:$D$1,0))="If finance","Project initiator (if finance), ","")IF(INDEX('MOA role matrix'!$B$2:$D$13,1,MATCH($B257,'MOA role matrix'!$B$1:$D$1,0))="Auto","Project initiator (auto), ","")IF(INDEX('MOA role matrix'!$B$2:$D$13,2,MATCH($B257,'MOA role matrix'!$B$1:$D$1,0))="Fill","MOA signers (client), ","")IF(INDEX('MOA role matrix'!$B$2:$D$13,2,MATCH($B257,'MOA role matrix'!$B$1:$D$1,0))="If finance","MOA signers (client) (if finance), ","")IF(INDEX('MOA role matrix'!$B$2:$D$13,2,MATCH($B257,'MOA role matrix'!$B$1:$D$1,0))="Auto","MOA signers (client) (auto), ","")IF(INDEX('MOA role matrix'!$B$2:$D$13,3,MATCH($B257,'MOA role matrix'!$B$1:$D$1,0))="Fill","CFO / Head of Finance, ","")IF(INDEX('MOA role matrix'!$B$2:$D$13,3,MATCH($B257,'MOA role matrix'!$B$1:$D$1,0))="If finance","CFO / Head of Finance (if finance), ","")IF(INDEX('MOA role matrix'!$B$2:$D$13,3,MATCH($B257,'MOA role matrix'!$B$1:$D$1,0))="Auto","CFO / Head of Finance (auto), ","")IF(INDEX('MOA role matrix'!$B$2:$D$13,4,MATCH($B257,'MOA role matrix'!$B$1:$D$1,0))="Fill","CEO / COO / GM, ","")IF(INDEX('MOA role matrix'!$B$2:$D$13,4,MATCH($B257,'MOA role matrix'!$B$1:$D$1,0))="If finance","CEO / COO / GM (if finance), ","")IF(INDEX('MOA role matrix'!$B$2:$D$13,4,MATCH($B257,'MOA role matrix'!$B$1:$D$1,0))="Auto","CEO / COO / GM (auto), ","")IF(INDEX('MOA role matrix'!$B$2:$D$13,5,MATCH($B257,'MOA role matrix'!$B$1:$D$1,0))="Fill","Board member 1, ","")IF(INDEX('MOA role matrix'!$B$2:$D$13,5,MATCH($B257,'MOA role matrix'!$B$1:$D$1,0))="If finance","Board member 1 (if finance), ","")IF(INDEX('MOA role matrix'!$B$2:$D$13,5,MATCH($B257,'MOA role matrix'!$B$1:$D$1,0))="Auto","Board member 1 (auto), ","")IF(INDEX('MOA role matrix'!$B$2:$D$13,6,MATCH($B257,'MOA role matrix'!$B$1:$D$1,0))="Fill","Board member 2, ","")IF(INDEX('MOA role matrix'!$B$2:$D$13,6,MATCH($B257,'MOA role matrix'!$B$1:$D$1,0))="If finance","Board member 2 (if finance), ","")IF(INDEX('MOA role matrix'!$B$2:$D$13,6,MATCH($B257,'MOA role matrix'!$B$1:$D$1,0))="Auto","Board member 2 (auto), ","")IF(INDEX('MOA role matrix'!$B$2:$D$13,7,MATCH($B257,'MOA role matrix'!$B$1:$D$1,0))="Fill","LOA holder 1, ","")IF(INDEX('MOA role matrix'!$B$2:$D$13,7,MATCH($B257,'MOA role matrix'!$B$1:$D$1,0))="If finance","LOA holder 1 (if finance), ","")IF(INDEX('MOA role matrix'!$B$2:$D$13,7,MATCH($B257,'MOA role matrix'!$B$1:$D$1,0))="Auto","LOA holder 1 (auto), ","")IF(INDEX('MOA role matrix'!$B$2:$D$13,8,MATCH($B257,'MOA role matrix'!$B$1:$D$1,0))="Fill","LOA holder 2, ","")IF(INDEX('MOA role matrix'!$B$2:$D$13,8,MATCH($B257,'MOA role matrix'!$B$1:$D$1,0))="If finance","LOA holder 2 (if finance), ","")IF(INDEX('MOA role matrix'!$B$2:$D$13,8,MATCH($B257,'MOA role matrix'!$B$1:$D$1,0))="Auto","LOA holder 2 (auto), ","")IF(INDEX('MOA role matrix'!$B$2:$D$13,9,MATCH($B257,'MOA role matrix'!$B$1:$D$1,0))="Fill","Senior Manager CoSec, ","")IF(INDEX('MOA role matrix'!$B$2:$D$13,9,MATCH($B257,'MOA role matrix'!$B$1:$D$1,0))="If finance","Senior Manager CoSec (if finance), ","")IF(INDEX('MOA role matrix'!$B$2:$D$13,9,MATCH($B257,'MOA role matrix'!$B$1:$D$1,0))="Auto","Senior Manager CoSec (auto), ","")IF(INDEX('MOA role matrix'!$B$2:$D$13,10,MATCH($B257,'MOA role matrix'!$B$1:$D$1,0))="Fill","Division MOI managers, ","")IF(INDEX('MOA role matrix'!$B$2:$D$13,10,MATCH($B257,'MOA role matrix'!$B$1:$D$1,0))="If finance","Division MOI managers (if finance), ","")IF(INDEX('MOA role matrix'!$B$2:$D$13,10,MATCH($B257,'MOA role matrix'!$B$1:$D$1,0))="Auto","Division MOI managers (auto), ","")IF(INDEX('MOA role matrix'!$B$2:$D$13,11,MATCH($B257,'MOA role matrix'!$B$1:$D$1,0))="Fill","Ms Teh (bank), ","")IF(INDEX('MOA role matrix'!$B$2:$D$13,11,MATCH($B257,'MOA role matrix'!$B$1:$D$1,0))="If finance","Ms Teh (bank) (if finance), ","")IF(INDEX('MOA role matrix'!$B$2:$D$13,11,MATCH($B257,'MOA role matrix'!$B$1:$D$1,0))="Auto","Ms Teh (bank) (auto), ","")IF(INDEX('MOA role matrix'!$B$2:$D$13,12,MATCH($B257,'MOA role matrix'!$B$1:$D$1,0))="Fill","DLCM, ","")IF(INDEX('MOA role matrix'!$B$2:$D$13,12,MATCH($B257,'MOA role matrix'!$B$1:$D$1,0))="If finance","DLCM (if finance), ","")IF(INDEX('MOA role matrix'!$B$2:$D$13,12,MATCH($B257,'MOA role matrix'!$B$1:$D$1,0))="Auto","DLCM (auto), ","")))</f>
        <v/>
      </c>
      <c r="D257" s="5">
        <f>IF($A257="","",IFERROR(INDEX(FILTER('Client contacts'!$B$2:$B$500,('Client contacts'!$A$2:$A$500=$A257)*('Client contacts'!$H$2:$H$500="Y"),""),1),""))</f>
        <v/>
      </c>
      <c r="E257" s="5">
        <f>IF($A257="","",IFERROR(INDEX(FILTER('Client contacts'!$C$2:$C$500,('Client contacts'!$A$2:$A$500=$A257)*('Client contacts'!$H$2:$H$500="Y"),""),1),""))</f>
        <v/>
      </c>
      <c r="F257" s="5">
        <f>IF($A257="","",IFERROR(INDEX(FILTER('Client contacts'!$B$2:$B$500,('Client contacts'!$A$2:$A$500=$A257)*('Client contacts'!$G$2:$G$500="Y"),""),1),""))</f>
        <v/>
      </c>
      <c r="G257" s="5">
        <f>IF($A257="","",IFERROR(INDEX(FILTER('Client contacts'!$C$2:$C$500,('Client contacts'!$A$2:$A$500=$A257)*('Client contacts'!$G$2:$G$500="Y"),""),1),""))</f>
        <v/>
      </c>
      <c r="H257" s="5">
        <f>IF($A257="","",IFERROR(INDEX(FILTER('Client contacts'!$B$2:$B$500,('Client contacts'!$A$2:$A$500=$A257)*('Client contacts'!$G$2:$G$500="Y"),""),2),""))</f>
        <v/>
      </c>
      <c r="I257" s="5">
        <f>IF($A257="","",IFERROR(INDEX(FILTER('Client contacts'!$C$2:$C$500,('Client contacts'!$A$2:$A$500=$A257)*('Client contacts'!$G$2:$G$500="Y"),""),2),""))</f>
        <v/>
      </c>
      <c r="J257" s="8" t="n"/>
      <c r="K257" s="8" t="n"/>
      <c r="L257" s="8" t="n"/>
      <c r="M257" s="8" t="n"/>
      <c r="N257" s="8" t="n"/>
      <c r="O257" s="8" t="n"/>
      <c r="P257" s="8" t="n"/>
      <c r="Q257" s="8" t="n"/>
      <c r="R257" s="5">
        <f>IF($A257="","",IFERROR(INDEX(Companies!$I$2:$I$500,MATCH($A257,Companies!$A$2:$A$500,0)),""))</f>
        <v/>
      </c>
      <c r="S257" s="8" t="n"/>
      <c r="T257" s="8" t="n"/>
      <c r="U257" s="8" t="n"/>
      <c r="V257" s="8" t="n"/>
      <c r="W257" s="8" t="n"/>
    </row>
    <row r="258">
      <c r="C258" s="5">
        <f>IF($B258="","",TRIM(IF(INDEX('MOA role matrix'!$B$2:$D$13,1,MATCH($B258,'MOA role matrix'!$B$1:$D$1,0))="Fill","Project initiator, ","")IF(INDEX('MOA role matrix'!$B$2:$D$13,1,MATCH($B258,'MOA role matrix'!$B$1:$D$1,0))="If finance","Project initiator (if finance), ","")IF(INDEX('MOA role matrix'!$B$2:$D$13,1,MATCH($B258,'MOA role matrix'!$B$1:$D$1,0))="Auto","Project initiator (auto), ","")IF(INDEX('MOA role matrix'!$B$2:$D$13,2,MATCH($B258,'MOA role matrix'!$B$1:$D$1,0))="Fill","MOA signers (client), ","")IF(INDEX('MOA role matrix'!$B$2:$D$13,2,MATCH($B258,'MOA role matrix'!$B$1:$D$1,0))="If finance","MOA signers (client) (if finance), ","")IF(INDEX('MOA role matrix'!$B$2:$D$13,2,MATCH($B258,'MOA role matrix'!$B$1:$D$1,0))="Auto","MOA signers (client) (auto), ","")IF(INDEX('MOA role matrix'!$B$2:$D$13,3,MATCH($B258,'MOA role matrix'!$B$1:$D$1,0))="Fill","CFO / Head of Finance, ","")IF(INDEX('MOA role matrix'!$B$2:$D$13,3,MATCH($B258,'MOA role matrix'!$B$1:$D$1,0))="If finance","CFO / Head of Finance (if finance), ","")IF(INDEX('MOA role matrix'!$B$2:$D$13,3,MATCH($B258,'MOA role matrix'!$B$1:$D$1,0))="Auto","CFO / Head of Finance (auto), ","")IF(INDEX('MOA role matrix'!$B$2:$D$13,4,MATCH($B258,'MOA role matrix'!$B$1:$D$1,0))="Fill","CEO / COO / GM, ","")IF(INDEX('MOA role matrix'!$B$2:$D$13,4,MATCH($B258,'MOA role matrix'!$B$1:$D$1,0))="If finance","CEO / COO / GM (if finance), ","")IF(INDEX('MOA role matrix'!$B$2:$D$13,4,MATCH($B258,'MOA role matrix'!$B$1:$D$1,0))="Auto","CEO / COO / GM (auto), ","")IF(INDEX('MOA role matrix'!$B$2:$D$13,5,MATCH($B258,'MOA role matrix'!$B$1:$D$1,0))="Fill","Board member 1, ","")IF(INDEX('MOA role matrix'!$B$2:$D$13,5,MATCH($B258,'MOA role matrix'!$B$1:$D$1,0))="If finance","Board member 1 (if finance), ","")IF(INDEX('MOA role matrix'!$B$2:$D$13,5,MATCH($B258,'MOA role matrix'!$B$1:$D$1,0))="Auto","Board member 1 (auto), ","")IF(INDEX('MOA role matrix'!$B$2:$D$13,6,MATCH($B258,'MOA role matrix'!$B$1:$D$1,0))="Fill","Board member 2, ","")IF(INDEX('MOA role matrix'!$B$2:$D$13,6,MATCH($B258,'MOA role matrix'!$B$1:$D$1,0))="If finance","Board member 2 (if finance), ","")IF(INDEX('MOA role matrix'!$B$2:$D$13,6,MATCH($B258,'MOA role matrix'!$B$1:$D$1,0))="Auto","Board member 2 (auto), ","")IF(INDEX('MOA role matrix'!$B$2:$D$13,7,MATCH($B258,'MOA role matrix'!$B$1:$D$1,0))="Fill","LOA holder 1, ","")IF(INDEX('MOA role matrix'!$B$2:$D$13,7,MATCH($B258,'MOA role matrix'!$B$1:$D$1,0))="If finance","LOA holder 1 (if finance), ","")IF(INDEX('MOA role matrix'!$B$2:$D$13,7,MATCH($B258,'MOA role matrix'!$B$1:$D$1,0))="Auto","LOA holder 1 (auto), ","")IF(INDEX('MOA role matrix'!$B$2:$D$13,8,MATCH($B258,'MOA role matrix'!$B$1:$D$1,0))="Fill","LOA holder 2, ","")IF(INDEX('MOA role matrix'!$B$2:$D$13,8,MATCH($B258,'MOA role matrix'!$B$1:$D$1,0))="If finance","LOA holder 2 (if finance), ","")IF(INDEX('MOA role matrix'!$B$2:$D$13,8,MATCH($B258,'MOA role matrix'!$B$1:$D$1,0))="Auto","LOA holder 2 (auto), ","")IF(INDEX('MOA role matrix'!$B$2:$D$13,9,MATCH($B258,'MOA role matrix'!$B$1:$D$1,0))="Fill","Senior Manager CoSec, ","")IF(INDEX('MOA role matrix'!$B$2:$D$13,9,MATCH($B258,'MOA role matrix'!$B$1:$D$1,0))="If finance","Senior Manager CoSec (if finance), ","")IF(INDEX('MOA role matrix'!$B$2:$D$13,9,MATCH($B258,'MOA role matrix'!$B$1:$D$1,0))="Auto","Senior Manager CoSec (auto), ","")IF(INDEX('MOA role matrix'!$B$2:$D$13,10,MATCH($B258,'MOA role matrix'!$B$1:$D$1,0))="Fill","Division MOI managers, ","")IF(INDEX('MOA role matrix'!$B$2:$D$13,10,MATCH($B258,'MOA role matrix'!$B$1:$D$1,0))="If finance","Division MOI managers (if finance), ","")IF(INDEX('MOA role matrix'!$B$2:$D$13,10,MATCH($B258,'MOA role matrix'!$B$1:$D$1,0))="Auto","Division MOI managers (auto), ","")IF(INDEX('MOA role matrix'!$B$2:$D$13,11,MATCH($B258,'MOA role matrix'!$B$1:$D$1,0))="Fill","Ms Teh (bank), ","")IF(INDEX('MOA role matrix'!$B$2:$D$13,11,MATCH($B258,'MOA role matrix'!$B$1:$D$1,0))="If finance","Ms Teh (bank) (if finance), ","")IF(INDEX('MOA role matrix'!$B$2:$D$13,11,MATCH($B258,'MOA role matrix'!$B$1:$D$1,0))="Auto","Ms Teh (bank) (auto), ","")IF(INDEX('MOA role matrix'!$B$2:$D$13,12,MATCH($B258,'MOA role matrix'!$B$1:$D$1,0))="Fill","DLCM, ","")IF(INDEX('MOA role matrix'!$B$2:$D$13,12,MATCH($B258,'MOA role matrix'!$B$1:$D$1,0))="If finance","DLCM (if finance), ","")IF(INDEX('MOA role matrix'!$B$2:$D$13,12,MATCH($B258,'MOA role matrix'!$B$1:$D$1,0))="Auto","DLCM (auto), ","")))</f>
        <v/>
      </c>
      <c r="D258" s="5">
        <f>IF($A258="","",IFERROR(INDEX(FILTER('Client contacts'!$B$2:$B$500,('Client contacts'!$A$2:$A$500=$A258)*('Client contacts'!$H$2:$H$500="Y"),""),1),""))</f>
        <v/>
      </c>
      <c r="E258" s="5">
        <f>IF($A258="","",IFERROR(INDEX(FILTER('Client contacts'!$C$2:$C$500,('Client contacts'!$A$2:$A$500=$A258)*('Client contacts'!$H$2:$H$500="Y"),""),1),""))</f>
        <v/>
      </c>
      <c r="F258" s="5">
        <f>IF($A258="","",IFERROR(INDEX(FILTER('Client contacts'!$B$2:$B$500,('Client contacts'!$A$2:$A$500=$A258)*('Client contacts'!$G$2:$G$500="Y"),""),1),""))</f>
        <v/>
      </c>
      <c r="G258" s="5">
        <f>IF($A258="","",IFERROR(INDEX(FILTER('Client contacts'!$C$2:$C$500,('Client contacts'!$A$2:$A$500=$A258)*('Client contacts'!$G$2:$G$500="Y"),""),1),""))</f>
        <v/>
      </c>
      <c r="H258" s="5">
        <f>IF($A258="","",IFERROR(INDEX(FILTER('Client contacts'!$B$2:$B$500,('Client contacts'!$A$2:$A$500=$A258)*('Client contacts'!$G$2:$G$500="Y"),""),2),""))</f>
        <v/>
      </c>
      <c r="I258" s="5">
        <f>IF($A258="","",IFERROR(INDEX(FILTER('Client contacts'!$C$2:$C$500,('Client contacts'!$A$2:$A$500=$A258)*('Client contacts'!$G$2:$G$500="Y"),""),2),""))</f>
        <v/>
      </c>
      <c r="J258" s="8" t="n"/>
      <c r="K258" s="8" t="n"/>
      <c r="L258" s="8" t="n"/>
      <c r="M258" s="8" t="n"/>
      <c r="N258" s="8" t="n"/>
      <c r="O258" s="8" t="n"/>
      <c r="P258" s="8" t="n"/>
      <c r="Q258" s="8" t="n"/>
      <c r="R258" s="5">
        <f>IF($A258="","",IFERROR(INDEX(Companies!$I$2:$I$500,MATCH($A258,Companies!$A$2:$A$500,0)),""))</f>
        <v/>
      </c>
      <c r="S258" s="8" t="n"/>
      <c r="T258" s="8" t="n"/>
      <c r="U258" s="8" t="n"/>
      <c r="V258" s="8" t="n"/>
      <c r="W258" s="8" t="n"/>
    </row>
    <row r="259">
      <c r="C259" s="5">
        <f>IF($B259="","",TRIM(IF(INDEX('MOA role matrix'!$B$2:$D$13,1,MATCH($B259,'MOA role matrix'!$B$1:$D$1,0))="Fill","Project initiator, ","")IF(INDEX('MOA role matrix'!$B$2:$D$13,1,MATCH($B259,'MOA role matrix'!$B$1:$D$1,0))="If finance","Project initiator (if finance), ","")IF(INDEX('MOA role matrix'!$B$2:$D$13,1,MATCH($B259,'MOA role matrix'!$B$1:$D$1,0))="Auto","Project initiator (auto), ","")IF(INDEX('MOA role matrix'!$B$2:$D$13,2,MATCH($B259,'MOA role matrix'!$B$1:$D$1,0))="Fill","MOA signers (client), ","")IF(INDEX('MOA role matrix'!$B$2:$D$13,2,MATCH($B259,'MOA role matrix'!$B$1:$D$1,0))="If finance","MOA signers (client) (if finance), ","")IF(INDEX('MOA role matrix'!$B$2:$D$13,2,MATCH($B259,'MOA role matrix'!$B$1:$D$1,0))="Auto","MOA signers (client) (auto), ","")IF(INDEX('MOA role matrix'!$B$2:$D$13,3,MATCH($B259,'MOA role matrix'!$B$1:$D$1,0))="Fill","CFO / Head of Finance, ","")IF(INDEX('MOA role matrix'!$B$2:$D$13,3,MATCH($B259,'MOA role matrix'!$B$1:$D$1,0))="If finance","CFO / Head of Finance (if finance), ","")IF(INDEX('MOA role matrix'!$B$2:$D$13,3,MATCH($B259,'MOA role matrix'!$B$1:$D$1,0))="Auto","CFO / Head of Finance (auto), ","")IF(INDEX('MOA role matrix'!$B$2:$D$13,4,MATCH($B259,'MOA role matrix'!$B$1:$D$1,0))="Fill","CEO / COO / GM, ","")IF(INDEX('MOA role matrix'!$B$2:$D$13,4,MATCH($B259,'MOA role matrix'!$B$1:$D$1,0))="If finance","CEO / COO / GM (if finance), ","")IF(INDEX('MOA role matrix'!$B$2:$D$13,4,MATCH($B259,'MOA role matrix'!$B$1:$D$1,0))="Auto","CEO / COO / GM (auto), ","")IF(INDEX('MOA role matrix'!$B$2:$D$13,5,MATCH($B259,'MOA role matrix'!$B$1:$D$1,0))="Fill","Board member 1, ","")IF(INDEX('MOA role matrix'!$B$2:$D$13,5,MATCH($B259,'MOA role matrix'!$B$1:$D$1,0))="If finance","Board member 1 (if finance), ","")IF(INDEX('MOA role matrix'!$B$2:$D$13,5,MATCH($B259,'MOA role matrix'!$B$1:$D$1,0))="Auto","Board member 1 (auto), ","")IF(INDEX('MOA role matrix'!$B$2:$D$13,6,MATCH($B259,'MOA role matrix'!$B$1:$D$1,0))="Fill","Board member 2, ","")IF(INDEX('MOA role matrix'!$B$2:$D$13,6,MATCH($B259,'MOA role matrix'!$B$1:$D$1,0))="If finance","Board member 2 (if finance), ","")IF(INDEX('MOA role matrix'!$B$2:$D$13,6,MATCH($B259,'MOA role matrix'!$B$1:$D$1,0))="Auto","Board member 2 (auto), ","")IF(INDEX('MOA role matrix'!$B$2:$D$13,7,MATCH($B259,'MOA role matrix'!$B$1:$D$1,0))="Fill","LOA holder 1, ","")IF(INDEX('MOA role matrix'!$B$2:$D$13,7,MATCH($B259,'MOA role matrix'!$B$1:$D$1,0))="If finance","LOA holder 1 (if finance), ","")IF(INDEX('MOA role matrix'!$B$2:$D$13,7,MATCH($B259,'MOA role matrix'!$B$1:$D$1,0))="Auto","LOA holder 1 (auto), ","")IF(INDEX('MOA role matrix'!$B$2:$D$13,8,MATCH($B259,'MOA role matrix'!$B$1:$D$1,0))="Fill","LOA holder 2, ","")IF(INDEX('MOA role matrix'!$B$2:$D$13,8,MATCH($B259,'MOA role matrix'!$B$1:$D$1,0))="If finance","LOA holder 2 (if finance), ","")IF(INDEX('MOA role matrix'!$B$2:$D$13,8,MATCH($B259,'MOA role matrix'!$B$1:$D$1,0))="Auto","LOA holder 2 (auto), ","")IF(INDEX('MOA role matrix'!$B$2:$D$13,9,MATCH($B259,'MOA role matrix'!$B$1:$D$1,0))="Fill","Senior Manager CoSec, ","")IF(INDEX('MOA role matrix'!$B$2:$D$13,9,MATCH($B259,'MOA role matrix'!$B$1:$D$1,0))="If finance","Senior Manager CoSec (if finance), ","")IF(INDEX('MOA role matrix'!$B$2:$D$13,9,MATCH($B259,'MOA role matrix'!$B$1:$D$1,0))="Auto","Senior Manager CoSec (auto), ","")IF(INDEX('MOA role matrix'!$B$2:$D$13,10,MATCH($B259,'MOA role matrix'!$B$1:$D$1,0))="Fill","Division MOI managers, ","")IF(INDEX('MOA role matrix'!$B$2:$D$13,10,MATCH($B259,'MOA role matrix'!$B$1:$D$1,0))="If finance","Division MOI managers (if finance), ","")IF(INDEX('MOA role matrix'!$B$2:$D$13,10,MATCH($B259,'MOA role matrix'!$B$1:$D$1,0))="Auto","Division MOI managers (auto), ","")IF(INDEX('MOA role matrix'!$B$2:$D$13,11,MATCH($B259,'MOA role matrix'!$B$1:$D$1,0))="Fill","Ms Teh (bank), ","")IF(INDEX('MOA role matrix'!$B$2:$D$13,11,MATCH($B259,'MOA role matrix'!$B$1:$D$1,0))="If finance","Ms Teh (bank) (if finance), ","")IF(INDEX('MOA role matrix'!$B$2:$D$13,11,MATCH($B259,'MOA role matrix'!$B$1:$D$1,0))="Auto","Ms Teh (bank) (auto), ","")IF(INDEX('MOA role matrix'!$B$2:$D$13,12,MATCH($B259,'MOA role matrix'!$B$1:$D$1,0))="Fill","DLCM, ","")IF(INDEX('MOA role matrix'!$B$2:$D$13,12,MATCH($B259,'MOA role matrix'!$B$1:$D$1,0))="If finance","DLCM (if finance), ","")IF(INDEX('MOA role matrix'!$B$2:$D$13,12,MATCH($B259,'MOA role matrix'!$B$1:$D$1,0))="Auto","DLCM (auto), ","")))</f>
        <v/>
      </c>
      <c r="D259" s="5">
        <f>IF($A259="","",IFERROR(INDEX(FILTER('Client contacts'!$B$2:$B$500,('Client contacts'!$A$2:$A$500=$A259)*('Client contacts'!$H$2:$H$500="Y"),""),1),""))</f>
        <v/>
      </c>
      <c r="E259" s="5">
        <f>IF($A259="","",IFERROR(INDEX(FILTER('Client contacts'!$C$2:$C$500,('Client contacts'!$A$2:$A$500=$A259)*('Client contacts'!$H$2:$H$500="Y"),""),1),""))</f>
        <v/>
      </c>
      <c r="F259" s="5">
        <f>IF($A259="","",IFERROR(INDEX(FILTER('Client contacts'!$B$2:$B$500,('Client contacts'!$A$2:$A$500=$A259)*('Client contacts'!$G$2:$G$500="Y"),""),1),""))</f>
        <v/>
      </c>
      <c r="G259" s="5">
        <f>IF($A259="","",IFERROR(INDEX(FILTER('Client contacts'!$C$2:$C$500,('Client contacts'!$A$2:$A$500=$A259)*('Client contacts'!$G$2:$G$500="Y"),""),1),""))</f>
        <v/>
      </c>
      <c r="H259" s="5">
        <f>IF($A259="","",IFERROR(INDEX(FILTER('Client contacts'!$B$2:$B$500,('Client contacts'!$A$2:$A$500=$A259)*('Client contacts'!$G$2:$G$500="Y"),""),2),""))</f>
        <v/>
      </c>
      <c r="I259" s="5">
        <f>IF($A259="","",IFERROR(INDEX(FILTER('Client contacts'!$C$2:$C$500,('Client contacts'!$A$2:$A$500=$A259)*('Client contacts'!$G$2:$G$500="Y"),""),2),""))</f>
        <v/>
      </c>
      <c r="J259" s="8" t="n"/>
      <c r="K259" s="8" t="n"/>
      <c r="L259" s="8" t="n"/>
      <c r="M259" s="8" t="n"/>
      <c r="N259" s="8" t="n"/>
      <c r="O259" s="8" t="n"/>
      <c r="P259" s="8" t="n"/>
      <c r="Q259" s="8" t="n"/>
      <c r="R259" s="5">
        <f>IF($A259="","",IFERROR(INDEX(Companies!$I$2:$I$500,MATCH($A259,Companies!$A$2:$A$500,0)),""))</f>
        <v/>
      </c>
      <c r="S259" s="8" t="n"/>
      <c r="T259" s="8" t="n"/>
      <c r="U259" s="8" t="n"/>
      <c r="V259" s="8" t="n"/>
      <c r="W259" s="8" t="n"/>
    </row>
    <row r="260">
      <c r="C260" s="5">
        <f>IF($B260="","",TRIM(IF(INDEX('MOA role matrix'!$B$2:$D$13,1,MATCH($B260,'MOA role matrix'!$B$1:$D$1,0))="Fill","Project initiator, ","")IF(INDEX('MOA role matrix'!$B$2:$D$13,1,MATCH($B260,'MOA role matrix'!$B$1:$D$1,0))="If finance","Project initiator (if finance), ","")IF(INDEX('MOA role matrix'!$B$2:$D$13,1,MATCH($B260,'MOA role matrix'!$B$1:$D$1,0))="Auto","Project initiator (auto), ","")IF(INDEX('MOA role matrix'!$B$2:$D$13,2,MATCH($B260,'MOA role matrix'!$B$1:$D$1,0))="Fill","MOA signers (client), ","")IF(INDEX('MOA role matrix'!$B$2:$D$13,2,MATCH($B260,'MOA role matrix'!$B$1:$D$1,0))="If finance","MOA signers (client) (if finance), ","")IF(INDEX('MOA role matrix'!$B$2:$D$13,2,MATCH($B260,'MOA role matrix'!$B$1:$D$1,0))="Auto","MOA signers (client) (auto), ","")IF(INDEX('MOA role matrix'!$B$2:$D$13,3,MATCH($B260,'MOA role matrix'!$B$1:$D$1,0))="Fill","CFO / Head of Finance, ","")IF(INDEX('MOA role matrix'!$B$2:$D$13,3,MATCH($B260,'MOA role matrix'!$B$1:$D$1,0))="If finance","CFO / Head of Finance (if finance), ","")IF(INDEX('MOA role matrix'!$B$2:$D$13,3,MATCH($B260,'MOA role matrix'!$B$1:$D$1,0))="Auto","CFO / Head of Finance (auto), ","")IF(INDEX('MOA role matrix'!$B$2:$D$13,4,MATCH($B260,'MOA role matrix'!$B$1:$D$1,0))="Fill","CEO / COO / GM, ","")IF(INDEX('MOA role matrix'!$B$2:$D$13,4,MATCH($B260,'MOA role matrix'!$B$1:$D$1,0))="If finance","CEO / COO / GM (if finance), ","")IF(INDEX('MOA role matrix'!$B$2:$D$13,4,MATCH($B260,'MOA role matrix'!$B$1:$D$1,0))="Auto","CEO / COO / GM (auto), ","")IF(INDEX('MOA role matrix'!$B$2:$D$13,5,MATCH($B260,'MOA role matrix'!$B$1:$D$1,0))="Fill","Board member 1, ","")IF(INDEX('MOA role matrix'!$B$2:$D$13,5,MATCH($B260,'MOA role matrix'!$B$1:$D$1,0))="If finance","Board member 1 (if finance), ","")IF(INDEX('MOA role matrix'!$B$2:$D$13,5,MATCH($B260,'MOA role matrix'!$B$1:$D$1,0))="Auto","Board member 1 (auto), ","")IF(INDEX('MOA role matrix'!$B$2:$D$13,6,MATCH($B260,'MOA role matrix'!$B$1:$D$1,0))="Fill","Board member 2, ","")IF(INDEX('MOA role matrix'!$B$2:$D$13,6,MATCH($B260,'MOA role matrix'!$B$1:$D$1,0))="If finance","Board member 2 (if finance), ","")IF(INDEX('MOA role matrix'!$B$2:$D$13,6,MATCH($B260,'MOA role matrix'!$B$1:$D$1,0))="Auto","Board member 2 (auto), ","")IF(INDEX('MOA role matrix'!$B$2:$D$13,7,MATCH($B260,'MOA role matrix'!$B$1:$D$1,0))="Fill","LOA holder 1, ","")IF(INDEX('MOA role matrix'!$B$2:$D$13,7,MATCH($B260,'MOA role matrix'!$B$1:$D$1,0))="If finance","LOA holder 1 (if finance), ","")IF(INDEX('MOA role matrix'!$B$2:$D$13,7,MATCH($B260,'MOA role matrix'!$B$1:$D$1,0))="Auto","LOA holder 1 (auto), ","")IF(INDEX('MOA role matrix'!$B$2:$D$13,8,MATCH($B260,'MOA role matrix'!$B$1:$D$1,0))="Fill","LOA holder 2, ","")IF(INDEX('MOA role matrix'!$B$2:$D$13,8,MATCH($B260,'MOA role matrix'!$B$1:$D$1,0))="If finance","LOA holder 2 (if finance), ","")IF(INDEX('MOA role matrix'!$B$2:$D$13,8,MATCH($B260,'MOA role matrix'!$B$1:$D$1,0))="Auto","LOA holder 2 (auto), ","")IF(INDEX('MOA role matrix'!$B$2:$D$13,9,MATCH($B260,'MOA role matrix'!$B$1:$D$1,0))="Fill","Senior Manager CoSec, ","")IF(INDEX('MOA role matrix'!$B$2:$D$13,9,MATCH($B260,'MOA role matrix'!$B$1:$D$1,0))="If finance","Senior Manager CoSec (if finance), ","")IF(INDEX('MOA role matrix'!$B$2:$D$13,9,MATCH($B260,'MOA role matrix'!$B$1:$D$1,0))="Auto","Senior Manager CoSec (auto), ","")IF(INDEX('MOA role matrix'!$B$2:$D$13,10,MATCH($B260,'MOA role matrix'!$B$1:$D$1,0))="Fill","Division MOI managers, ","")IF(INDEX('MOA role matrix'!$B$2:$D$13,10,MATCH($B260,'MOA role matrix'!$B$1:$D$1,0))="If finance","Division MOI managers (if finance), ","")IF(INDEX('MOA role matrix'!$B$2:$D$13,10,MATCH($B260,'MOA role matrix'!$B$1:$D$1,0))="Auto","Division MOI managers (auto), ","")IF(INDEX('MOA role matrix'!$B$2:$D$13,11,MATCH($B260,'MOA role matrix'!$B$1:$D$1,0))="Fill","Ms Teh (bank), ","")IF(INDEX('MOA role matrix'!$B$2:$D$13,11,MATCH($B260,'MOA role matrix'!$B$1:$D$1,0))="If finance","Ms Teh (bank) (if finance), ","")IF(INDEX('MOA role matrix'!$B$2:$D$13,11,MATCH($B260,'MOA role matrix'!$B$1:$D$1,0))="Auto","Ms Teh (bank) (auto), ","")IF(INDEX('MOA role matrix'!$B$2:$D$13,12,MATCH($B260,'MOA role matrix'!$B$1:$D$1,0))="Fill","DLCM, ","")IF(INDEX('MOA role matrix'!$B$2:$D$13,12,MATCH($B260,'MOA role matrix'!$B$1:$D$1,0))="If finance","DLCM (if finance), ","")IF(INDEX('MOA role matrix'!$B$2:$D$13,12,MATCH($B260,'MOA role matrix'!$B$1:$D$1,0))="Auto","DLCM (auto), ","")))</f>
        <v/>
      </c>
      <c r="D260" s="5">
        <f>IF($A260="","",IFERROR(INDEX(FILTER('Client contacts'!$B$2:$B$500,('Client contacts'!$A$2:$A$500=$A260)*('Client contacts'!$H$2:$H$500="Y"),""),1),""))</f>
        <v/>
      </c>
      <c r="E260" s="5">
        <f>IF($A260="","",IFERROR(INDEX(FILTER('Client contacts'!$C$2:$C$500,('Client contacts'!$A$2:$A$500=$A260)*('Client contacts'!$H$2:$H$500="Y"),""),1),""))</f>
        <v/>
      </c>
      <c r="F260" s="5">
        <f>IF($A260="","",IFERROR(INDEX(FILTER('Client contacts'!$B$2:$B$500,('Client contacts'!$A$2:$A$500=$A260)*('Client contacts'!$G$2:$G$500="Y"),""),1),""))</f>
        <v/>
      </c>
      <c r="G260" s="5">
        <f>IF($A260="","",IFERROR(INDEX(FILTER('Client contacts'!$C$2:$C$500,('Client contacts'!$A$2:$A$500=$A260)*('Client contacts'!$G$2:$G$500="Y"),""),1),""))</f>
        <v/>
      </c>
      <c r="H260" s="5">
        <f>IF($A260="","",IFERROR(INDEX(FILTER('Client contacts'!$B$2:$B$500,('Client contacts'!$A$2:$A$500=$A260)*('Client contacts'!$G$2:$G$500="Y"),""),2),""))</f>
        <v/>
      </c>
      <c r="I260" s="5">
        <f>IF($A260="","",IFERROR(INDEX(FILTER('Client contacts'!$C$2:$C$500,('Client contacts'!$A$2:$A$500=$A260)*('Client contacts'!$G$2:$G$500="Y"),""),2),""))</f>
        <v/>
      </c>
      <c r="J260" s="8" t="n"/>
      <c r="K260" s="8" t="n"/>
      <c r="L260" s="8" t="n"/>
      <c r="M260" s="8" t="n"/>
      <c r="N260" s="8" t="n"/>
      <c r="O260" s="8" t="n"/>
      <c r="P260" s="8" t="n"/>
      <c r="Q260" s="8" t="n"/>
      <c r="R260" s="5">
        <f>IF($A260="","",IFERROR(INDEX(Companies!$I$2:$I$500,MATCH($A260,Companies!$A$2:$A$500,0)),""))</f>
        <v/>
      </c>
      <c r="S260" s="8" t="n"/>
      <c r="T260" s="8" t="n"/>
      <c r="U260" s="8" t="n"/>
      <c r="V260" s="8" t="n"/>
      <c r="W260" s="8" t="n"/>
    </row>
    <row r="261">
      <c r="C261" s="5">
        <f>IF($B261="","",TRIM(IF(INDEX('MOA role matrix'!$B$2:$D$13,1,MATCH($B261,'MOA role matrix'!$B$1:$D$1,0))="Fill","Project initiator, ","")IF(INDEX('MOA role matrix'!$B$2:$D$13,1,MATCH($B261,'MOA role matrix'!$B$1:$D$1,0))="If finance","Project initiator (if finance), ","")IF(INDEX('MOA role matrix'!$B$2:$D$13,1,MATCH($B261,'MOA role matrix'!$B$1:$D$1,0))="Auto","Project initiator (auto), ","")IF(INDEX('MOA role matrix'!$B$2:$D$13,2,MATCH($B261,'MOA role matrix'!$B$1:$D$1,0))="Fill","MOA signers (client), ","")IF(INDEX('MOA role matrix'!$B$2:$D$13,2,MATCH($B261,'MOA role matrix'!$B$1:$D$1,0))="If finance","MOA signers (client) (if finance), ","")IF(INDEX('MOA role matrix'!$B$2:$D$13,2,MATCH($B261,'MOA role matrix'!$B$1:$D$1,0))="Auto","MOA signers (client) (auto), ","")IF(INDEX('MOA role matrix'!$B$2:$D$13,3,MATCH($B261,'MOA role matrix'!$B$1:$D$1,0))="Fill","CFO / Head of Finance, ","")IF(INDEX('MOA role matrix'!$B$2:$D$13,3,MATCH($B261,'MOA role matrix'!$B$1:$D$1,0))="If finance","CFO / Head of Finance (if finance), ","")IF(INDEX('MOA role matrix'!$B$2:$D$13,3,MATCH($B261,'MOA role matrix'!$B$1:$D$1,0))="Auto","CFO / Head of Finance (auto), ","")IF(INDEX('MOA role matrix'!$B$2:$D$13,4,MATCH($B261,'MOA role matrix'!$B$1:$D$1,0))="Fill","CEO / COO / GM, ","")IF(INDEX('MOA role matrix'!$B$2:$D$13,4,MATCH($B261,'MOA role matrix'!$B$1:$D$1,0))="If finance","CEO / COO / GM (if finance), ","")IF(INDEX('MOA role matrix'!$B$2:$D$13,4,MATCH($B261,'MOA role matrix'!$B$1:$D$1,0))="Auto","CEO / COO / GM (auto), ","")IF(INDEX('MOA role matrix'!$B$2:$D$13,5,MATCH($B261,'MOA role matrix'!$B$1:$D$1,0))="Fill","Board member 1, ","")IF(INDEX('MOA role matrix'!$B$2:$D$13,5,MATCH($B261,'MOA role matrix'!$B$1:$D$1,0))="If finance","Board member 1 (if finance), ","")IF(INDEX('MOA role matrix'!$B$2:$D$13,5,MATCH($B261,'MOA role matrix'!$B$1:$D$1,0))="Auto","Board member 1 (auto), ","")IF(INDEX('MOA role matrix'!$B$2:$D$13,6,MATCH($B261,'MOA role matrix'!$B$1:$D$1,0))="Fill","Board member 2, ","")IF(INDEX('MOA role matrix'!$B$2:$D$13,6,MATCH($B261,'MOA role matrix'!$B$1:$D$1,0))="If finance","Board member 2 (if finance), ","")IF(INDEX('MOA role matrix'!$B$2:$D$13,6,MATCH($B261,'MOA role matrix'!$B$1:$D$1,0))="Auto","Board member 2 (auto), ","")IF(INDEX('MOA role matrix'!$B$2:$D$13,7,MATCH($B261,'MOA role matrix'!$B$1:$D$1,0))="Fill","LOA holder 1, ","")IF(INDEX('MOA role matrix'!$B$2:$D$13,7,MATCH($B261,'MOA role matrix'!$B$1:$D$1,0))="If finance","LOA holder 1 (if finance), ","")IF(INDEX('MOA role matrix'!$B$2:$D$13,7,MATCH($B261,'MOA role matrix'!$B$1:$D$1,0))="Auto","LOA holder 1 (auto), ","")IF(INDEX('MOA role matrix'!$B$2:$D$13,8,MATCH($B261,'MOA role matrix'!$B$1:$D$1,0))="Fill","LOA holder 2, ","")IF(INDEX('MOA role matrix'!$B$2:$D$13,8,MATCH($B261,'MOA role matrix'!$B$1:$D$1,0))="If finance","LOA holder 2 (if finance), ","")IF(INDEX('MOA role matrix'!$B$2:$D$13,8,MATCH($B261,'MOA role matrix'!$B$1:$D$1,0))="Auto","LOA holder 2 (auto), ","")IF(INDEX('MOA role matrix'!$B$2:$D$13,9,MATCH($B261,'MOA role matrix'!$B$1:$D$1,0))="Fill","Senior Manager CoSec, ","")IF(INDEX('MOA role matrix'!$B$2:$D$13,9,MATCH($B261,'MOA role matrix'!$B$1:$D$1,0))="If finance","Senior Manager CoSec (if finance), ","")IF(INDEX('MOA role matrix'!$B$2:$D$13,9,MATCH($B261,'MOA role matrix'!$B$1:$D$1,0))="Auto","Senior Manager CoSec (auto), ","")IF(INDEX('MOA role matrix'!$B$2:$D$13,10,MATCH($B261,'MOA role matrix'!$B$1:$D$1,0))="Fill","Division MOI managers, ","")IF(INDEX('MOA role matrix'!$B$2:$D$13,10,MATCH($B261,'MOA role matrix'!$B$1:$D$1,0))="If finance","Division MOI managers (if finance), ","")IF(INDEX('MOA role matrix'!$B$2:$D$13,10,MATCH($B261,'MOA role matrix'!$B$1:$D$1,0))="Auto","Division MOI managers (auto), ","")IF(INDEX('MOA role matrix'!$B$2:$D$13,11,MATCH($B261,'MOA role matrix'!$B$1:$D$1,0))="Fill","Ms Teh (bank), ","")IF(INDEX('MOA role matrix'!$B$2:$D$13,11,MATCH($B261,'MOA role matrix'!$B$1:$D$1,0))="If finance","Ms Teh (bank) (if finance), ","")IF(INDEX('MOA role matrix'!$B$2:$D$13,11,MATCH($B261,'MOA role matrix'!$B$1:$D$1,0))="Auto","Ms Teh (bank) (auto), ","")IF(INDEX('MOA role matrix'!$B$2:$D$13,12,MATCH($B261,'MOA role matrix'!$B$1:$D$1,0))="Fill","DLCM, ","")IF(INDEX('MOA role matrix'!$B$2:$D$13,12,MATCH($B261,'MOA role matrix'!$B$1:$D$1,0))="If finance","DLCM (if finance), ","")IF(INDEX('MOA role matrix'!$B$2:$D$13,12,MATCH($B261,'MOA role matrix'!$B$1:$D$1,0))="Auto","DLCM (auto), ","")))</f>
        <v/>
      </c>
      <c r="D261" s="5">
        <f>IF($A261="","",IFERROR(INDEX(FILTER('Client contacts'!$B$2:$B$500,('Client contacts'!$A$2:$A$500=$A261)*('Client contacts'!$H$2:$H$500="Y"),""),1),""))</f>
        <v/>
      </c>
      <c r="E261" s="5">
        <f>IF($A261="","",IFERROR(INDEX(FILTER('Client contacts'!$C$2:$C$500,('Client contacts'!$A$2:$A$500=$A261)*('Client contacts'!$H$2:$H$500="Y"),""),1),""))</f>
        <v/>
      </c>
      <c r="F261" s="5">
        <f>IF($A261="","",IFERROR(INDEX(FILTER('Client contacts'!$B$2:$B$500,('Client contacts'!$A$2:$A$500=$A261)*('Client contacts'!$G$2:$G$500="Y"),""),1),""))</f>
        <v/>
      </c>
      <c r="G261" s="5">
        <f>IF($A261="","",IFERROR(INDEX(FILTER('Client contacts'!$C$2:$C$500,('Client contacts'!$A$2:$A$500=$A261)*('Client contacts'!$G$2:$G$500="Y"),""),1),""))</f>
        <v/>
      </c>
      <c r="H261" s="5">
        <f>IF($A261="","",IFERROR(INDEX(FILTER('Client contacts'!$B$2:$B$500,('Client contacts'!$A$2:$A$500=$A261)*('Client contacts'!$G$2:$G$500="Y"),""),2),""))</f>
        <v/>
      </c>
      <c r="I261" s="5">
        <f>IF($A261="","",IFERROR(INDEX(FILTER('Client contacts'!$C$2:$C$500,('Client contacts'!$A$2:$A$500=$A261)*('Client contacts'!$G$2:$G$500="Y"),""),2),""))</f>
        <v/>
      </c>
      <c r="J261" s="8" t="n"/>
      <c r="K261" s="8" t="n"/>
      <c r="L261" s="8" t="n"/>
      <c r="M261" s="8" t="n"/>
      <c r="N261" s="8" t="n"/>
      <c r="O261" s="8" t="n"/>
      <c r="P261" s="8" t="n"/>
      <c r="Q261" s="8" t="n"/>
      <c r="R261" s="5">
        <f>IF($A261="","",IFERROR(INDEX(Companies!$I$2:$I$500,MATCH($A261,Companies!$A$2:$A$500,0)),""))</f>
        <v/>
      </c>
      <c r="S261" s="8" t="n"/>
      <c r="T261" s="8" t="n"/>
      <c r="U261" s="8" t="n"/>
      <c r="V261" s="8" t="n"/>
      <c r="W261" s="8" t="n"/>
    </row>
    <row r="262">
      <c r="C262" s="5">
        <f>IF($B262="","",TRIM(IF(INDEX('MOA role matrix'!$B$2:$D$13,1,MATCH($B262,'MOA role matrix'!$B$1:$D$1,0))="Fill","Project initiator, ","")IF(INDEX('MOA role matrix'!$B$2:$D$13,1,MATCH($B262,'MOA role matrix'!$B$1:$D$1,0))="If finance","Project initiator (if finance), ","")IF(INDEX('MOA role matrix'!$B$2:$D$13,1,MATCH($B262,'MOA role matrix'!$B$1:$D$1,0))="Auto","Project initiator (auto), ","")IF(INDEX('MOA role matrix'!$B$2:$D$13,2,MATCH($B262,'MOA role matrix'!$B$1:$D$1,0))="Fill","MOA signers (client), ","")IF(INDEX('MOA role matrix'!$B$2:$D$13,2,MATCH($B262,'MOA role matrix'!$B$1:$D$1,0))="If finance","MOA signers (client) (if finance), ","")IF(INDEX('MOA role matrix'!$B$2:$D$13,2,MATCH($B262,'MOA role matrix'!$B$1:$D$1,0))="Auto","MOA signers (client) (auto), ","")IF(INDEX('MOA role matrix'!$B$2:$D$13,3,MATCH($B262,'MOA role matrix'!$B$1:$D$1,0))="Fill","CFO / Head of Finance, ","")IF(INDEX('MOA role matrix'!$B$2:$D$13,3,MATCH($B262,'MOA role matrix'!$B$1:$D$1,0))="If finance","CFO / Head of Finance (if finance), ","")IF(INDEX('MOA role matrix'!$B$2:$D$13,3,MATCH($B262,'MOA role matrix'!$B$1:$D$1,0))="Auto","CFO / Head of Finance (auto), ","")IF(INDEX('MOA role matrix'!$B$2:$D$13,4,MATCH($B262,'MOA role matrix'!$B$1:$D$1,0))="Fill","CEO / COO / GM, ","")IF(INDEX('MOA role matrix'!$B$2:$D$13,4,MATCH($B262,'MOA role matrix'!$B$1:$D$1,0))="If finance","CEO / COO / GM (if finance), ","")IF(INDEX('MOA role matrix'!$B$2:$D$13,4,MATCH($B262,'MOA role matrix'!$B$1:$D$1,0))="Auto","CEO / COO / GM (auto), ","")IF(INDEX('MOA role matrix'!$B$2:$D$13,5,MATCH($B262,'MOA role matrix'!$B$1:$D$1,0))="Fill","Board member 1, ","")IF(INDEX('MOA role matrix'!$B$2:$D$13,5,MATCH($B262,'MOA role matrix'!$B$1:$D$1,0))="If finance","Board member 1 (if finance), ","")IF(INDEX('MOA role matrix'!$B$2:$D$13,5,MATCH($B262,'MOA role matrix'!$B$1:$D$1,0))="Auto","Board member 1 (auto), ","")IF(INDEX('MOA role matrix'!$B$2:$D$13,6,MATCH($B262,'MOA role matrix'!$B$1:$D$1,0))="Fill","Board member 2, ","")IF(INDEX('MOA role matrix'!$B$2:$D$13,6,MATCH($B262,'MOA role matrix'!$B$1:$D$1,0))="If finance","Board member 2 (if finance), ","")IF(INDEX('MOA role matrix'!$B$2:$D$13,6,MATCH($B262,'MOA role matrix'!$B$1:$D$1,0))="Auto","Board member 2 (auto), ","")IF(INDEX('MOA role matrix'!$B$2:$D$13,7,MATCH($B262,'MOA role matrix'!$B$1:$D$1,0))="Fill","LOA holder 1, ","")IF(INDEX('MOA role matrix'!$B$2:$D$13,7,MATCH($B262,'MOA role matrix'!$B$1:$D$1,0))="If finance","LOA holder 1 (if finance), ","")IF(INDEX('MOA role matrix'!$B$2:$D$13,7,MATCH($B262,'MOA role matrix'!$B$1:$D$1,0))="Auto","LOA holder 1 (auto), ","")IF(INDEX('MOA role matrix'!$B$2:$D$13,8,MATCH($B262,'MOA role matrix'!$B$1:$D$1,0))="Fill","LOA holder 2, ","")IF(INDEX('MOA role matrix'!$B$2:$D$13,8,MATCH($B262,'MOA role matrix'!$B$1:$D$1,0))="If finance","LOA holder 2 (if finance), ","")IF(INDEX('MOA role matrix'!$B$2:$D$13,8,MATCH($B262,'MOA role matrix'!$B$1:$D$1,0))="Auto","LOA holder 2 (auto), ","")IF(INDEX('MOA role matrix'!$B$2:$D$13,9,MATCH($B262,'MOA role matrix'!$B$1:$D$1,0))="Fill","Senior Manager CoSec, ","")IF(INDEX('MOA role matrix'!$B$2:$D$13,9,MATCH($B262,'MOA role matrix'!$B$1:$D$1,0))="If finance","Senior Manager CoSec (if finance), ","")IF(INDEX('MOA role matrix'!$B$2:$D$13,9,MATCH($B262,'MOA role matrix'!$B$1:$D$1,0))="Auto","Senior Manager CoSec (auto), ","")IF(INDEX('MOA role matrix'!$B$2:$D$13,10,MATCH($B262,'MOA role matrix'!$B$1:$D$1,0))="Fill","Division MOI managers, ","")IF(INDEX('MOA role matrix'!$B$2:$D$13,10,MATCH($B262,'MOA role matrix'!$B$1:$D$1,0))="If finance","Division MOI managers (if finance), ","")IF(INDEX('MOA role matrix'!$B$2:$D$13,10,MATCH($B262,'MOA role matrix'!$B$1:$D$1,0))="Auto","Division MOI managers (auto), ","")IF(INDEX('MOA role matrix'!$B$2:$D$13,11,MATCH($B262,'MOA role matrix'!$B$1:$D$1,0))="Fill","Ms Teh (bank), ","")IF(INDEX('MOA role matrix'!$B$2:$D$13,11,MATCH($B262,'MOA role matrix'!$B$1:$D$1,0))="If finance","Ms Teh (bank) (if finance), ","")IF(INDEX('MOA role matrix'!$B$2:$D$13,11,MATCH($B262,'MOA role matrix'!$B$1:$D$1,0))="Auto","Ms Teh (bank) (auto), ","")IF(INDEX('MOA role matrix'!$B$2:$D$13,12,MATCH($B262,'MOA role matrix'!$B$1:$D$1,0))="Fill","DLCM, ","")IF(INDEX('MOA role matrix'!$B$2:$D$13,12,MATCH($B262,'MOA role matrix'!$B$1:$D$1,0))="If finance","DLCM (if finance), ","")IF(INDEX('MOA role matrix'!$B$2:$D$13,12,MATCH($B262,'MOA role matrix'!$B$1:$D$1,0))="Auto","DLCM (auto), ","")))</f>
        <v/>
      </c>
      <c r="D262" s="5">
        <f>IF($A262="","",IFERROR(INDEX(FILTER('Client contacts'!$B$2:$B$500,('Client contacts'!$A$2:$A$500=$A262)*('Client contacts'!$H$2:$H$500="Y"),""),1),""))</f>
        <v/>
      </c>
      <c r="E262" s="5">
        <f>IF($A262="","",IFERROR(INDEX(FILTER('Client contacts'!$C$2:$C$500,('Client contacts'!$A$2:$A$500=$A262)*('Client contacts'!$H$2:$H$500="Y"),""),1),""))</f>
        <v/>
      </c>
      <c r="F262" s="5">
        <f>IF($A262="","",IFERROR(INDEX(FILTER('Client contacts'!$B$2:$B$500,('Client contacts'!$A$2:$A$500=$A262)*('Client contacts'!$G$2:$G$500="Y"),""),1),""))</f>
        <v/>
      </c>
      <c r="G262" s="5">
        <f>IF($A262="","",IFERROR(INDEX(FILTER('Client contacts'!$C$2:$C$500,('Client contacts'!$A$2:$A$500=$A262)*('Client contacts'!$G$2:$G$500="Y"),""),1),""))</f>
        <v/>
      </c>
      <c r="H262" s="5">
        <f>IF($A262="","",IFERROR(INDEX(FILTER('Client contacts'!$B$2:$B$500,('Client contacts'!$A$2:$A$500=$A262)*('Client contacts'!$G$2:$G$500="Y"),""),2),""))</f>
        <v/>
      </c>
      <c r="I262" s="5">
        <f>IF($A262="","",IFERROR(INDEX(FILTER('Client contacts'!$C$2:$C$500,('Client contacts'!$A$2:$A$500=$A262)*('Client contacts'!$G$2:$G$500="Y"),""),2),""))</f>
        <v/>
      </c>
      <c r="J262" s="8" t="n"/>
      <c r="K262" s="8" t="n"/>
      <c r="L262" s="8" t="n"/>
      <c r="M262" s="8" t="n"/>
      <c r="N262" s="8" t="n"/>
      <c r="O262" s="8" t="n"/>
      <c r="P262" s="8" t="n"/>
      <c r="Q262" s="8" t="n"/>
      <c r="R262" s="5">
        <f>IF($A262="","",IFERROR(INDEX(Companies!$I$2:$I$500,MATCH($A262,Companies!$A$2:$A$500,0)),""))</f>
        <v/>
      </c>
      <c r="S262" s="8" t="n"/>
      <c r="T262" s="8" t="n"/>
      <c r="U262" s="8" t="n"/>
      <c r="V262" s="8" t="n"/>
      <c r="W262" s="8" t="n"/>
    </row>
    <row r="263">
      <c r="C263" s="5">
        <f>IF($B263="","",TRIM(IF(INDEX('MOA role matrix'!$B$2:$D$13,1,MATCH($B263,'MOA role matrix'!$B$1:$D$1,0))="Fill","Project initiator, ","")IF(INDEX('MOA role matrix'!$B$2:$D$13,1,MATCH($B263,'MOA role matrix'!$B$1:$D$1,0))="If finance","Project initiator (if finance), ","")IF(INDEX('MOA role matrix'!$B$2:$D$13,1,MATCH($B263,'MOA role matrix'!$B$1:$D$1,0))="Auto","Project initiator (auto), ","")IF(INDEX('MOA role matrix'!$B$2:$D$13,2,MATCH($B263,'MOA role matrix'!$B$1:$D$1,0))="Fill","MOA signers (client), ","")IF(INDEX('MOA role matrix'!$B$2:$D$13,2,MATCH($B263,'MOA role matrix'!$B$1:$D$1,0))="If finance","MOA signers (client) (if finance), ","")IF(INDEX('MOA role matrix'!$B$2:$D$13,2,MATCH($B263,'MOA role matrix'!$B$1:$D$1,0))="Auto","MOA signers (client) (auto), ","")IF(INDEX('MOA role matrix'!$B$2:$D$13,3,MATCH($B263,'MOA role matrix'!$B$1:$D$1,0))="Fill","CFO / Head of Finance, ","")IF(INDEX('MOA role matrix'!$B$2:$D$13,3,MATCH($B263,'MOA role matrix'!$B$1:$D$1,0))="If finance","CFO / Head of Finance (if finance), ","")IF(INDEX('MOA role matrix'!$B$2:$D$13,3,MATCH($B263,'MOA role matrix'!$B$1:$D$1,0))="Auto","CFO / Head of Finance (auto), ","")IF(INDEX('MOA role matrix'!$B$2:$D$13,4,MATCH($B263,'MOA role matrix'!$B$1:$D$1,0))="Fill","CEO / COO / GM, ","")IF(INDEX('MOA role matrix'!$B$2:$D$13,4,MATCH($B263,'MOA role matrix'!$B$1:$D$1,0))="If finance","CEO / COO / GM (if finance), ","")IF(INDEX('MOA role matrix'!$B$2:$D$13,4,MATCH($B263,'MOA role matrix'!$B$1:$D$1,0))="Auto","CEO / COO / GM (auto), ","")IF(INDEX('MOA role matrix'!$B$2:$D$13,5,MATCH($B263,'MOA role matrix'!$B$1:$D$1,0))="Fill","Board member 1, ","")IF(INDEX('MOA role matrix'!$B$2:$D$13,5,MATCH($B263,'MOA role matrix'!$B$1:$D$1,0))="If finance","Board member 1 (if finance), ","")IF(INDEX('MOA role matrix'!$B$2:$D$13,5,MATCH($B263,'MOA role matrix'!$B$1:$D$1,0))="Auto","Board member 1 (auto), ","")IF(INDEX('MOA role matrix'!$B$2:$D$13,6,MATCH($B263,'MOA role matrix'!$B$1:$D$1,0))="Fill","Board member 2, ","")IF(INDEX('MOA role matrix'!$B$2:$D$13,6,MATCH($B263,'MOA role matrix'!$B$1:$D$1,0))="If finance","Board member 2 (if finance), ","")IF(INDEX('MOA role matrix'!$B$2:$D$13,6,MATCH($B263,'MOA role matrix'!$B$1:$D$1,0))="Auto","Board member 2 (auto), ","")IF(INDEX('MOA role matrix'!$B$2:$D$13,7,MATCH($B263,'MOA role matrix'!$B$1:$D$1,0))="Fill","LOA holder 1, ","")IF(INDEX('MOA role matrix'!$B$2:$D$13,7,MATCH($B263,'MOA role matrix'!$B$1:$D$1,0))="If finance","LOA holder 1 (if finance), ","")IF(INDEX('MOA role matrix'!$B$2:$D$13,7,MATCH($B263,'MOA role matrix'!$B$1:$D$1,0))="Auto","LOA holder 1 (auto), ","")IF(INDEX('MOA role matrix'!$B$2:$D$13,8,MATCH($B263,'MOA role matrix'!$B$1:$D$1,0))="Fill","LOA holder 2, ","")IF(INDEX('MOA role matrix'!$B$2:$D$13,8,MATCH($B263,'MOA role matrix'!$B$1:$D$1,0))="If finance","LOA holder 2 (if finance), ","")IF(INDEX('MOA role matrix'!$B$2:$D$13,8,MATCH($B263,'MOA role matrix'!$B$1:$D$1,0))="Auto","LOA holder 2 (auto), ","")IF(INDEX('MOA role matrix'!$B$2:$D$13,9,MATCH($B263,'MOA role matrix'!$B$1:$D$1,0))="Fill","Senior Manager CoSec, ","")IF(INDEX('MOA role matrix'!$B$2:$D$13,9,MATCH($B263,'MOA role matrix'!$B$1:$D$1,0))="If finance","Senior Manager CoSec (if finance), ","")IF(INDEX('MOA role matrix'!$B$2:$D$13,9,MATCH($B263,'MOA role matrix'!$B$1:$D$1,0))="Auto","Senior Manager CoSec (auto), ","")IF(INDEX('MOA role matrix'!$B$2:$D$13,10,MATCH($B263,'MOA role matrix'!$B$1:$D$1,0))="Fill","Division MOI managers, ","")IF(INDEX('MOA role matrix'!$B$2:$D$13,10,MATCH($B263,'MOA role matrix'!$B$1:$D$1,0))="If finance","Division MOI managers (if finance), ","")IF(INDEX('MOA role matrix'!$B$2:$D$13,10,MATCH($B263,'MOA role matrix'!$B$1:$D$1,0))="Auto","Division MOI managers (auto), ","")IF(INDEX('MOA role matrix'!$B$2:$D$13,11,MATCH($B263,'MOA role matrix'!$B$1:$D$1,0))="Fill","Ms Teh (bank), ","")IF(INDEX('MOA role matrix'!$B$2:$D$13,11,MATCH($B263,'MOA role matrix'!$B$1:$D$1,0))="If finance","Ms Teh (bank) (if finance), ","")IF(INDEX('MOA role matrix'!$B$2:$D$13,11,MATCH($B263,'MOA role matrix'!$B$1:$D$1,0))="Auto","Ms Teh (bank) (auto), ","")IF(INDEX('MOA role matrix'!$B$2:$D$13,12,MATCH($B263,'MOA role matrix'!$B$1:$D$1,0))="Fill","DLCM, ","")IF(INDEX('MOA role matrix'!$B$2:$D$13,12,MATCH($B263,'MOA role matrix'!$B$1:$D$1,0))="If finance","DLCM (if finance), ","")IF(INDEX('MOA role matrix'!$B$2:$D$13,12,MATCH($B263,'MOA role matrix'!$B$1:$D$1,0))="Auto","DLCM (auto), ","")))</f>
        <v/>
      </c>
      <c r="D263" s="5">
        <f>IF($A263="","",IFERROR(INDEX(FILTER('Client contacts'!$B$2:$B$500,('Client contacts'!$A$2:$A$500=$A263)*('Client contacts'!$H$2:$H$500="Y"),""),1),""))</f>
        <v/>
      </c>
      <c r="E263" s="5">
        <f>IF($A263="","",IFERROR(INDEX(FILTER('Client contacts'!$C$2:$C$500,('Client contacts'!$A$2:$A$500=$A263)*('Client contacts'!$H$2:$H$500="Y"),""),1),""))</f>
        <v/>
      </c>
      <c r="F263" s="5">
        <f>IF($A263="","",IFERROR(INDEX(FILTER('Client contacts'!$B$2:$B$500,('Client contacts'!$A$2:$A$500=$A263)*('Client contacts'!$G$2:$G$500="Y"),""),1),""))</f>
        <v/>
      </c>
      <c r="G263" s="5">
        <f>IF($A263="","",IFERROR(INDEX(FILTER('Client contacts'!$C$2:$C$500,('Client contacts'!$A$2:$A$500=$A263)*('Client contacts'!$G$2:$G$500="Y"),""),1),""))</f>
        <v/>
      </c>
      <c r="H263" s="5">
        <f>IF($A263="","",IFERROR(INDEX(FILTER('Client contacts'!$B$2:$B$500,('Client contacts'!$A$2:$A$500=$A263)*('Client contacts'!$G$2:$G$500="Y"),""),2),""))</f>
        <v/>
      </c>
      <c r="I263" s="5">
        <f>IF($A263="","",IFERROR(INDEX(FILTER('Client contacts'!$C$2:$C$500,('Client contacts'!$A$2:$A$500=$A263)*('Client contacts'!$G$2:$G$500="Y"),""),2),""))</f>
        <v/>
      </c>
      <c r="J263" s="8" t="n"/>
      <c r="K263" s="8" t="n"/>
      <c r="L263" s="8" t="n"/>
      <c r="M263" s="8" t="n"/>
      <c r="N263" s="8" t="n"/>
      <c r="O263" s="8" t="n"/>
      <c r="P263" s="8" t="n"/>
      <c r="Q263" s="8" t="n"/>
      <c r="R263" s="5">
        <f>IF($A263="","",IFERROR(INDEX(Companies!$I$2:$I$500,MATCH($A263,Companies!$A$2:$A$500,0)),""))</f>
        <v/>
      </c>
      <c r="S263" s="8" t="n"/>
      <c r="T263" s="8" t="n"/>
      <c r="U263" s="8" t="n"/>
      <c r="V263" s="8" t="n"/>
      <c r="W263" s="8" t="n"/>
    </row>
    <row r="264">
      <c r="C264" s="5">
        <f>IF($B264="","",TRIM(IF(INDEX('MOA role matrix'!$B$2:$D$13,1,MATCH($B264,'MOA role matrix'!$B$1:$D$1,0))="Fill","Project initiator, ","")IF(INDEX('MOA role matrix'!$B$2:$D$13,1,MATCH($B264,'MOA role matrix'!$B$1:$D$1,0))="If finance","Project initiator (if finance), ","")IF(INDEX('MOA role matrix'!$B$2:$D$13,1,MATCH($B264,'MOA role matrix'!$B$1:$D$1,0))="Auto","Project initiator (auto), ","")IF(INDEX('MOA role matrix'!$B$2:$D$13,2,MATCH($B264,'MOA role matrix'!$B$1:$D$1,0))="Fill","MOA signers (client), ","")IF(INDEX('MOA role matrix'!$B$2:$D$13,2,MATCH($B264,'MOA role matrix'!$B$1:$D$1,0))="If finance","MOA signers (client) (if finance), ","")IF(INDEX('MOA role matrix'!$B$2:$D$13,2,MATCH($B264,'MOA role matrix'!$B$1:$D$1,0))="Auto","MOA signers (client) (auto), ","")IF(INDEX('MOA role matrix'!$B$2:$D$13,3,MATCH($B264,'MOA role matrix'!$B$1:$D$1,0))="Fill","CFO / Head of Finance, ","")IF(INDEX('MOA role matrix'!$B$2:$D$13,3,MATCH($B264,'MOA role matrix'!$B$1:$D$1,0))="If finance","CFO / Head of Finance (if finance), ","")IF(INDEX('MOA role matrix'!$B$2:$D$13,3,MATCH($B264,'MOA role matrix'!$B$1:$D$1,0))="Auto","CFO / Head of Finance (auto), ","")IF(INDEX('MOA role matrix'!$B$2:$D$13,4,MATCH($B264,'MOA role matrix'!$B$1:$D$1,0))="Fill","CEO / COO / GM, ","")IF(INDEX('MOA role matrix'!$B$2:$D$13,4,MATCH($B264,'MOA role matrix'!$B$1:$D$1,0))="If finance","CEO / COO / GM (if finance), ","")IF(INDEX('MOA role matrix'!$B$2:$D$13,4,MATCH($B264,'MOA role matrix'!$B$1:$D$1,0))="Auto","CEO / COO / GM (auto), ","")IF(INDEX('MOA role matrix'!$B$2:$D$13,5,MATCH($B264,'MOA role matrix'!$B$1:$D$1,0))="Fill","Board member 1, ","")IF(INDEX('MOA role matrix'!$B$2:$D$13,5,MATCH($B264,'MOA role matrix'!$B$1:$D$1,0))="If finance","Board member 1 (if finance), ","")IF(INDEX('MOA role matrix'!$B$2:$D$13,5,MATCH($B264,'MOA role matrix'!$B$1:$D$1,0))="Auto","Board member 1 (auto), ","")IF(INDEX('MOA role matrix'!$B$2:$D$13,6,MATCH($B264,'MOA role matrix'!$B$1:$D$1,0))="Fill","Board member 2, ","")IF(INDEX('MOA role matrix'!$B$2:$D$13,6,MATCH($B264,'MOA role matrix'!$B$1:$D$1,0))="If finance","Board member 2 (if finance), ","")IF(INDEX('MOA role matrix'!$B$2:$D$13,6,MATCH($B264,'MOA role matrix'!$B$1:$D$1,0))="Auto","Board member 2 (auto), ","")IF(INDEX('MOA role matrix'!$B$2:$D$13,7,MATCH($B264,'MOA role matrix'!$B$1:$D$1,0))="Fill","LOA holder 1, ","")IF(INDEX('MOA role matrix'!$B$2:$D$13,7,MATCH($B264,'MOA role matrix'!$B$1:$D$1,0))="If finance","LOA holder 1 (if finance), ","")IF(INDEX('MOA role matrix'!$B$2:$D$13,7,MATCH($B264,'MOA role matrix'!$B$1:$D$1,0))="Auto","LOA holder 1 (auto), ","")IF(INDEX('MOA role matrix'!$B$2:$D$13,8,MATCH($B264,'MOA role matrix'!$B$1:$D$1,0))="Fill","LOA holder 2, ","")IF(INDEX('MOA role matrix'!$B$2:$D$13,8,MATCH($B264,'MOA role matrix'!$B$1:$D$1,0))="If finance","LOA holder 2 (if finance), ","")IF(INDEX('MOA role matrix'!$B$2:$D$13,8,MATCH($B264,'MOA role matrix'!$B$1:$D$1,0))="Auto","LOA holder 2 (auto), ","")IF(INDEX('MOA role matrix'!$B$2:$D$13,9,MATCH($B264,'MOA role matrix'!$B$1:$D$1,0))="Fill","Senior Manager CoSec, ","")IF(INDEX('MOA role matrix'!$B$2:$D$13,9,MATCH($B264,'MOA role matrix'!$B$1:$D$1,0))="If finance","Senior Manager CoSec (if finance), ","")IF(INDEX('MOA role matrix'!$B$2:$D$13,9,MATCH($B264,'MOA role matrix'!$B$1:$D$1,0))="Auto","Senior Manager CoSec (auto), ","")IF(INDEX('MOA role matrix'!$B$2:$D$13,10,MATCH($B264,'MOA role matrix'!$B$1:$D$1,0))="Fill","Division MOI managers, ","")IF(INDEX('MOA role matrix'!$B$2:$D$13,10,MATCH($B264,'MOA role matrix'!$B$1:$D$1,0))="If finance","Division MOI managers (if finance), ","")IF(INDEX('MOA role matrix'!$B$2:$D$13,10,MATCH($B264,'MOA role matrix'!$B$1:$D$1,0))="Auto","Division MOI managers (auto), ","")IF(INDEX('MOA role matrix'!$B$2:$D$13,11,MATCH($B264,'MOA role matrix'!$B$1:$D$1,0))="Fill","Ms Teh (bank), ","")IF(INDEX('MOA role matrix'!$B$2:$D$13,11,MATCH($B264,'MOA role matrix'!$B$1:$D$1,0))="If finance","Ms Teh (bank) (if finance), ","")IF(INDEX('MOA role matrix'!$B$2:$D$13,11,MATCH($B264,'MOA role matrix'!$B$1:$D$1,0))="Auto","Ms Teh (bank) (auto), ","")IF(INDEX('MOA role matrix'!$B$2:$D$13,12,MATCH($B264,'MOA role matrix'!$B$1:$D$1,0))="Fill","DLCM, ","")IF(INDEX('MOA role matrix'!$B$2:$D$13,12,MATCH($B264,'MOA role matrix'!$B$1:$D$1,0))="If finance","DLCM (if finance), ","")IF(INDEX('MOA role matrix'!$B$2:$D$13,12,MATCH($B264,'MOA role matrix'!$B$1:$D$1,0))="Auto","DLCM (auto), ","")))</f>
        <v/>
      </c>
      <c r="D264" s="5">
        <f>IF($A264="","",IFERROR(INDEX(FILTER('Client contacts'!$B$2:$B$500,('Client contacts'!$A$2:$A$500=$A264)*('Client contacts'!$H$2:$H$500="Y"),""),1),""))</f>
        <v/>
      </c>
      <c r="E264" s="5">
        <f>IF($A264="","",IFERROR(INDEX(FILTER('Client contacts'!$C$2:$C$500,('Client contacts'!$A$2:$A$500=$A264)*('Client contacts'!$H$2:$H$500="Y"),""),1),""))</f>
        <v/>
      </c>
      <c r="F264" s="5">
        <f>IF($A264="","",IFERROR(INDEX(FILTER('Client contacts'!$B$2:$B$500,('Client contacts'!$A$2:$A$500=$A264)*('Client contacts'!$G$2:$G$500="Y"),""),1),""))</f>
        <v/>
      </c>
      <c r="G264" s="5">
        <f>IF($A264="","",IFERROR(INDEX(FILTER('Client contacts'!$C$2:$C$500,('Client contacts'!$A$2:$A$500=$A264)*('Client contacts'!$G$2:$G$500="Y"),""),1),""))</f>
        <v/>
      </c>
      <c r="H264" s="5">
        <f>IF($A264="","",IFERROR(INDEX(FILTER('Client contacts'!$B$2:$B$500,('Client contacts'!$A$2:$A$500=$A264)*('Client contacts'!$G$2:$G$500="Y"),""),2),""))</f>
        <v/>
      </c>
      <c r="I264" s="5">
        <f>IF($A264="","",IFERROR(INDEX(FILTER('Client contacts'!$C$2:$C$500,('Client contacts'!$A$2:$A$500=$A264)*('Client contacts'!$G$2:$G$500="Y"),""),2),""))</f>
        <v/>
      </c>
      <c r="J264" s="8" t="n"/>
      <c r="K264" s="8" t="n"/>
      <c r="L264" s="8" t="n"/>
      <c r="M264" s="8" t="n"/>
      <c r="N264" s="8" t="n"/>
      <c r="O264" s="8" t="n"/>
      <c r="P264" s="8" t="n"/>
      <c r="Q264" s="8" t="n"/>
      <c r="R264" s="5">
        <f>IF($A264="","",IFERROR(INDEX(Companies!$I$2:$I$500,MATCH($A264,Companies!$A$2:$A$500,0)),""))</f>
        <v/>
      </c>
      <c r="S264" s="8" t="n"/>
      <c r="T264" s="8" t="n"/>
      <c r="U264" s="8" t="n"/>
      <c r="V264" s="8" t="n"/>
      <c r="W264" s="8" t="n"/>
    </row>
    <row r="265">
      <c r="C265" s="5">
        <f>IF($B265="","",TRIM(IF(INDEX('MOA role matrix'!$B$2:$D$13,1,MATCH($B265,'MOA role matrix'!$B$1:$D$1,0))="Fill","Project initiator, ","")IF(INDEX('MOA role matrix'!$B$2:$D$13,1,MATCH($B265,'MOA role matrix'!$B$1:$D$1,0))="If finance","Project initiator (if finance), ","")IF(INDEX('MOA role matrix'!$B$2:$D$13,1,MATCH($B265,'MOA role matrix'!$B$1:$D$1,0))="Auto","Project initiator (auto), ","")IF(INDEX('MOA role matrix'!$B$2:$D$13,2,MATCH($B265,'MOA role matrix'!$B$1:$D$1,0))="Fill","MOA signers (client), ","")IF(INDEX('MOA role matrix'!$B$2:$D$13,2,MATCH($B265,'MOA role matrix'!$B$1:$D$1,0))="If finance","MOA signers (client) (if finance), ","")IF(INDEX('MOA role matrix'!$B$2:$D$13,2,MATCH($B265,'MOA role matrix'!$B$1:$D$1,0))="Auto","MOA signers (client) (auto), ","")IF(INDEX('MOA role matrix'!$B$2:$D$13,3,MATCH($B265,'MOA role matrix'!$B$1:$D$1,0))="Fill","CFO / Head of Finance, ","")IF(INDEX('MOA role matrix'!$B$2:$D$13,3,MATCH($B265,'MOA role matrix'!$B$1:$D$1,0))="If finance","CFO / Head of Finance (if finance), ","")IF(INDEX('MOA role matrix'!$B$2:$D$13,3,MATCH($B265,'MOA role matrix'!$B$1:$D$1,0))="Auto","CFO / Head of Finance (auto), ","")IF(INDEX('MOA role matrix'!$B$2:$D$13,4,MATCH($B265,'MOA role matrix'!$B$1:$D$1,0))="Fill","CEO / COO / GM, ","")IF(INDEX('MOA role matrix'!$B$2:$D$13,4,MATCH($B265,'MOA role matrix'!$B$1:$D$1,0))="If finance","CEO / COO / GM (if finance), ","")IF(INDEX('MOA role matrix'!$B$2:$D$13,4,MATCH($B265,'MOA role matrix'!$B$1:$D$1,0))="Auto","CEO / COO / GM (auto), ","")IF(INDEX('MOA role matrix'!$B$2:$D$13,5,MATCH($B265,'MOA role matrix'!$B$1:$D$1,0))="Fill","Board member 1, ","")IF(INDEX('MOA role matrix'!$B$2:$D$13,5,MATCH($B265,'MOA role matrix'!$B$1:$D$1,0))="If finance","Board member 1 (if finance), ","")IF(INDEX('MOA role matrix'!$B$2:$D$13,5,MATCH($B265,'MOA role matrix'!$B$1:$D$1,0))="Auto","Board member 1 (auto), ","")IF(INDEX('MOA role matrix'!$B$2:$D$13,6,MATCH($B265,'MOA role matrix'!$B$1:$D$1,0))="Fill","Board member 2, ","")IF(INDEX('MOA role matrix'!$B$2:$D$13,6,MATCH($B265,'MOA role matrix'!$B$1:$D$1,0))="If finance","Board member 2 (if finance), ","")IF(INDEX('MOA role matrix'!$B$2:$D$13,6,MATCH($B265,'MOA role matrix'!$B$1:$D$1,0))="Auto","Board member 2 (auto), ","")IF(INDEX('MOA role matrix'!$B$2:$D$13,7,MATCH($B265,'MOA role matrix'!$B$1:$D$1,0))="Fill","LOA holder 1, ","")IF(INDEX('MOA role matrix'!$B$2:$D$13,7,MATCH($B265,'MOA role matrix'!$B$1:$D$1,0))="If finance","LOA holder 1 (if finance), ","")IF(INDEX('MOA role matrix'!$B$2:$D$13,7,MATCH($B265,'MOA role matrix'!$B$1:$D$1,0))="Auto","LOA holder 1 (auto), ","")IF(INDEX('MOA role matrix'!$B$2:$D$13,8,MATCH($B265,'MOA role matrix'!$B$1:$D$1,0))="Fill","LOA holder 2, ","")IF(INDEX('MOA role matrix'!$B$2:$D$13,8,MATCH($B265,'MOA role matrix'!$B$1:$D$1,0))="If finance","LOA holder 2 (if finance), ","")IF(INDEX('MOA role matrix'!$B$2:$D$13,8,MATCH($B265,'MOA role matrix'!$B$1:$D$1,0))="Auto","LOA holder 2 (auto), ","")IF(INDEX('MOA role matrix'!$B$2:$D$13,9,MATCH($B265,'MOA role matrix'!$B$1:$D$1,0))="Fill","Senior Manager CoSec, ","")IF(INDEX('MOA role matrix'!$B$2:$D$13,9,MATCH($B265,'MOA role matrix'!$B$1:$D$1,0))="If finance","Senior Manager CoSec (if finance), ","")IF(INDEX('MOA role matrix'!$B$2:$D$13,9,MATCH($B265,'MOA role matrix'!$B$1:$D$1,0))="Auto","Senior Manager CoSec (auto), ","")IF(INDEX('MOA role matrix'!$B$2:$D$13,10,MATCH($B265,'MOA role matrix'!$B$1:$D$1,0))="Fill","Division MOI managers, ","")IF(INDEX('MOA role matrix'!$B$2:$D$13,10,MATCH($B265,'MOA role matrix'!$B$1:$D$1,0))="If finance","Division MOI managers (if finance), ","")IF(INDEX('MOA role matrix'!$B$2:$D$13,10,MATCH($B265,'MOA role matrix'!$B$1:$D$1,0))="Auto","Division MOI managers (auto), ","")IF(INDEX('MOA role matrix'!$B$2:$D$13,11,MATCH($B265,'MOA role matrix'!$B$1:$D$1,0))="Fill","Ms Teh (bank), ","")IF(INDEX('MOA role matrix'!$B$2:$D$13,11,MATCH($B265,'MOA role matrix'!$B$1:$D$1,0))="If finance","Ms Teh (bank) (if finance), ","")IF(INDEX('MOA role matrix'!$B$2:$D$13,11,MATCH($B265,'MOA role matrix'!$B$1:$D$1,0))="Auto","Ms Teh (bank) (auto), ","")IF(INDEX('MOA role matrix'!$B$2:$D$13,12,MATCH($B265,'MOA role matrix'!$B$1:$D$1,0))="Fill","DLCM, ","")IF(INDEX('MOA role matrix'!$B$2:$D$13,12,MATCH($B265,'MOA role matrix'!$B$1:$D$1,0))="If finance","DLCM (if finance), ","")IF(INDEX('MOA role matrix'!$B$2:$D$13,12,MATCH($B265,'MOA role matrix'!$B$1:$D$1,0))="Auto","DLCM (auto), ","")))</f>
        <v/>
      </c>
      <c r="D265" s="5">
        <f>IF($A265="","",IFERROR(INDEX(FILTER('Client contacts'!$B$2:$B$500,('Client contacts'!$A$2:$A$500=$A265)*('Client contacts'!$H$2:$H$500="Y"),""),1),""))</f>
        <v/>
      </c>
      <c r="E265" s="5">
        <f>IF($A265="","",IFERROR(INDEX(FILTER('Client contacts'!$C$2:$C$500,('Client contacts'!$A$2:$A$500=$A265)*('Client contacts'!$H$2:$H$500="Y"),""),1),""))</f>
        <v/>
      </c>
      <c r="F265" s="5">
        <f>IF($A265="","",IFERROR(INDEX(FILTER('Client contacts'!$B$2:$B$500,('Client contacts'!$A$2:$A$500=$A265)*('Client contacts'!$G$2:$G$500="Y"),""),1),""))</f>
        <v/>
      </c>
      <c r="G265" s="5">
        <f>IF($A265="","",IFERROR(INDEX(FILTER('Client contacts'!$C$2:$C$500,('Client contacts'!$A$2:$A$500=$A265)*('Client contacts'!$G$2:$G$500="Y"),""),1),""))</f>
        <v/>
      </c>
      <c r="H265" s="5">
        <f>IF($A265="","",IFERROR(INDEX(FILTER('Client contacts'!$B$2:$B$500,('Client contacts'!$A$2:$A$500=$A265)*('Client contacts'!$G$2:$G$500="Y"),""),2),""))</f>
        <v/>
      </c>
      <c r="I265" s="5">
        <f>IF($A265="","",IFERROR(INDEX(FILTER('Client contacts'!$C$2:$C$500,('Client contacts'!$A$2:$A$500=$A265)*('Client contacts'!$G$2:$G$500="Y"),""),2),""))</f>
        <v/>
      </c>
      <c r="J265" s="8" t="n"/>
      <c r="K265" s="8" t="n"/>
      <c r="L265" s="8" t="n"/>
      <c r="M265" s="8" t="n"/>
      <c r="N265" s="8" t="n"/>
      <c r="O265" s="8" t="n"/>
      <c r="P265" s="8" t="n"/>
      <c r="Q265" s="8" t="n"/>
      <c r="R265" s="5">
        <f>IF($A265="","",IFERROR(INDEX(Companies!$I$2:$I$500,MATCH($A265,Companies!$A$2:$A$500,0)),""))</f>
        <v/>
      </c>
      <c r="S265" s="8" t="n"/>
      <c r="T265" s="8" t="n"/>
      <c r="U265" s="8" t="n"/>
      <c r="V265" s="8" t="n"/>
      <c r="W265" s="8" t="n"/>
    </row>
    <row r="266">
      <c r="C266" s="5">
        <f>IF($B266="","",TRIM(IF(INDEX('MOA role matrix'!$B$2:$D$13,1,MATCH($B266,'MOA role matrix'!$B$1:$D$1,0))="Fill","Project initiator, ","")IF(INDEX('MOA role matrix'!$B$2:$D$13,1,MATCH($B266,'MOA role matrix'!$B$1:$D$1,0))="If finance","Project initiator (if finance), ","")IF(INDEX('MOA role matrix'!$B$2:$D$13,1,MATCH($B266,'MOA role matrix'!$B$1:$D$1,0))="Auto","Project initiator (auto), ","")IF(INDEX('MOA role matrix'!$B$2:$D$13,2,MATCH($B266,'MOA role matrix'!$B$1:$D$1,0))="Fill","MOA signers (client), ","")IF(INDEX('MOA role matrix'!$B$2:$D$13,2,MATCH($B266,'MOA role matrix'!$B$1:$D$1,0))="If finance","MOA signers (client) (if finance), ","")IF(INDEX('MOA role matrix'!$B$2:$D$13,2,MATCH($B266,'MOA role matrix'!$B$1:$D$1,0))="Auto","MOA signers (client) (auto), ","")IF(INDEX('MOA role matrix'!$B$2:$D$13,3,MATCH($B266,'MOA role matrix'!$B$1:$D$1,0))="Fill","CFO / Head of Finance, ","")IF(INDEX('MOA role matrix'!$B$2:$D$13,3,MATCH($B266,'MOA role matrix'!$B$1:$D$1,0))="If finance","CFO / Head of Finance (if finance), ","")IF(INDEX('MOA role matrix'!$B$2:$D$13,3,MATCH($B266,'MOA role matrix'!$B$1:$D$1,0))="Auto","CFO / Head of Finance (auto), ","")IF(INDEX('MOA role matrix'!$B$2:$D$13,4,MATCH($B266,'MOA role matrix'!$B$1:$D$1,0))="Fill","CEO / COO / GM, ","")IF(INDEX('MOA role matrix'!$B$2:$D$13,4,MATCH($B266,'MOA role matrix'!$B$1:$D$1,0))="If finance","CEO / COO / GM (if finance), ","")IF(INDEX('MOA role matrix'!$B$2:$D$13,4,MATCH($B266,'MOA role matrix'!$B$1:$D$1,0))="Auto","CEO / COO / GM (auto), ","")IF(INDEX('MOA role matrix'!$B$2:$D$13,5,MATCH($B266,'MOA role matrix'!$B$1:$D$1,0))="Fill","Board member 1, ","")IF(INDEX('MOA role matrix'!$B$2:$D$13,5,MATCH($B266,'MOA role matrix'!$B$1:$D$1,0))="If finance","Board member 1 (if finance), ","")IF(INDEX('MOA role matrix'!$B$2:$D$13,5,MATCH($B266,'MOA role matrix'!$B$1:$D$1,0))="Auto","Board member 1 (auto), ","")IF(INDEX('MOA role matrix'!$B$2:$D$13,6,MATCH($B266,'MOA role matrix'!$B$1:$D$1,0))="Fill","Board member 2, ","")IF(INDEX('MOA role matrix'!$B$2:$D$13,6,MATCH($B266,'MOA role matrix'!$B$1:$D$1,0))="If finance","Board member 2 (if finance), ","")IF(INDEX('MOA role matrix'!$B$2:$D$13,6,MATCH($B266,'MOA role matrix'!$B$1:$D$1,0))="Auto","Board member 2 (auto), ","")IF(INDEX('MOA role matrix'!$B$2:$D$13,7,MATCH($B266,'MOA role matrix'!$B$1:$D$1,0))="Fill","LOA holder 1, ","")IF(INDEX('MOA role matrix'!$B$2:$D$13,7,MATCH($B266,'MOA role matrix'!$B$1:$D$1,0))="If finance","LOA holder 1 (if finance), ","")IF(INDEX('MOA role matrix'!$B$2:$D$13,7,MATCH($B266,'MOA role matrix'!$B$1:$D$1,0))="Auto","LOA holder 1 (auto), ","")IF(INDEX('MOA role matrix'!$B$2:$D$13,8,MATCH($B266,'MOA role matrix'!$B$1:$D$1,0))="Fill","LOA holder 2, ","")IF(INDEX('MOA role matrix'!$B$2:$D$13,8,MATCH($B266,'MOA role matrix'!$B$1:$D$1,0))="If finance","LOA holder 2 (if finance), ","")IF(INDEX('MOA role matrix'!$B$2:$D$13,8,MATCH($B266,'MOA role matrix'!$B$1:$D$1,0))="Auto","LOA holder 2 (auto), ","")IF(INDEX('MOA role matrix'!$B$2:$D$13,9,MATCH($B266,'MOA role matrix'!$B$1:$D$1,0))="Fill","Senior Manager CoSec, ","")IF(INDEX('MOA role matrix'!$B$2:$D$13,9,MATCH($B266,'MOA role matrix'!$B$1:$D$1,0))="If finance","Senior Manager CoSec (if finance), ","")IF(INDEX('MOA role matrix'!$B$2:$D$13,9,MATCH($B266,'MOA role matrix'!$B$1:$D$1,0))="Auto","Senior Manager CoSec (auto), ","")IF(INDEX('MOA role matrix'!$B$2:$D$13,10,MATCH($B266,'MOA role matrix'!$B$1:$D$1,0))="Fill","Division MOI managers, ","")IF(INDEX('MOA role matrix'!$B$2:$D$13,10,MATCH($B266,'MOA role matrix'!$B$1:$D$1,0))="If finance","Division MOI managers (if finance), ","")IF(INDEX('MOA role matrix'!$B$2:$D$13,10,MATCH($B266,'MOA role matrix'!$B$1:$D$1,0))="Auto","Division MOI managers (auto), ","")IF(INDEX('MOA role matrix'!$B$2:$D$13,11,MATCH($B266,'MOA role matrix'!$B$1:$D$1,0))="Fill","Ms Teh (bank), ","")IF(INDEX('MOA role matrix'!$B$2:$D$13,11,MATCH($B266,'MOA role matrix'!$B$1:$D$1,0))="If finance","Ms Teh (bank) (if finance), ","")IF(INDEX('MOA role matrix'!$B$2:$D$13,11,MATCH($B266,'MOA role matrix'!$B$1:$D$1,0))="Auto","Ms Teh (bank) (auto), ","")IF(INDEX('MOA role matrix'!$B$2:$D$13,12,MATCH($B266,'MOA role matrix'!$B$1:$D$1,0))="Fill","DLCM, ","")IF(INDEX('MOA role matrix'!$B$2:$D$13,12,MATCH($B266,'MOA role matrix'!$B$1:$D$1,0))="If finance","DLCM (if finance), ","")IF(INDEX('MOA role matrix'!$B$2:$D$13,12,MATCH($B266,'MOA role matrix'!$B$1:$D$1,0))="Auto","DLCM (auto), ","")))</f>
        <v/>
      </c>
      <c r="D266" s="5">
        <f>IF($A266="","",IFERROR(INDEX(FILTER('Client contacts'!$B$2:$B$500,('Client contacts'!$A$2:$A$500=$A266)*('Client contacts'!$H$2:$H$500="Y"),""),1),""))</f>
        <v/>
      </c>
      <c r="E266" s="5">
        <f>IF($A266="","",IFERROR(INDEX(FILTER('Client contacts'!$C$2:$C$500,('Client contacts'!$A$2:$A$500=$A266)*('Client contacts'!$H$2:$H$500="Y"),""),1),""))</f>
        <v/>
      </c>
      <c r="F266" s="5">
        <f>IF($A266="","",IFERROR(INDEX(FILTER('Client contacts'!$B$2:$B$500,('Client contacts'!$A$2:$A$500=$A266)*('Client contacts'!$G$2:$G$500="Y"),""),1),""))</f>
        <v/>
      </c>
      <c r="G266" s="5">
        <f>IF($A266="","",IFERROR(INDEX(FILTER('Client contacts'!$C$2:$C$500,('Client contacts'!$A$2:$A$500=$A266)*('Client contacts'!$G$2:$G$500="Y"),""),1),""))</f>
        <v/>
      </c>
      <c r="H266" s="5">
        <f>IF($A266="","",IFERROR(INDEX(FILTER('Client contacts'!$B$2:$B$500,('Client contacts'!$A$2:$A$500=$A266)*('Client contacts'!$G$2:$G$500="Y"),""),2),""))</f>
        <v/>
      </c>
      <c r="I266" s="5">
        <f>IF($A266="","",IFERROR(INDEX(FILTER('Client contacts'!$C$2:$C$500,('Client contacts'!$A$2:$A$500=$A266)*('Client contacts'!$G$2:$G$500="Y"),""),2),""))</f>
        <v/>
      </c>
      <c r="J266" s="8" t="n"/>
      <c r="K266" s="8" t="n"/>
      <c r="L266" s="8" t="n"/>
      <c r="M266" s="8" t="n"/>
      <c r="N266" s="8" t="n"/>
      <c r="O266" s="8" t="n"/>
      <c r="P266" s="8" t="n"/>
      <c r="Q266" s="8" t="n"/>
      <c r="R266" s="5">
        <f>IF($A266="","",IFERROR(INDEX(Companies!$I$2:$I$500,MATCH($A266,Companies!$A$2:$A$500,0)),""))</f>
        <v/>
      </c>
      <c r="S266" s="8" t="n"/>
      <c r="T266" s="8" t="n"/>
      <c r="U266" s="8" t="n"/>
      <c r="V266" s="8" t="n"/>
      <c r="W266" s="8" t="n"/>
    </row>
    <row r="267">
      <c r="C267" s="5">
        <f>IF($B267="","",TRIM(IF(INDEX('MOA role matrix'!$B$2:$D$13,1,MATCH($B267,'MOA role matrix'!$B$1:$D$1,0))="Fill","Project initiator, ","")IF(INDEX('MOA role matrix'!$B$2:$D$13,1,MATCH($B267,'MOA role matrix'!$B$1:$D$1,0))="If finance","Project initiator (if finance), ","")IF(INDEX('MOA role matrix'!$B$2:$D$13,1,MATCH($B267,'MOA role matrix'!$B$1:$D$1,0))="Auto","Project initiator (auto), ","")IF(INDEX('MOA role matrix'!$B$2:$D$13,2,MATCH($B267,'MOA role matrix'!$B$1:$D$1,0))="Fill","MOA signers (client), ","")IF(INDEX('MOA role matrix'!$B$2:$D$13,2,MATCH($B267,'MOA role matrix'!$B$1:$D$1,0))="If finance","MOA signers (client) (if finance), ","")IF(INDEX('MOA role matrix'!$B$2:$D$13,2,MATCH($B267,'MOA role matrix'!$B$1:$D$1,0))="Auto","MOA signers (client) (auto), ","")IF(INDEX('MOA role matrix'!$B$2:$D$13,3,MATCH($B267,'MOA role matrix'!$B$1:$D$1,0))="Fill","CFO / Head of Finance, ","")IF(INDEX('MOA role matrix'!$B$2:$D$13,3,MATCH($B267,'MOA role matrix'!$B$1:$D$1,0))="If finance","CFO / Head of Finance (if finance), ","")IF(INDEX('MOA role matrix'!$B$2:$D$13,3,MATCH($B267,'MOA role matrix'!$B$1:$D$1,0))="Auto","CFO / Head of Finance (auto), ","")IF(INDEX('MOA role matrix'!$B$2:$D$13,4,MATCH($B267,'MOA role matrix'!$B$1:$D$1,0))="Fill","CEO / COO / GM, ","")IF(INDEX('MOA role matrix'!$B$2:$D$13,4,MATCH($B267,'MOA role matrix'!$B$1:$D$1,0))="If finance","CEO / COO / GM (if finance), ","")IF(INDEX('MOA role matrix'!$B$2:$D$13,4,MATCH($B267,'MOA role matrix'!$B$1:$D$1,0))="Auto","CEO / COO / GM (auto), ","")IF(INDEX('MOA role matrix'!$B$2:$D$13,5,MATCH($B267,'MOA role matrix'!$B$1:$D$1,0))="Fill","Board member 1, ","")IF(INDEX('MOA role matrix'!$B$2:$D$13,5,MATCH($B267,'MOA role matrix'!$B$1:$D$1,0))="If finance","Board member 1 (if finance), ","")IF(INDEX('MOA role matrix'!$B$2:$D$13,5,MATCH($B267,'MOA role matrix'!$B$1:$D$1,0))="Auto","Board member 1 (auto), ","")IF(INDEX('MOA role matrix'!$B$2:$D$13,6,MATCH($B267,'MOA role matrix'!$B$1:$D$1,0))="Fill","Board member 2, ","")IF(INDEX('MOA role matrix'!$B$2:$D$13,6,MATCH($B267,'MOA role matrix'!$B$1:$D$1,0))="If finance","Board member 2 (if finance), ","")IF(INDEX('MOA role matrix'!$B$2:$D$13,6,MATCH($B267,'MOA role matrix'!$B$1:$D$1,0))="Auto","Board member 2 (auto), ","")IF(INDEX('MOA role matrix'!$B$2:$D$13,7,MATCH($B267,'MOA role matrix'!$B$1:$D$1,0))="Fill","LOA holder 1, ","")IF(INDEX('MOA role matrix'!$B$2:$D$13,7,MATCH($B267,'MOA role matrix'!$B$1:$D$1,0))="If finance","LOA holder 1 (if finance), ","")IF(INDEX('MOA role matrix'!$B$2:$D$13,7,MATCH($B267,'MOA role matrix'!$B$1:$D$1,0))="Auto","LOA holder 1 (auto), ","")IF(INDEX('MOA role matrix'!$B$2:$D$13,8,MATCH($B267,'MOA role matrix'!$B$1:$D$1,0))="Fill","LOA holder 2, ","")IF(INDEX('MOA role matrix'!$B$2:$D$13,8,MATCH($B267,'MOA role matrix'!$B$1:$D$1,0))="If finance","LOA holder 2 (if finance), ","")IF(INDEX('MOA role matrix'!$B$2:$D$13,8,MATCH($B267,'MOA role matrix'!$B$1:$D$1,0))="Auto","LOA holder 2 (auto), ","")IF(INDEX('MOA role matrix'!$B$2:$D$13,9,MATCH($B267,'MOA role matrix'!$B$1:$D$1,0))="Fill","Senior Manager CoSec, ","")IF(INDEX('MOA role matrix'!$B$2:$D$13,9,MATCH($B267,'MOA role matrix'!$B$1:$D$1,0))="If finance","Senior Manager CoSec (if finance), ","")IF(INDEX('MOA role matrix'!$B$2:$D$13,9,MATCH($B267,'MOA role matrix'!$B$1:$D$1,0))="Auto","Senior Manager CoSec (auto), ","")IF(INDEX('MOA role matrix'!$B$2:$D$13,10,MATCH($B267,'MOA role matrix'!$B$1:$D$1,0))="Fill","Division MOI managers, ","")IF(INDEX('MOA role matrix'!$B$2:$D$13,10,MATCH($B267,'MOA role matrix'!$B$1:$D$1,0))="If finance","Division MOI managers (if finance), ","")IF(INDEX('MOA role matrix'!$B$2:$D$13,10,MATCH($B267,'MOA role matrix'!$B$1:$D$1,0))="Auto","Division MOI managers (auto), ","")IF(INDEX('MOA role matrix'!$B$2:$D$13,11,MATCH($B267,'MOA role matrix'!$B$1:$D$1,0))="Fill","Ms Teh (bank), ","")IF(INDEX('MOA role matrix'!$B$2:$D$13,11,MATCH($B267,'MOA role matrix'!$B$1:$D$1,0))="If finance","Ms Teh (bank) (if finance), ","")IF(INDEX('MOA role matrix'!$B$2:$D$13,11,MATCH($B267,'MOA role matrix'!$B$1:$D$1,0))="Auto","Ms Teh (bank) (auto), ","")IF(INDEX('MOA role matrix'!$B$2:$D$13,12,MATCH($B267,'MOA role matrix'!$B$1:$D$1,0))="Fill","DLCM, ","")IF(INDEX('MOA role matrix'!$B$2:$D$13,12,MATCH($B267,'MOA role matrix'!$B$1:$D$1,0))="If finance","DLCM (if finance), ","")IF(INDEX('MOA role matrix'!$B$2:$D$13,12,MATCH($B267,'MOA role matrix'!$B$1:$D$1,0))="Auto","DLCM (auto), ","")))</f>
        <v/>
      </c>
      <c r="D267" s="5">
        <f>IF($A267="","",IFERROR(INDEX(FILTER('Client contacts'!$B$2:$B$500,('Client contacts'!$A$2:$A$500=$A267)*('Client contacts'!$H$2:$H$500="Y"),""),1),""))</f>
        <v/>
      </c>
      <c r="E267" s="5">
        <f>IF($A267="","",IFERROR(INDEX(FILTER('Client contacts'!$C$2:$C$500,('Client contacts'!$A$2:$A$500=$A267)*('Client contacts'!$H$2:$H$500="Y"),""),1),""))</f>
        <v/>
      </c>
      <c r="F267" s="5">
        <f>IF($A267="","",IFERROR(INDEX(FILTER('Client contacts'!$B$2:$B$500,('Client contacts'!$A$2:$A$500=$A267)*('Client contacts'!$G$2:$G$500="Y"),""),1),""))</f>
        <v/>
      </c>
      <c r="G267" s="5">
        <f>IF($A267="","",IFERROR(INDEX(FILTER('Client contacts'!$C$2:$C$500,('Client contacts'!$A$2:$A$500=$A267)*('Client contacts'!$G$2:$G$500="Y"),""),1),""))</f>
        <v/>
      </c>
      <c r="H267" s="5">
        <f>IF($A267="","",IFERROR(INDEX(FILTER('Client contacts'!$B$2:$B$500,('Client contacts'!$A$2:$A$500=$A267)*('Client contacts'!$G$2:$G$500="Y"),""),2),""))</f>
        <v/>
      </c>
      <c r="I267" s="5">
        <f>IF($A267="","",IFERROR(INDEX(FILTER('Client contacts'!$C$2:$C$500,('Client contacts'!$A$2:$A$500=$A267)*('Client contacts'!$G$2:$G$500="Y"),""),2),""))</f>
        <v/>
      </c>
      <c r="J267" s="8" t="n"/>
      <c r="K267" s="8" t="n"/>
      <c r="L267" s="8" t="n"/>
      <c r="M267" s="8" t="n"/>
      <c r="N267" s="8" t="n"/>
      <c r="O267" s="8" t="n"/>
      <c r="P267" s="8" t="n"/>
      <c r="Q267" s="8" t="n"/>
      <c r="R267" s="5">
        <f>IF($A267="","",IFERROR(INDEX(Companies!$I$2:$I$500,MATCH($A267,Companies!$A$2:$A$500,0)),""))</f>
        <v/>
      </c>
      <c r="S267" s="8" t="n"/>
      <c r="T267" s="8" t="n"/>
      <c r="U267" s="8" t="n"/>
      <c r="V267" s="8" t="n"/>
      <c r="W267" s="8" t="n"/>
    </row>
    <row r="268">
      <c r="C268" s="5">
        <f>IF($B268="","",TRIM(IF(INDEX('MOA role matrix'!$B$2:$D$13,1,MATCH($B268,'MOA role matrix'!$B$1:$D$1,0))="Fill","Project initiator, ","")IF(INDEX('MOA role matrix'!$B$2:$D$13,1,MATCH($B268,'MOA role matrix'!$B$1:$D$1,0))="If finance","Project initiator (if finance), ","")IF(INDEX('MOA role matrix'!$B$2:$D$13,1,MATCH($B268,'MOA role matrix'!$B$1:$D$1,0))="Auto","Project initiator (auto), ","")IF(INDEX('MOA role matrix'!$B$2:$D$13,2,MATCH($B268,'MOA role matrix'!$B$1:$D$1,0))="Fill","MOA signers (client), ","")IF(INDEX('MOA role matrix'!$B$2:$D$13,2,MATCH($B268,'MOA role matrix'!$B$1:$D$1,0))="If finance","MOA signers (client) (if finance), ","")IF(INDEX('MOA role matrix'!$B$2:$D$13,2,MATCH($B268,'MOA role matrix'!$B$1:$D$1,0))="Auto","MOA signers (client) (auto), ","")IF(INDEX('MOA role matrix'!$B$2:$D$13,3,MATCH($B268,'MOA role matrix'!$B$1:$D$1,0))="Fill","CFO / Head of Finance, ","")IF(INDEX('MOA role matrix'!$B$2:$D$13,3,MATCH($B268,'MOA role matrix'!$B$1:$D$1,0))="If finance","CFO / Head of Finance (if finance), ","")IF(INDEX('MOA role matrix'!$B$2:$D$13,3,MATCH($B268,'MOA role matrix'!$B$1:$D$1,0))="Auto","CFO / Head of Finance (auto), ","")IF(INDEX('MOA role matrix'!$B$2:$D$13,4,MATCH($B268,'MOA role matrix'!$B$1:$D$1,0))="Fill","CEO / COO / GM, ","")IF(INDEX('MOA role matrix'!$B$2:$D$13,4,MATCH($B268,'MOA role matrix'!$B$1:$D$1,0))="If finance","CEO / COO / GM (if finance), ","")IF(INDEX('MOA role matrix'!$B$2:$D$13,4,MATCH($B268,'MOA role matrix'!$B$1:$D$1,0))="Auto","CEO / COO / GM (auto), ","")IF(INDEX('MOA role matrix'!$B$2:$D$13,5,MATCH($B268,'MOA role matrix'!$B$1:$D$1,0))="Fill","Board member 1, ","")IF(INDEX('MOA role matrix'!$B$2:$D$13,5,MATCH($B268,'MOA role matrix'!$B$1:$D$1,0))="If finance","Board member 1 (if finance), ","")IF(INDEX('MOA role matrix'!$B$2:$D$13,5,MATCH($B268,'MOA role matrix'!$B$1:$D$1,0))="Auto","Board member 1 (auto), ","")IF(INDEX('MOA role matrix'!$B$2:$D$13,6,MATCH($B268,'MOA role matrix'!$B$1:$D$1,0))="Fill","Board member 2, ","")IF(INDEX('MOA role matrix'!$B$2:$D$13,6,MATCH($B268,'MOA role matrix'!$B$1:$D$1,0))="If finance","Board member 2 (if finance), ","")IF(INDEX('MOA role matrix'!$B$2:$D$13,6,MATCH($B268,'MOA role matrix'!$B$1:$D$1,0))="Auto","Board member 2 (auto), ","")IF(INDEX('MOA role matrix'!$B$2:$D$13,7,MATCH($B268,'MOA role matrix'!$B$1:$D$1,0))="Fill","LOA holder 1, ","")IF(INDEX('MOA role matrix'!$B$2:$D$13,7,MATCH($B268,'MOA role matrix'!$B$1:$D$1,0))="If finance","LOA holder 1 (if finance), ","")IF(INDEX('MOA role matrix'!$B$2:$D$13,7,MATCH($B268,'MOA role matrix'!$B$1:$D$1,0))="Auto","LOA holder 1 (auto), ","")IF(INDEX('MOA role matrix'!$B$2:$D$13,8,MATCH($B268,'MOA role matrix'!$B$1:$D$1,0))="Fill","LOA holder 2, ","")IF(INDEX('MOA role matrix'!$B$2:$D$13,8,MATCH($B268,'MOA role matrix'!$B$1:$D$1,0))="If finance","LOA holder 2 (if finance), ","")IF(INDEX('MOA role matrix'!$B$2:$D$13,8,MATCH($B268,'MOA role matrix'!$B$1:$D$1,0))="Auto","LOA holder 2 (auto), ","")IF(INDEX('MOA role matrix'!$B$2:$D$13,9,MATCH($B268,'MOA role matrix'!$B$1:$D$1,0))="Fill","Senior Manager CoSec, ","")IF(INDEX('MOA role matrix'!$B$2:$D$13,9,MATCH($B268,'MOA role matrix'!$B$1:$D$1,0))="If finance","Senior Manager CoSec (if finance), ","")IF(INDEX('MOA role matrix'!$B$2:$D$13,9,MATCH($B268,'MOA role matrix'!$B$1:$D$1,0))="Auto","Senior Manager CoSec (auto), ","")IF(INDEX('MOA role matrix'!$B$2:$D$13,10,MATCH($B268,'MOA role matrix'!$B$1:$D$1,0))="Fill","Division MOI managers, ","")IF(INDEX('MOA role matrix'!$B$2:$D$13,10,MATCH($B268,'MOA role matrix'!$B$1:$D$1,0))="If finance","Division MOI managers (if finance), ","")IF(INDEX('MOA role matrix'!$B$2:$D$13,10,MATCH($B268,'MOA role matrix'!$B$1:$D$1,0))="Auto","Division MOI managers (auto), ","")IF(INDEX('MOA role matrix'!$B$2:$D$13,11,MATCH($B268,'MOA role matrix'!$B$1:$D$1,0))="Fill","Ms Teh (bank), ","")IF(INDEX('MOA role matrix'!$B$2:$D$13,11,MATCH($B268,'MOA role matrix'!$B$1:$D$1,0))="If finance","Ms Teh (bank) (if finance), ","")IF(INDEX('MOA role matrix'!$B$2:$D$13,11,MATCH($B268,'MOA role matrix'!$B$1:$D$1,0))="Auto","Ms Teh (bank) (auto), ","")IF(INDEX('MOA role matrix'!$B$2:$D$13,12,MATCH($B268,'MOA role matrix'!$B$1:$D$1,0))="Fill","DLCM, ","")IF(INDEX('MOA role matrix'!$B$2:$D$13,12,MATCH($B268,'MOA role matrix'!$B$1:$D$1,0))="If finance","DLCM (if finance), ","")IF(INDEX('MOA role matrix'!$B$2:$D$13,12,MATCH($B268,'MOA role matrix'!$B$1:$D$1,0))="Auto","DLCM (auto), ","")))</f>
        <v/>
      </c>
      <c r="D268" s="5">
        <f>IF($A268="","",IFERROR(INDEX(FILTER('Client contacts'!$B$2:$B$500,('Client contacts'!$A$2:$A$500=$A268)*('Client contacts'!$H$2:$H$500="Y"),""),1),""))</f>
        <v/>
      </c>
      <c r="E268" s="5">
        <f>IF($A268="","",IFERROR(INDEX(FILTER('Client contacts'!$C$2:$C$500,('Client contacts'!$A$2:$A$500=$A268)*('Client contacts'!$H$2:$H$500="Y"),""),1),""))</f>
        <v/>
      </c>
      <c r="F268" s="5">
        <f>IF($A268="","",IFERROR(INDEX(FILTER('Client contacts'!$B$2:$B$500,('Client contacts'!$A$2:$A$500=$A268)*('Client contacts'!$G$2:$G$500="Y"),""),1),""))</f>
        <v/>
      </c>
      <c r="G268" s="5">
        <f>IF($A268="","",IFERROR(INDEX(FILTER('Client contacts'!$C$2:$C$500,('Client contacts'!$A$2:$A$500=$A268)*('Client contacts'!$G$2:$G$500="Y"),""),1),""))</f>
        <v/>
      </c>
      <c r="H268" s="5">
        <f>IF($A268="","",IFERROR(INDEX(FILTER('Client contacts'!$B$2:$B$500,('Client contacts'!$A$2:$A$500=$A268)*('Client contacts'!$G$2:$G$500="Y"),""),2),""))</f>
        <v/>
      </c>
      <c r="I268" s="5">
        <f>IF($A268="","",IFERROR(INDEX(FILTER('Client contacts'!$C$2:$C$500,('Client contacts'!$A$2:$A$500=$A268)*('Client contacts'!$G$2:$G$500="Y"),""),2),""))</f>
        <v/>
      </c>
      <c r="J268" s="8" t="n"/>
      <c r="K268" s="8" t="n"/>
      <c r="L268" s="8" t="n"/>
      <c r="M268" s="8" t="n"/>
      <c r="N268" s="8" t="n"/>
      <c r="O268" s="8" t="n"/>
      <c r="P268" s="8" t="n"/>
      <c r="Q268" s="8" t="n"/>
      <c r="R268" s="5">
        <f>IF($A268="","",IFERROR(INDEX(Companies!$I$2:$I$500,MATCH($A268,Companies!$A$2:$A$500,0)),""))</f>
        <v/>
      </c>
      <c r="S268" s="8" t="n"/>
      <c r="T268" s="8" t="n"/>
      <c r="U268" s="8" t="n"/>
      <c r="V268" s="8" t="n"/>
      <c r="W268" s="8" t="n"/>
    </row>
    <row r="269">
      <c r="C269" s="5">
        <f>IF($B269="","",TRIM(IF(INDEX('MOA role matrix'!$B$2:$D$13,1,MATCH($B269,'MOA role matrix'!$B$1:$D$1,0))="Fill","Project initiator, ","")IF(INDEX('MOA role matrix'!$B$2:$D$13,1,MATCH($B269,'MOA role matrix'!$B$1:$D$1,0))="If finance","Project initiator (if finance), ","")IF(INDEX('MOA role matrix'!$B$2:$D$13,1,MATCH($B269,'MOA role matrix'!$B$1:$D$1,0))="Auto","Project initiator (auto), ","")IF(INDEX('MOA role matrix'!$B$2:$D$13,2,MATCH($B269,'MOA role matrix'!$B$1:$D$1,0))="Fill","MOA signers (client), ","")IF(INDEX('MOA role matrix'!$B$2:$D$13,2,MATCH($B269,'MOA role matrix'!$B$1:$D$1,0))="If finance","MOA signers (client) (if finance), ","")IF(INDEX('MOA role matrix'!$B$2:$D$13,2,MATCH($B269,'MOA role matrix'!$B$1:$D$1,0))="Auto","MOA signers (client) (auto), ","")IF(INDEX('MOA role matrix'!$B$2:$D$13,3,MATCH($B269,'MOA role matrix'!$B$1:$D$1,0))="Fill","CFO / Head of Finance, ","")IF(INDEX('MOA role matrix'!$B$2:$D$13,3,MATCH($B269,'MOA role matrix'!$B$1:$D$1,0))="If finance","CFO / Head of Finance (if finance), ","")IF(INDEX('MOA role matrix'!$B$2:$D$13,3,MATCH($B269,'MOA role matrix'!$B$1:$D$1,0))="Auto","CFO / Head of Finance (auto), ","")IF(INDEX('MOA role matrix'!$B$2:$D$13,4,MATCH($B269,'MOA role matrix'!$B$1:$D$1,0))="Fill","CEO / COO / GM, ","")IF(INDEX('MOA role matrix'!$B$2:$D$13,4,MATCH($B269,'MOA role matrix'!$B$1:$D$1,0))="If finance","CEO / COO / GM (if finance), ","")IF(INDEX('MOA role matrix'!$B$2:$D$13,4,MATCH($B269,'MOA role matrix'!$B$1:$D$1,0))="Auto","CEO / COO / GM (auto), ","")IF(INDEX('MOA role matrix'!$B$2:$D$13,5,MATCH($B269,'MOA role matrix'!$B$1:$D$1,0))="Fill","Board member 1, ","")IF(INDEX('MOA role matrix'!$B$2:$D$13,5,MATCH($B269,'MOA role matrix'!$B$1:$D$1,0))="If finance","Board member 1 (if finance), ","")IF(INDEX('MOA role matrix'!$B$2:$D$13,5,MATCH($B269,'MOA role matrix'!$B$1:$D$1,0))="Auto","Board member 1 (auto), ","")IF(INDEX('MOA role matrix'!$B$2:$D$13,6,MATCH($B269,'MOA role matrix'!$B$1:$D$1,0))="Fill","Board member 2, ","")IF(INDEX('MOA role matrix'!$B$2:$D$13,6,MATCH($B269,'MOA role matrix'!$B$1:$D$1,0))="If finance","Board member 2 (if finance), ","")IF(INDEX('MOA role matrix'!$B$2:$D$13,6,MATCH($B269,'MOA role matrix'!$B$1:$D$1,0))="Auto","Board member 2 (auto), ","")IF(INDEX('MOA role matrix'!$B$2:$D$13,7,MATCH($B269,'MOA role matrix'!$B$1:$D$1,0))="Fill","LOA holder 1, ","")IF(INDEX('MOA role matrix'!$B$2:$D$13,7,MATCH($B269,'MOA role matrix'!$B$1:$D$1,0))="If finance","LOA holder 1 (if finance), ","")IF(INDEX('MOA role matrix'!$B$2:$D$13,7,MATCH($B269,'MOA role matrix'!$B$1:$D$1,0))="Auto","LOA holder 1 (auto), ","")IF(INDEX('MOA role matrix'!$B$2:$D$13,8,MATCH($B269,'MOA role matrix'!$B$1:$D$1,0))="Fill","LOA holder 2, ","")IF(INDEX('MOA role matrix'!$B$2:$D$13,8,MATCH($B269,'MOA role matrix'!$B$1:$D$1,0))="If finance","LOA holder 2 (if finance), ","")IF(INDEX('MOA role matrix'!$B$2:$D$13,8,MATCH($B269,'MOA role matrix'!$B$1:$D$1,0))="Auto","LOA holder 2 (auto), ","")IF(INDEX('MOA role matrix'!$B$2:$D$13,9,MATCH($B269,'MOA role matrix'!$B$1:$D$1,0))="Fill","Senior Manager CoSec, ","")IF(INDEX('MOA role matrix'!$B$2:$D$13,9,MATCH($B269,'MOA role matrix'!$B$1:$D$1,0))="If finance","Senior Manager CoSec (if finance), ","")IF(INDEX('MOA role matrix'!$B$2:$D$13,9,MATCH($B269,'MOA role matrix'!$B$1:$D$1,0))="Auto","Senior Manager CoSec (auto), ","")IF(INDEX('MOA role matrix'!$B$2:$D$13,10,MATCH($B269,'MOA role matrix'!$B$1:$D$1,0))="Fill","Division MOI managers, ","")IF(INDEX('MOA role matrix'!$B$2:$D$13,10,MATCH($B269,'MOA role matrix'!$B$1:$D$1,0))="If finance","Division MOI managers (if finance), ","")IF(INDEX('MOA role matrix'!$B$2:$D$13,10,MATCH($B269,'MOA role matrix'!$B$1:$D$1,0))="Auto","Division MOI managers (auto), ","")IF(INDEX('MOA role matrix'!$B$2:$D$13,11,MATCH($B269,'MOA role matrix'!$B$1:$D$1,0))="Fill","Ms Teh (bank), ","")IF(INDEX('MOA role matrix'!$B$2:$D$13,11,MATCH($B269,'MOA role matrix'!$B$1:$D$1,0))="If finance","Ms Teh (bank) (if finance), ","")IF(INDEX('MOA role matrix'!$B$2:$D$13,11,MATCH($B269,'MOA role matrix'!$B$1:$D$1,0))="Auto","Ms Teh (bank) (auto), ","")IF(INDEX('MOA role matrix'!$B$2:$D$13,12,MATCH($B269,'MOA role matrix'!$B$1:$D$1,0))="Fill","DLCM, ","")IF(INDEX('MOA role matrix'!$B$2:$D$13,12,MATCH($B269,'MOA role matrix'!$B$1:$D$1,0))="If finance","DLCM (if finance), ","")IF(INDEX('MOA role matrix'!$B$2:$D$13,12,MATCH($B269,'MOA role matrix'!$B$1:$D$1,0))="Auto","DLCM (auto), ","")))</f>
        <v/>
      </c>
      <c r="D269" s="5">
        <f>IF($A269="","",IFERROR(INDEX(FILTER('Client contacts'!$B$2:$B$500,('Client contacts'!$A$2:$A$500=$A269)*('Client contacts'!$H$2:$H$500="Y"),""),1),""))</f>
        <v/>
      </c>
      <c r="E269" s="5">
        <f>IF($A269="","",IFERROR(INDEX(FILTER('Client contacts'!$C$2:$C$500,('Client contacts'!$A$2:$A$500=$A269)*('Client contacts'!$H$2:$H$500="Y"),""),1),""))</f>
        <v/>
      </c>
      <c r="F269" s="5">
        <f>IF($A269="","",IFERROR(INDEX(FILTER('Client contacts'!$B$2:$B$500,('Client contacts'!$A$2:$A$500=$A269)*('Client contacts'!$G$2:$G$500="Y"),""),1),""))</f>
        <v/>
      </c>
      <c r="G269" s="5">
        <f>IF($A269="","",IFERROR(INDEX(FILTER('Client contacts'!$C$2:$C$500,('Client contacts'!$A$2:$A$500=$A269)*('Client contacts'!$G$2:$G$500="Y"),""),1),""))</f>
        <v/>
      </c>
      <c r="H269" s="5">
        <f>IF($A269="","",IFERROR(INDEX(FILTER('Client contacts'!$B$2:$B$500,('Client contacts'!$A$2:$A$500=$A269)*('Client contacts'!$G$2:$G$500="Y"),""),2),""))</f>
        <v/>
      </c>
      <c r="I269" s="5">
        <f>IF($A269="","",IFERROR(INDEX(FILTER('Client contacts'!$C$2:$C$500,('Client contacts'!$A$2:$A$500=$A269)*('Client contacts'!$G$2:$G$500="Y"),""),2),""))</f>
        <v/>
      </c>
      <c r="J269" s="8" t="n"/>
      <c r="K269" s="8" t="n"/>
      <c r="L269" s="8" t="n"/>
      <c r="M269" s="8" t="n"/>
      <c r="N269" s="8" t="n"/>
      <c r="O269" s="8" t="n"/>
      <c r="P269" s="8" t="n"/>
      <c r="Q269" s="8" t="n"/>
      <c r="R269" s="5">
        <f>IF($A269="","",IFERROR(INDEX(Companies!$I$2:$I$500,MATCH($A269,Companies!$A$2:$A$500,0)),""))</f>
        <v/>
      </c>
      <c r="S269" s="8" t="n"/>
      <c r="T269" s="8" t="n"/>
      <c r="U269" s="8" t="n"/>
      <c r="V269" s="8" t="n"/>
      <c r="W269" s="8" t="n"/>
    </row>
    <row r="270">
      <c r="C270" s="5">
        <f>IF($B270="","",TRIM(IF(INDEX('MOA role matrix'!$B$2:$D$13,1,MATCH($B270,'MOA role matrix'!$B$1:$D$1,0))="Fill","Project initiator, ","")IF(INDEX('MOA role matrix'!$B$2:$D$13,1,MATCH($B270,'MOA role matrix'!$B$1:$D$1,0))="If finance","Project initiator (if finance), ","")IF(INDEX('MOA role matrix'!$B$2:$D$13,1,MATCH($B270,'MOA role matrix'!$B$1:$D$1,0))="Auto","Project initiator (auto), ","")IF(INDEX('MOA role matrix'!$B$2:$D$13,2,MATCH($B270,'MOA role matrix'!$B$1:$D$1,0))="Fill","MOA signers (client), ","")IF(INDEX('MOA role matrix'!$B$2:$D$13,2,MATCH($B270,'MOA role matrix'!$B$1:$D$1,0))="If finance","MOA signers (client) (if finance), ","")IF(INDEX('MOA role matrix'!$B$2:$D$13,2,MATCH($B270,'MOA role matrix'!$B$1:$D$1,0))="Auto","MOA signers (client) (auto), ","")IF(INDEX('MOA role matrix'!$B$2:$D$13,3,MATCH($B270,'MOA role matrix'!$B$1:$D$1,0))="Fill","CFO / Head of Finance, ","")IF(INDEX('MOA role matrix'!$B$2:$D$13,3,MATCH($B270,'MOA role matrix'!$B$1:$D$1,0))="If finance","CFO / Head of Finance (if finance), ","")IF(INDEX('MOA role matrix'!$B$2:$D$13,3,MATCH($B270,'MOA role matrix'!$B$1:$D$1,0))="Auto","CFO / Head of Finance (auto), ","")IF(INDEX('MOA role matrix'!$B$2:$D$13,4,MATCH($B270,'MOA role matrix'!$B$1:$D$1,0))="Fill","CEO / COO / GM, ","")IF(INDEX('MOA role matrix'!$B$2:$D$13,4,MATCH($B270,'MOA role matrix'!$B$1:$D$1,0))="If finance","CEO / COO / GM (if finance), ","")IF(INDEX('MOA role matrix'!$B$2:$D$13,4,MATCH($B270,'MOA role matrix'!$B$1:$D$1,0))="Auto","CEO / COO / GM (auto), ","")IF(INDEX('MOA role matrix'!$B$2:$D$13,5,MATCH($B270,'MOA role matrix'!$B$1:$D$1,0))="Fill","Board member 1, ","")IF(INDEX('MOA role matrix'!$B$2:$D$13,5,MATCH($B270,'MOA role matrix'!$B$1:$D$1,0))="If finance","Board member 1 (if finance), ","")IF(INDEX('MOA role matrix'!$B$2:$D$13,5,MATCH($B270,'MOA role matrix'!$B$1:$D$1,0))="Auto","Board member 1 (auto), ","")IF(INDEX('MOA role matrix'!$B$2:$D$13,6,MATCH($B270,'MOA role matrix'!$B$1:$D$1,0))="Fill","Board member 2, ","")IF(INDEX('MOA role matrix'!$B$2:$D$13,6,MATCH($B270,'MOA role matrix'!$B$1:$D$1,0))="If finance","Board member 2 (if finance), ","")IF(INDEX('MOA role matrix'!$B$2:$D$13,6,MATCH($B270,'MOA role matrix'!$B$1:$D$1,0))="Auto","Board member 2 (auto), ","")IF(INDEX('MOA role matrix'!$B$2:$D$13,7,MATCH($B270,'MOA role matrix'!$B$1:$D$1,0))="Fill","LOA holder 1, ","")IF(INDEX('MOA role matrix'!$B$2:$D$13,7,MATCH($B270,'MOA role matrix'!$B$1:$D$1,0))="If finance","LOA holder 1 (if finance), ","")IF(INDEX('MOA role matrix'!$B$2:$D$13,7,MATCH($B270,'MOA role matrix'!$B$1:$D$1,0))="Auto","LOA holder 1 (auto), ","")IF(INDEX('MOA role matrix'!$B$2:$D$13,8,MATCH($B270,'MOA role matrix'!$B$1:$D$1,0))="Fill","LOA holder 2, ","")IF(INDEX('MOA role matrix'!$B$2:$D$13,8,MATCH($B270,'MOA role matrix'!$B$1:$D$1,0))="If finance","LOA holder 2 (if finance), ","")IF(INDEX('MOA role matrix'!$B$2:$D$13,8,MATCH($B270,'MOA role matrix'!$B$1:$D$1,0))="Auto","LOA holder 2 (auto), ","")IF(INDEX('MOA role matrix'!$B$2:$D$13,9,MATCH($B270,'MOA role matrix'!$B$1:$D$1,0))="Fill","Senior Manager CoSec, ","")IF(INDEX('MOA role matrix'!$B$2:$D$13,9,MATCH($B270,'MOA role matrix'!$B$1:$D$1,0))="If finance","Senior Manager CoSec (if finance), ","")IF(INDEX('MOA role matrix'!$B$2:$D$13,9,MATCH($B270,'MOA role matrix'!$B$1:$D$1,0))="Auto","Senior Manager CoSec (auto), ","")IF(INDEX('MOA role matrix'!$B$2:$D$13,10,MATCH($B270,'MOA role matrix'!$B$1:$D$1,0))="Fill","Division MOI managers, ","")IF(INDEX('MOA role matrix'!$B$2:$D$13,10,MATCH($B270,'MOA role matrix'!$B$1:$D$1,0))="If finance","Division MOI managers (if finance), ","")IF(INDEX('MOA role matrix'!$B$2:$D$13,10,MATCH($B270,'MOA role matrix'!$B$1:$D$1,0))="Auto","Division MOI managers (auto), ","")IF(INDEX('MOA role matrix'!$B$2:$D$13,11,MATCH($B270,'MOA role matrix'!$B$1:$D$1,0))="Fill","Ms Teh (bank), ","")IF(INDEX('MOA role matrix'!$B$2:$D$13,11,MATCH($B270,'MOA role matrix'!$B$1:$D$1,0))="If finance","Ms Teh (bank) (if finance), ","")IF(INDEX('MOA role matrix'!$B$2:$D$13,11,MATCH($B270,'MOA role matrix'!$B$1:$D$1,0))="Auto","Ms Teh (bank) (auto), ","")IF(INDEX('MOA role matrix'!$B$2:$D$13,12,MATCH($B270,'MOA role matrix'!$B$1:$D$1,0))="Fill","DLCM, ","")IF(INDEX('MOA role matrix'!$B$2:$D$13,12,MATCH($B270,'MOA role matrix'!$B$1:$D$1,0))="If finance","DLCM (if finance), ","")IF(INDEX('MOA role matrix'!$B$2:$D$13,12,MATCH($B270,'MOA role matrix'!$B$1:$D$1,0))="Auto","DLCM (auto), ","")))</f>
        <v/>
      </c>
      <c r="D270" s="5">
        <f>IF($A270="","",IFERROR(INDEX(FILTER('Client contacts'!$B$2:$B$500,('Client contacts'!$A$2:$A$500=$A270)*('Client contacts'!$H$2:$H$500="Y"),""),1),""))</f>
        <v/>
      </c>
      <c r="E270" s="5">
        <f>IF($A270="","",IFERROR(INDEX(FILTER('Client contacts'!$C$2:$C$500,('Client contacts'!$A$2:$A$500=$A270)*('Client contacts'!$H$2:$H$500="Y"),""),1),""))</f>
        <v/>
      </c>
      <c r="F270" s="5">
        <f>IF($A270="","",IFERROR(INDEX(FILTER('Client contacts'!$B$2:$B$500,('Client contacts'!$A$2:$A$500=$A270)*('Client contacts'!$G$2:$G$500="Y"),""),1),""))</f>
        <v/>
      </c>
      <c r="G270" s="5">
        <f>IF($A270="","",IFERROR(INDEX(FILTER('Client contacts'!$C$2:$C$500,('Client contacts'!$A$2:$A$500=$A270)*('Client contacts'!$G$2:$G$500="Y"),""),1),""))</f>
        <v/>
      </c>
      <c r="H270" s="5">
        <f>IF($A270="","",IFERROR(INDEX(FILTER('Client contacts'!$B$2:$B$500,('Client contacts'!$A$2:$A$500=$A270)*('Client contacts'!$G$2:$G$500="Y"),""),2),""))</f>
        <v/>
      </c>
      <c r="I270" s="5">
        <f>IF($A270="","",IFERROR(INDEX(FILTER('Client contacts'!$C$2:$C$500,('Client contacts'!$A$2:$A$500=$A270)*('Client contacts'!$G$2:$G$500="Y"),""),2),""))</f>
        <v/>
      </c>
      <c r="J270" s="8" t="n"/>
      <c r="K270" s="8" t="n"/>
      <c r="L270" s="8" t="n"/>
      <c r="M270" s="8" t="n"/>
      <c r="N270" s="8" t="n"/>
      <c r="O270" s="8" t="n"/>
      <c r="P270" s="8" t="n"/>
      <c r="Q270" s="8" t="n"/>
      <c r="R270" s="5">
        <f>IF($A270="","",IFERROR(INDEX(Companies!$I$2:$I$500,MATCH($A270,Companies!$A$2:$A$500,0)),""))</f>
        <v/>
      </c>
      <c r="S270" s="8" t="n"/>
      <c r="T270" s="8" t="n"/>
      <c r="U270" s="8" t="n"/>
      <c r="V270" s="8" t="n"/>
      <c r="W270" s="8" t="n"/>
    </row>
    <row r="271">
      <c r="C271" s="5">
        <f>IF($B271="","",TRIM(IF(INDEX('MOA role matrix'!$B$2:$D$13,1,MATCH($B271,'MOA role matrix'!$B$1:$D$1,0))="Fill","Project initiator, ","")IF(INDEX('MOA role matrix'!$B$2:$D$13,1,MATCH($B271,'MOA role matrix'!$B$1:$D$1,0))="If finance","Project initiator (if finance), ","")IF(INDEX('MOA role matrix'!$B$2:$D$13,1,MATCH($B271,'MOA role matrix'!$B$1:$D$1,0))="Auto","Project initiator (auto), ","")IF(INDEX('MOA role matrix'!$B$2:$D$13,2,MATCH($B271,'MOA role matrix'!$B$1:$D$1,0))="Fill","MOA signers (client), ","")IF(INDEX('MOA role matrix'!$B$2:$D$13,2,MATCH($B271,'MOA role matrix'!$B$1:$D$1,0))="If finance","MOA signers (client) (if finance), ","")IF(INDEX('MOA role matrix'!$B$2:$D$13,2,MATCH($B271,'MOA role matrix'!$B$1:$D$1,0))="Auto","MOA signers (client) (auto), ","")IF(INDEX('MOA role matrix'!$B$2:$D$13,3,MATCH($B271,'MOA role matrix'!$B$1:$D$1,0))="Fill","CFO / Head of Finance, ","")IF(INDEX('MOA role matrix'!$B$2:$D$13,3,MATCH($B271,'MOA role matrix'!$B$1:$D$1,0))="If finance","CFO / Head of Finance (if finance), ","")IF(INDEX('MOA role matrix'!$B$2:$D$13,3,MATCH($B271,'MOA role matrix'!$B$1:$D$1,0))="Auto","CFO / Head of Finance (auto), ","")IF(INDEX('MOA role matrix'!$B$2:$D$13,4,MATCH($B271,'MOA role matrix'!$B$1:$D$1,0))="Fill","CEO / COO / GM, ","")IF(INDEX('MOA role matrix'!$B$2:$D$13,4,MATCH($B271,'MOA role matrix'!$B$1:$D$1,0))="If finance","CEO / COO / GM (if finance), ","")IF(INDEX('MOA role matrix'!$B$2:$D$13,4,MATCH($B271,'MOA role matrix'!$B$1:$D$1,0))="Auto","CEO / COO / GM (auto), ","")IF(INDEX('MOA role matrix'!$B$2:$D$13,5,MATCH($B271,'MOA role matrix'!$B$1:$D$1,0))="Fill","Board member 1, ","")IF(INDEX('MOA role matrix'!$B$2:$D$13,5,MATCH($B271,'MOA role matrix'!$B$1:$D$1,0))="If finance","Board member 1 (if finance), ","")IF(INDEX('MOA role matrix'!$B$2:$D$13,5,MATCH($B271,'MOA role matrix'!$B$1:$D$1,0))="Auto","Board member 1 (auto), ","")IF(INDEX('MOA role matrix'!$B$2:$D$13,6,MATCH($B271,'MOA role matrix'!$B$1:$D$1,0))="Fill","Board member 2, ","")IF(INDEX('MOA role matrix'!$B$2:$D$13,6,MATCH($B271,'MOA role matrix'!$B$1:$D$1,0))="If finance","Board member 2 (if finance), ","")IF(INDEX('MOA role matrix'!$B$2:$D$13,6,MATCH($B271,'MOA role matrix'!$B$1:$D$1,0))="Auto","Board member 2 (auto), ","")IF(INDEX('MOA role matrix'!$B$2:$D$13,7,MATCH($B271,'MOA role matrix'!$B$1:$D$1,0))="Fill","LOA holder 1, ","")IF(INDEX('MOA role matrix'!$B$2:$D$13,7,MATCH($B271,'MOA role matrix'!$B$1:$D$1,0))="If finance","LOA holder 1 (if finance), ","")IF(INDEX('MOA role matrix'!$B$2:$D$13,7,MATCH($B271,'MOA role matrix'!$B$1:$D$1,0))="Auto","LOA holder 1 (auto), ","")IF(INDEX('MOA role matrix'!$B$2:$D$13,8,MATCH($B271,'MOA role matrix'!$B$1:$D$1,0))="Fill","LOA holder 2, ","")IF(INDEX('MOA role matrix'!$B$2:$D$13,8,MATCH($B271,'MOA role matrix'!$B$1:$D$1,0))="If finance","LOA holder 2 (if finance), ","")IF(INDEX('MOA role matrix'!$B$2:$D$13,8,MATCH($B271,'MOA role matrix'!$B$1:$D$1,0))="Auto","LOA holder 2 (auto), ","")IF(INDEX('MOA role matrix'!$B$2:$D$13,9,MATCH($B271,'MOA role matrix'!$B$1:$D$1,0))="Fill","Senior Manager CoSec, ","")IF(INDEX('MOA role matrix'!$B$2:$D$13,9,MATCH($B271,'MOA role matrix'!$B$1:$D$1,0))="If finance","Senior Manager CoSec (if finance), ","")IF(INDEX('MOA role matrix'!$B$2:$D$13,9,MATCH($B271,'MOA role matrix'!$B$1:$D$1,0))="Auto","Senior Manager CoSec (auto), ","")IF(INDEX('MOA role matrix'!$B$2:$D$13,10,MATCH($B271,'MOA role matrix'!$B$1:$D$1,0))="Fill","Division MOI managers, ","")IF(INDEX('MOA role matrix'!$B$2:$D$13,10,MATCH($B271,'MOA role matrix'!$B$1:$D$1,0))="If finance","Division MOI managers (if finance), ","")IF(INDEX('MOA role matrix'!$B$2:$D$13,10,MATCH($B271,'MOA role matrix'!$B$1:$D$1,0))="Auto","Division MOI managers (auto), ","")IF(INDEX('MOA role matrix'!$B$2:$D$13,11,MATCH($B271,'MOA role matrix'!$B$1:$D$1,0))="Fill","Ms Teh (bank), ","")IF(INDEX('MOA role matrix'!$B$2:$D$13,11,MATCH($B271,'MOA role matrix'!$B$1:$D$1,0))="If finance","Ms Teh (bank) (if finance), ","")IF(INDEX('MOA role matrix'!$B$2:$D$13,11,MATCH($B271,'MOA role matrix'!$B$1:$D$1,0))="Auto","Ms Teh (bank) (auto), ","")IF(INDEX('MOA role matrix'!$B$2:$D$13,12,MATCH($B271,'MOA role matrix'!$B$1:$D$1,0))="Fill","DLCM, ","")IF(INDEX('MOA role matrix'!$B$2:$D$13,12,MATCH($B271,'MOA role matrix'!$B$1:$D$1,0))="If finance","DLCM (if finance), ","")IF(INDEX('MOA role matrix'!$B$2:$D$13,12,MATCH($B271,'MOA role matrix'!$B$1:$D$1,0))="Auto","DLCM (auto), ","")))</f>
        <v/>
      </c>
      <c r="D271" s="5">
        <f>IF($A271="","",IFERROR(INDEX(FILTER('Client contacts'!$B$2:$B$500,('Client contacts'!$A$2:$A$500=$A271)*('Client contacts'!$H$2:$H$500="Y"),""),1),""))</f>
        <v/>
      </c>
      <c r="E271" s="5">
        <f>IF($A271="","",IFERROR(INDEX(FILTER('Client contacts'!$C$2:$C$500,('Client contacts'!$A$2:$A$500=$A271)*('Client contacts'!$H$2:$H$500="Y"),""),1),""))</f>
        <v/>
      </c>
      <c r="F271" s="5">
        <f>IF($A271="","",IFERROR(INDEX(FILTER('Client contacts'!$B$2:$B$500,('Client contacts'!$A$2:$A$500=$A271)*('Client contacts'!$G$2:$G$500="Y"),""),1),""))</f>
        <v/>
      </c>
      <c r="G271" s="5">
        <f>IF($A271="","",IFERROR(INDEX(FILTER('Client contacts'!$C$2:$C$500,('Client contacts'!$A$2:$A$500=$A271)*('Client contacts'!$G$2:$G$500="Y"),""),1),""))</f>
        <v/>
      </c>
      <c r="H271" s="5">
        <f>IF($A271="","",IFERROR(INDEX(FILTER('Client contacts'!$B$2:$B$500,('Client contacts'!$A$2:$A$500=$A271)*('Client contacts'!$G$2:$G$500="Y"),""),2),""))</f>
        <v/>
      </c>
      <c r="I271" s="5">
        <f>IF($A271="","",IFERROR(INDEX(FILTER('Client contacts'!$C$2:$C$500,('Client contacts'!$A$2:$A$500=$A271)*('Client contacts'!$G$2:$G$500="Y"),""),2),""))</f>
        <v/>
      </c>
      <c r="J271" s="8" t="n"/>
      <c r="K271" s="8" t="n"/>
      <c r="L271" s="8" t="n"/>
      <c r="M271" s="8" t="n"/>
      <c r="N271" s="8" t="n"/>
      <c r="O271" s="8" t="n"/>
      <c r="P271" s="8" t="n"/>
      <c r="Q271" s="8" t="n"/>
      <c r="R271" s="5">
        <f>IF($A271="","",IFERROR(INDEX(Companies!$I$2:$I$500,MATCH($A271,Companies!$A$2:$A$500,0)),""))</f>
        <v/>
      </c>
      <c r="S271" s="8" t="n"/>
      <c r="T271" s="8" t="n"/>
      <c r="U271" s="8" t="n"/>
      <c r="V271" s="8" t="n"/>
      <c r="W271" s="8" t="n"/>
    </row>
    <row r="272">
      <c r="C272" s="5">
        <f>IF($B272="","",TRIM(IF(INDEX('MOA role matrix'!$B$2:$D$13,1,MATCH($B272,'MOA role matrix'!$B$1:$D$1,0))="Fill","Project initiator, ","")IF(INDEX('MOA role matrix'!$B$2:$D$13,1,MATCH($B272,'MOA role matrix'!$B$1:$D$1,0))="If finance","Project initiator (if finance), ","")IF(INDEX('MOA role matrix'!$B$2:$D$13,1,MATCH($B272,'MOA role matrix'!$B$1:$D$1,0))="Auto","Project initiator (auto), ","")IF(INDEX('MOA role matrix'!$B$2:$D$13,2,MATCH($B272,'MOA role matrix'!$B$1:$D$1,0))="Fill","MOA signers (client), ","")IF(INDEX('MOA role matrix'!$B$2:$D$13,2,MATCH($B272,'MOA role matrix'!$B$1:$D$1,0))="If finance","MOA signers (client) (if finance), ","")IF(INDEX('MOA role matrix'!$B$2:$D$13,2,MATCH($B272,'MOA role matrix'!$B$1:$D$1,0))="Auto","MOA signers (client) (auto), ","")IF(INDEX('MOA role matrix'!$B$2:$D$13,3,MATCH($B272,'MOA role matrix'!$B$1:$D$1,0))="Fill","CFO / Head of Finance, ","")IF(INDEX('MOA role matrix'!$B$2:$D$13,3,MATCH($B272,'MOA role matrix'!$B$1:$D$1,0))="If finance","CFO / Head of Finance (if finance), ","")IF(INDEX('MOA role matrix'!$B$2:$D$13,3,MATCH($B272,'MOA role matrix'!$B$1:$D$1,0))="Auto","CFO / Head of Finance (auto), ","")IF(INDEX('MOA role matrix'!$B$2:$D$13,4,MATCH($B272,'MOA role matrix'!$B$1:$D$1,0))="Fill","CEO / COO / GM, ","")IF(INDEX('MOA role matrix'!$B$2:$D$13,4,MATCH($B272,'MOA role matrix'!$B$1:$D$1,0))="If finance","CEO / COO / GM (if finance), ","")IF(INDEX('MOA role matrix'!$B$2:$D$13,4,MATCH($B272,'MOA role matrix'!$B$1:$D$1,0))="Auto","CEO / COO / GM (auto), ","")IF(INDEX('MOA role matrix'!$B$2:$D$13,5,MATCH($B272,'MOA role matrix'!$B$1:$D$1,0))="Fill","Board member 1, ","")IF(INDEX('MOA role matrix'!$B$2:$D$13,5,MATCH($B272,'MOA role matrix'!$B$1:$D$1,0))="If finance","Board member 1 (if finance), ","")IF(INDEX('MOA role matrix'!$B$2:$D$13,5,MATCH($B272,'MOA role matrix'!$B$1:$D$1,0))="Auto","Board member 1 (auto), ","")IF(INDEX('MOA role matrix'!$B$2:$D$13,6,MATCH($B272,'MOA role matrix'!$B$1:$D$1,0))="Fill","Board member 2, ","")IF(INDEX('MOA role matrix'!$B$2:$D$13,6,MATCH($B272,'MOA role matrix'!$B$1:$D$1,0))="If finance","Board member 2 (if finance), ","")IF(INDEX('MOA role matrix'!$B$2:$D$13,6,MATCH($B272,'MOA role matrix'!$B$1:$D$1,0))="Auto","Board member 2 (auto), ","")IF(INDEX('MOA role matrix'!$B$2:$D$13,7,MATCH($B272,'MOA role matrix'!$B$1:$D$1,0))="Fill","LOA holder 1, ","")IF(INDEX('MOA role matrix'!$B$2:$D$13,7,MATCH($B272,'MOA role matrix'!$B$1:$D$1,0))="If finance","LOA holder 1 (if finance), ","")IF(INDEX('MOA role matrix'!$B$2:$D$13,7,MATCH($B272,'MOA role matrix'!$B$1:$D$1,0))="Auto","LOA holder 1 (auto), ","")IF(INDEX('MOA role matrix'!$B$2:$D$13,8,MATCH($B272,'MOA role matrix'!$B$1:$D$1,0))="Fill","LOA holder 2, ","")IF(INDEX('MOA role matrix'!$B$2:$D$13,8,MATCH($B272,'MOA role matrix'!$B$1:$D$1,0))="If finance","LOA holder 2 (if finance), ","")IF(INDEX('MOA role matrix'!$B$2:$D$13,8,MATCH($B272,'MOA role matrix'!$B$1:$D$1,0))="Auto","LOA holder 2 (auto), ","")IF(INDEX('MOA role matrix'!$B$2:$D$13,9,MATCH($B272,'MOA role matrix'!$B$1:$D$1,0))="Fill","Senior Manager CoSec, ","")IF(INDEX('MOA role matrix'!$B$2:$D$13,9,MATCH($B272,'MOA role matrix'!$B$1:$D$1,0))="If finance","Senior Manager CoSec (if finance), ","")IF(INDEX('MOA role matrix'!$B$2:$D$13,9,MATCH($B272,'MOA role matrix'!$B$1:$D$1,0))="Auto","Senior Manager CoSec (auto), ","")IF(INDEX('MOA role matrix'!$B$2:$D$13,10,MATCH($B272,'MOA role matrix'!$B$1:$D$1,0))="Fill","Division MOI managers, ","")IF(INDEX('MOA role matrix'!$B$2:$D$13,10,MATCH($B272,'MOA role matrix'!$B$1:$D$1,0))="If finance","Division MOI managers (if finance), ","")IF(INDEX('MOA role matrix'!$B$2:$D$13,10,MATCH($B272,'MOA role matrix'!$B$1:$D$1,0))="Auto","Division MOI managers (auto), ","")IF(INDEX('MOA role matrix'!$B$2:$D$13,11,MATCH($B272,'MOA role matrix'!$B$1:$D$1,0))="Fill","Ms Teh (bank), ","")IF(INDEX('MOA role matrix'!$B$2:$D$13,11,MATCH($B272,'MOA role matrix'!$B$1:$D$1,0))="If finance","Ms Teh (bank) (if finance), ","")IF(INDEX('MOA role matrix'!$B$2:$D$13,11,MATCH($B272,'MOA role matrix'!$B$1:$D$1,0))="Auto","Ms Teh (bank) (auto), ","")IF(INDEX('MOA role matrix'!$B$2:$D$13,12,MATCH($B272,'MOA role matrix'!$B$1:$D$1,0))="Fill","DLCM, ","")IF(INDEX('MOA role matrix'!$B$2:$D$13,12,MATCH($B272,'MOA role matrix'!$B$1:$D$1,0))="If finance","DLCM (if finance), ","")IF(INDEX('MOA role matrix'!$B$2:$D$13,12,MATCH($B272,'MOA role matrix'!$B$1:$D$1,0))="Auto","DLCM (auto), ","")))</f>
        <v/>
      </c>
      <c r="D272" s="5">
        <f>IF($A272="","",IFERROR(INDEX(FILTER('Client contacts'!$B$2:$B$500,('Client contacts'!$A$2:$A$500=$A272)*('Client contacts'!$H$2:$H$500="Y"),""),1),""))</f>
        <v/>
      </c>
      <c r="E272" s="5">
        <f>IF($A272="","",IFERROR(INDEX(FILTER('Client contacts'!$C$2:$C$500,('Client contacts'!$A$2:$A$500=$A272)*('Client contacts'!$H$2:$H$500="Y"),""),1),""))</f>
        <v/>
      </c>
      <c r="F272" s="5">
        <f>IF($A272="","",IFERROR(INDEX(FILTER('Client contacts'!$B$2:$B$500,('Client contacts'!$A$2:$A$500=$A272)*('Client contacts'!$G$2:$G$500="Y"),""),1),""))</f>
        <v/>
      </c>
      <c r="G272" s="5">
        <f>IF($A272="","",IFERROR(INDEX(FILTER('Client contacts'!$C$2:$C$500,('Client contacts'!$A$2:$A$500=$A272)*('Client contacts'!$G$2:$G$500="Y"),""),1),""))</f>
        <v/>
      </c>
      <c r="H272" s="5">
        <f>IF($A272="","",IFERROR(INDEX(FILTER('Client contacts'!$B$2:$B$500,('Client contacts'!$A$2:$A$500=$A272)*('Client contacts'!$G$2:$G$500="Y"),""),2),""))</f>
        <v/>
      </c>
      <c r="I272" s="5">
        <f>IF($A272="","",IFERROR(INDEX(FILTER('Client contacts'!$C$2:$C$500,('Client contacts'!$A$2:$A$500=$A272)*('Client contacts'!$G$2:$G$500="Y"),""),2),""))</f>
        <v/>
      </c>
      <c r="J272" s="8" t="n"/>
      <c r="K272" s="8" t="n"/>
      <c r="L272" s="8" t="n"/>
      <c r="M272" s="8" t="n"/>
      <c r="N272" s="8" t="n"/>
      <c r="O272" s="8" t="n"/>
      <c r="P272" s="8" t="n"/>
      <c r="Q272" s="8" t="n"/>
      <c r="R272" s="5">
        <f>IF($A272="","",IFERROR(INDEX(Companies!$I$2:$I$500,MATCH($A272,Companies!$A$2:$A$500,0)),""))</f>
        <v/>
      </c>
      <c r="S272" s="8" t="n"/>
      <c r="T272" s="8" t="n"/>
      <c r="U272" s="8" t="n"/>
      <c r="V272" s="8" t="n"/>
      <c r="W272" s="8" t="n"/>
    </row>
    <row r="273">
      <c r="C273" s="5">
        <f>IF($B273="","",TRIM(IF(INDEX('MOA role matrix'!$B$2:$D$13,1,MATCH($B273,'MOA role matrix'!$B$1:$D$1,0))="Fill","Project initiator, ","")IF(INDEX('MOA role matrix'!$B$2:$D$13,1,MATCH($B273,'MOA role matrix'!$B$1:$D$1,0))="If finance","Project initiator (if finance), ","")IF(INDEX('MOA role matrix'!$B$2:$D$13,1,MATCH($B273,'MOA role matrix'!$B$1:$D$1,0))="Auto","Project initiator (auto), ","")IF(INDEX('MOA role matrix'!$B$2:$D$13,2,MATCH($B273,'MOA role matrix'!$B$1:$D$1,0))="Fill","MOA signers (client), ","")IF(INDEX('MOA role matrix'!$B$2:$D$13,2,MATCH($B273,'MOA role matrix'!$B$1:$D$1,0))="If finance","MOA signers (client) (if finance), ","")IF(INDEX('MOA role matrix'!$B$2:$D$13,2,MATCH($B273,'MOA role matrix'!$B$1:$D$1,0))="Auto","MOA signers (client) (auto), ","")IF(INDEX('MOA role matrix'!$B$2:$D$13,3,MATCH($B273,'MOA role matrix'!$B$1:$D$1,0))="Fill","CFO / Head of Finance, ","")IF(INDEX('MOA role matrix'!$B$2:$D$13,3,MATCH($B273,'MOA role matrix'!$B$1:$D$1,0))="If finance","CFO / Head of Finance (if finance), ","")IF(INDEX('MOA role matrix'!$B$2:$D$13,3,MATCH($B273,'MOA role matrix'!$B$1:$D$1,0))="Auto","CFO / Head of Finance (auto), ","")IF(INDEX('MOA role matrix'!$B$2:$D$13,4,MATCH($B273,'MOA role matrix'!$B$1:$D$1,0))="Fill","CEO / COO / GM, ","")IF(INDEX('MOA role matrix'!$B$2:$D$13,4,MATCH($B273,'MOA role matrix'!$B$1:$D$1,0))="If finance","CEO / COO / GM (if finance), ","")IF(INDEX('MOA role matrix'!$B$2:$D$13,4,MATCH($B273,'MOA role matrix'!$B$1:$D$1,0))="Auto","CEO / COO / GM (auto), ","")IF(INDEX('MOA role matrix'!$B$2:$D$13,5,MATCH($B273,'MOA role matrix'!$B$1:$D$1,0))="Fill","Board member 1, ","")IF(INDEX('MOA role matrix'!$B$2:$D$13,5,MATCH($B273,'MOA role matrix'!$B$1:$D$1,0))="If finance","Board member 1 (if finance), ","")IF(INDEX('MOA role matrix'!$B$2:$D$13,5,MATCH($B273,'MOA role matrix'!$B$1:$D$1,0))="Auto","Board member 1 (auto), ","")IF(INDEX('MOA role matrix'!$B$2:$D$13,6,MATCH($B273,'MOA role matrix'!$B$1:$D$1,0))="Fill","Board member 2, ","")IF(INDEX('MOA role matrix'!$B$2:$D$13,6,MATCH($B273,'MOA role matrix'!$B$1:$D$1,0))="If finance","Board member 2 (if finance), ","")IF(INDEX('MOA role matrix'!$B$2:$D$13,6,MATCH($B273,'MOA role matrix'!$B$1:$D$1,0))="Auto","Board member 2 (auto), ","")IF(INDEX('MOA role matrix'!$B$2:$D$13,7,MATCH($B273,'MOA role matrix'!$B$1:$D$1,0))="Fill","LOA holder 1, ","")IF(INDEX('MOA role matrix'!$B$2:$D$13,7,MATCH($B273,'MOA role matrix'!$B$1:$D$1,0))="If finance","LOA holder 1 (if finance), ","")IF(INDEX('MOA role matrix'!$B$2:$D$13,7,MATCH($B273,'MOA role matrix'!$B$1:$D$1,0))="Auto","LOA holder 1 (auto), ","")IF(INDEX('MOA role matrix'!$B$2:$D$13,8,MATCH($B273,'MOA role matrix'!$B$1:$D$1,0))="Fill","LOA holder 2, ","")IF(INDEX('MOA role matrix'!$B$2:$D$13,8,MATCH($B273,'MOA role matrix'!$B$1:$D$1,0))="If finance","LOA holder 2 (if finance), ","")IF(INDEX('MOA role matrix'!$B$2:$D$13,8,MATCH($B273,'MOA role matrix'!$B$1:$D$1,0))="Auto","LOA holder 2 (auto), ","")IF(INDEX('MOA role matrix'!$B$2:$D$13,9,MATCH($B273,'MOA role matrix'!$B$1:$D$1,0))="Fill","Senior Manager CoSec, ","")IF(INDEX('MOA role matrix'!$B$2:$D$13,9,MATCH($B273,'MOA role matrix'!$B$1:$D$1,0))="If finance","Senior Manager CoSec (if finance), ","")IF(INDEX('MOA role matrix'!$B$2:$D$13,9,MATCH($B273,'MOA role matrix'!$B$1:$D$1,0))="Auto","Senior Manager CoSec (auto), ","")IF(INDEX('MOA role matrix'!$B$2:$D$13,10,MATCH($B273,'MOA role matrix'!$B$1:$D$1,0))="Fill","Division MOI managers, ","")IF(INDEX('MOA role matrix'!$B$2:$D$13,10,MATCH($B273,'MOA role matrix'!$B$1:$D$1,0))="If finance","Division MOI managers (if finance), ","")IF(INDEX('MOA role matrix'!$B$2:$D$13,10,MATCH($B273,'MOA role matrix'!$B$1:$D$1,0))="Auto","Division MOI managers (auto), ","")IF(INDEX('MOA role matrix'!$B$2:$D$13,11,MATCH($B273,'MOA role matrix'!$B$1:$D$1,0))="Fill","Ms Teh (bank), ","")IF(INDEX('MOA role matrix'!$B$2:$D$13,11,MATCH($B273,'MOA role matrix'!$B$1:$D$1,0))="If finance","Ms Teh (bank) (if finance), ","")IF(INDEX('MOA role matrix'!$B$2:$D$13,11,MATCH($B273,'MOA role matrix'!$B$1:$D$1,0))="Auto","Ms Teh (bank) (auto), ","")IF(INDEX('MOA role matrix'!$B$2:$D$13,12,MATCH($B273,'MOA role matrix'!$B$1:$D$1,0))="Fill","DLCM, ","")IF(INDEX('MOA role matrix'!$B$2:$D$13,12,MATCH($B273,'MOA role matrix'!$B$1:$D$1,0))="If finance","DLCM (if finance), ","")IF(INDEX('MOA role matrix'!$B$2:$D$13,12,MATCH($B273,'MOA role matrix'!$B$1:$D$1,0))="Auto","DLCM (auto), ","")))</f>
        <v/>
      </c>
      <c r="D273" s="5">
        <f>IF($A273="","",IFERROR(INDEX(FILTER('Client contacts'!$B$2:$B$500,('Client contacts'!$A$2:$A$500=$A273)*('Client contacts'!$H$2:$H$500="Y"),""),1),""))</f>
        <v/>
      </c>
      <c r="E273" s="5">
        <f>IF($A273="","",IFERROR(INDEX(FILTER('Client contacts'!$C$2:$C$500,('Client contacts'!$A$2:$A$500=$A273)*('Client contacts'!$H$2:$H$500="Y"),""),1),""))</f>
        <v/>
      </c>
      <c r="F273" s="5">
        <f>IF($A273="","",IFERROR(INDEX(FILTER('Client contacts'!$B$2:$B$500,('Client contacts'!$A$2:$A$500=$A273)*('Client contacts'!$G$2:$G$500="Y"),""),1),""))</f>
        <v/>
      </c>
      <c r="G273" s="5">
        <f>IF($A273="","",IFERROR(INDEX(FILTER('Client contacts'!$C$2:$C$500,('Client contacts'!$A$2:$A$500=$A273)*('Client contacts'!$G$2:$G$500="Y"),""),1),""))</f>
        <v/>
      </c>
      <c r="H273" s="5">
        <f>IF($A273="","",IFERROR(INDEX(FILTER('Client contacts'!$B$2:$B$500,('Client contacts'!$A$2:$A$500=$A273)*('Client contacts'!$G$2:$G$500="Y"),""),2),""))</f>
        <v/>
      </c>
      <c r="I273" s="5">
        <f>IF($A273="","",IFERROR(INDEX(FILTER('Client contacts'!$C$2:$C$500,('Client contacts'!$A$2:$A$500=$A273)*('Client contacts'!$G$2:$G$500="Y"),""),2),""))</f>
        <v/>
      </c>
      <c r="J273" s="8" t="n"/>
      <c r="K273" s="8" t="n"/>
      <c r="L273" s="8" t="n"/>
      <c r="M273" s="8" t="n"/>
      <c r="N273" s="8" t="n"/>
      <c r="O273" s="8" t="n"/>
      <c r="P273" s="8" t="n"/>
      <c r="Q273" s="8" t="n"/>
      <c r="R273" s="5">
        <f>IF($A273="","",IFERROR(INDEX(Companies!$I$2:$I$500,MATCH($A273,Companies!$A$2:$A$500,0)),""))</f>
        <v/>
      </c>
      <c r="S273" s="8" t="n"/>
      <c r="T273" s="8" t="n"/>
      <c r="U273" s="8" t="n"/>
      <c r="V273" s="8" t="n"/>
      <c r="W273" s="8" t="n"/>
    </row>
    <row r="274">
      <c r="C274" s="5">
        <f>IF($B274="","",TRIM(IF(INDEX('MOA role matrix'!$B$2:$D$13,1,MATCH($B274,'MOA role matrix'!$B$1:$D$1,0))="Fill","Project initiator, ","")IF(INDEX('MOA role matrix'!$B$2:$D$13,1,MATCH($B274,'MOA role matrix'!$B$1:$D$1,0))="If finance","Project initiator (if finance), ","")IF(INDEX('MOA role matrix'!$B$2:$D$13,1,MATCH($B274,'MOA role matrix'!$B$1:$D$1,0))="Auto","Project initiator (auto), ","")IF(INDEX('MOA role matrix'!$B$2:$D$13,2,MATCH($B274,'MOA role matrix'!$B$1:$D$1,0))="Fill","MOA signers (client), ","")IF(INDEX('MOA role matrix'!$B$2:$D$13,2,MATCH($B274,'MOA role matrix'!$B$1:$D$1,0))="If finance","MOA signers (client) (if finance), ","")IF(INDEX('MOA role matrix'!$B$2:$D$13,2,MATCH($B274,'MOA role matrix'!$B$1:$D$1,0))="Auto","MOA signers (client) (auto), ","")IF(INDEX('MOA role matrix'!$B$2:$D$13,3,MATCH($B274,'MOA role matrix'!$B$1:$D$1,0))="Fill","CFO / Head of Finance, ","")IF(INDEX('MOA role matrix'!$B$2:$D$13,3,MATCH($B274,'MOA role matrix'!$B$1:$D$1,0))="If finance","CFO / Head of Finance (if finance), ","")IF(INDEX('MOA role matrix'!$B$2:$D$13,3,MATCH($B274,'MOA role matrix'!$B$1:$D$1,0))="Auto","CFO / Head of Finance (auto), ","")IF(INDEX('MOA role matrix'!$B$2:$D$13,4,MATCH($B274,'MOA role matrix'!$B$1:$D$1,0))="Fill","CEO / COO / GM, ","")IF(INDEX('MOA role matrix'!$B$2:$D$13,4,MATCH($B274,'MOA role matrix'!$B$1:$D$1,0))="If finance","CEO / COO / GM (if finance), ","")IF(INDEX('MOA role matrix'!$B$2:$D$13,4,MATCH($B274,'MOA role matrix'!$B$1:$D$1,0))="Auto","CEO / COO / GM (auto), ","")IF(INDEX('MOA role matrix'!$B$2:$D$13,5,MATCH($B274,'MOA role matrix'!$B$1:$D$1,0))="Fill","Board member 1, ","")IF(INDEX('MOA role matrix'!$B$2:$D$13,5,MATCH($B274,'MOA role matrix'!$B$1:$D$1,0))="If finance","Board member 1 (if finance), ","")IF(INDEX('MOA role matrix'!$B$2:$D$13,5,MATCH($B274,'MOA role matrix'!$B$1:$D$1,0))="Auto","Board member 1 (auto), ","")IF(INDEX('MOA role matrix'!$B$2:$D$13,6,MATCH($B274,'MOA role matrix'!$B$1:$D$1,0))="Fill","Board member 2, ","")IF(INDEX('MOA role matrix'!$B$2:$D$13,6,MATCH($B274,'MOA role matrix'!$B$1:$D$1,0))="If finance","Board member 2 (if finance), ","")IF(INDEX('MOA role matrix'!$B$2:$D$13,6,MATCH($B274,'MOA role matrix'!$B$1:$D$1,0))="Auto","Board member 2 (auto), ","")IF(INDEX('MOA role matrix'!$B$2:$D$13,7,MATCH($B274,'MOA role matrix'!$B$1:$D$1,0))="Fill","LOA holder 1, ","")IF(INDEX('MOA role matrix'!$B$2:$D$13,7,MATCH($B274,'MOA role matrix'!$B$1:$D$1,0))="If finance","LOA holder 1 (if finance), ","")IF(INDEX('MOA role matrix'!$B$2:$D$13,7,MATCH($B274,'MOA role matrix'!$B$1:$D$1,0))="Auto","LOA holder 1 (auto), ","")IF(INDEX('MOA role matrix'!$B$2:$D$13,8,MATCH($B274,'MOA role matrix'!$B$1:$D$1,0))="Fill","LOA holder 2, ","")IF(INDEX('MOA role matrix'!$B$2:$D$13,8,MATCH($B274,'MOA role matrix'!$B$1:$D$1,0))="If finance","LOA holder 2 (if finance), ","")IF(INDEX('MOA role matrix'!$B$2:$D$13,8,MATCH($B274,'MOA role matrix'!$B$1:$D$1,0))="Auto","LOA holder 2 (auto), ","")IF(INDEX('MOA role matrix'!$B$2:$D$13,9,MATCH($B274,'MOA role matrix'!$B$1:$D$1,0))="Fill","Senior Manager CoSec, ","")IF(INDEX('MOA role matrix'!$B$2:$D$13,9,MATCH($B274,'MOA role matrix'!$B$1:$D$1,0))="If finance","Senior Manager CoSec (if finance), ","")IF(INDEX('MOA role matrix'!$B$2:$D$13,9,MATCH($B274,'MOA role matrix'!$B$1:$D$1,0))="Auto","Senior Manager CoSec (auto), ","")IF(INDEX('MOA role matrix'!$B$2:$D$13,10,MATCH($B274,'MOA role matrix'!$B$1:$D$1,0))="Fill","Division MOI managers, ","")IF(INDEX('MOA role matrix'!$B$2:$D$13,10,MATCH($B274,'MOA role matrix'!$B$1:$D$1,0))="If finance","Division MOI managers (if finance), ","")IF(INDEX('MOA role matrix'!$B$2:$D$13,10,MATCH($B274,'MOA role matrix'!$B$1:$D$1,0))="Auto","Division MOI managers (auto), ","")IF(INDEX('MOA role matrix'!$B$2:$D$13,11,MATCH($B274,'MOA role matrix'!$B$1:$D$1,0))="Fill","Ms Teh (bank), ","")IF(INDEX('MOA role matrix'!$B$2:$D$13,11,MATCH($B274,'MOA role matrix'!$B$1:$D$1,0))="If finance","Ms Teh (bank) (if finance), ","")IF(INDEX('MOA role matrix'!$B$2:$D$13,11,MATCH($B274,'MOA role matrix'!$B$1:$D$1,0))="Auto","Ms Teh (bank) (auto), ","")IF(INDEX('MOA role matrix'!$B$2:$D$13,12,MATCH($B274,'MOA role matrix'!$B$1:$D$1,0))="Fill","DLCM, ","")IF(INDEX('MOA role matrix'!$B$2:$D$13,12,MATCH($B274,'MOA role matrix'!$B$1:$D$1,0))="If finance","DLCM (if finance), ","")IF(INDEX('MOA role matrix'!$B$2:$D$13,12,MATCH($B274,'MOA role matrix'!$B$1:$D$1,0))="Auto","DLCM (auto), ","")))</f>
        <v/>
      </c>
      <c r="D274" s="5">
        <f>IF($A274="","",IFERROR(INDEX(FILTER('Client contacts'!$B$2:$B$500,('Client contacts'!$A$2:$A$500=$A274)*('Client contacts'!$H$2:$H$500="Y"),""),1),""))</f>
        <v/>
      </c>
      <c r="E274" s="5">
        <f>IF($A274="","",IFERROR(INDEX(FILTER('Client contacts'!$C$2:$C$500,('Client contacts'!$A$2:$A$500=$A274)*('Client contacts'!$H$2:$H$500="Y"),""),1),""))</f>
        <v/>
      </c>
      <c r="F274" s="5">
        <f>IF($A274="","",IFERROR(INDEX(FILTER('Client contacts'!$B$2:$B$500,('Client contacts'!$A$2:$A$500=$A274)*('Client contacts'!$G$2:$G$500="Y"),""),1),""))</f>
        <v/>
      </c>
      <c r="G274" s="5">
        <f>IF($A274="","",IFERROR(INDEX(FILTER('Client contacts'!$C$2:$C$500,('Client contacts'!$A$2:$A$500=$A274)*('Client contacts'!$G$2:$G$500="Y"),""),1),""))</f>
        <v/>
      </c>
      <c r="H274" s="5">
        <f>IF($A274="","",IFERROR(INDEX(FILTER('Client contacts'!$B$2:$B$500,('Client contacts'!$A$2:$A$500=$A274)*('Client contacts'!$G$2:$G$500="Y"),""),2),""))</f>
        <v/>
      </c>
      <c r="I274" s="5">
        <f>IF($A274="","",IFERROR(INDEX(FILTER('Client contacts'!$C$2:$C$500,('Client contacts'!$A$2:$A$500=$A274)*('Client contacts'!$G$2:$G$500="Y"),""),2),""))</f>
        <v/>
      </c>
      <c r="J274" s="8" t="n"/>
      <c r="K274" s="8" t="n"/>
      <c r="L274" s="8" t="n"/>
      <c r="M274" s="8" t="n"/>
      <c r="N274" s="8" t="n"/>
      <c r="O274" s="8" t="n"/>
      <c r="P274" s="8" t="n"/>
      <c r="Q274" s="8" t="n"/>
      <c r="R274" s="5">
        <f>IF($A274="","",IFERROR(INDEX(Companies!$I$2:$I$500,MATCH($A274,Companies!$A$2:$A$500,0)),""))</f>
        <v/>
      </c>
      <c r="S274" s="8" t="n"/>
      <c r="T274" s="8" t="n"/>
      <c r="U274" s="8" t="n"/>
      <c r="V274" s="8" t="n"/>
      <c r="W274" s="8" t="n"/>
    </row>
    <row r="275">
      <c r="C275" s="5">
        <f>IF($B275="","",TRIM(IF(INDEX('MOA role matrix'!$B$2:$D$13,1,MATCH($B275,'MOA role matrix'!$B$1:$D$1,0))="Fill","Project initiator, ","")IF(INDEX('MOA role matrix'!$B$2:$D$13,1,MATCH($B275,'MOA role matrix'!$B$1:$D$1,0))="If finance","Project initiator (if finance), ","")IF(INDEX('MOA role matrix'!$B$2:$D$13,1,MATCH($B275,'MOA role matrix'!$B$1:$D$1,0))="Auto","Project initiator (auto), ","")IF(INDEX('MOA role matrix'!$B$2:$D$13,2,MATCH($B275,'MOA role matrix'!$B$1:$D$1,0))="Fill","MOA signers (client), ","")IF(INDEX('MOA role matrix'!$B$2:$D$13,2,MATCH($B275,'MOA role matrix'!$B$1:$D$1,0))="If finance","MOA signers (client) (if finance), ","")IF(INDEX('MOA role matrix'!$B$2:$D$13,2,MATCH($B275,'MOA role matrix'!$B$1:$D$1,0))="Auto","MOA signers (client) (auto), ","")IF(INDEX('MOA role matrix'!$B$2:$D$13,3,MATCH($B275,'MOA role matrix'!$B$1:$D$1,0))="Fill","CFO / Head of Finance, ","")IF(INDEX('MOA role matrix'!$B$2:$D$13,3,MATCH($B275,'MOA role matrix'!$B$1:$D$1,0))="If finance","CFO / Head of Finance (if finance), ","")IF(INDEX('MOA role matrix'!$B$2:$D$13,3,MATCH($B275,'MOA role matrix'!$B$1:$D$1,0))="Auto","CFO / Head of Finance (auto), ","")IF(INDEX('MOA role matrix'!$B$2:$D$13,4,MATCH($B275,'MOA role matrix'!$B$1:$D$1,0))="Fill","CEO / COO / GM, ","")IF(INDEX('MOA role matrix'!$B$2:$D$13,4,MATCH($B275,'MOA role matrix'!$B$1:$D$1,0))="If finance","CEO / COO / GM (if finance), ","")IF(INDEX('MOA role matrix'!$B$2:$D$13,4,MATCH($B275,'MOA role matrix'!$B$1:$D$1,0))="Auto","CEO / COO / GM (auto), ","")IF(INDEX('MOA role matrix'!$B$2:$D$13,5,MATCH($B275,'MOA role matrix'!$B$1:$D$1,0))="Fill","Board member 1, ","")IF(INDEX('MOA role matrix'!$B$2:$D$13,5,MATCH($B275,'MOA role matrix'!$B$1:$D$1,0))="If finance","Board member 1 (if finance), ","")IF(INDEX('MOA role matrix'!$B$2:$D$13,5,MATCH($B275,'MOA role matrix'!$B$1:$D$1,0))="Auto","Board member 1 (auto), ","")IF(INDEX('MOA role matrix'!$B$2:$D$13,6,MATCH($B275,'MOA role matrix'!$B$1:$D$1,0))="Fill","Board member 2, ","")IF(INDEX('MOA role matrix'!$B$2:$D$13,6,MATCH($B275,'MOA role matrix'!$B$1:$D$1,0))="If finance","Board member 2 (if finance), ","")IF(INDEX('MOA role matrix'!$B$2:$D$13,6,MATCH($B275,'MOA role matrix'!$B$1:$D$1,0))="Auto","Board member 2 (auto), ","")IF(INDEX('MOA role matrix'!$B$2:$D$13,7,MATCH($B275,'MOA role matrix'!$B$1:$D$1,0))="Fill","LOA holder 1, ","")IF(INDEX('MOA role matrix'!$B$2:$D$13,7,MATCH($B275,'MOA role matrix'!$B$1:$D$1,0))="If finance","LOA holder 1 (if finance), ","")IF(INDEX('MOA role matrix'!$B$2:$D$13,7,MATCH($B275,'MOA role matrix'!$B$1:$D$1,0))="Auto","LOA holder 1 (auto), ","")IF(INDEX('MOA role matrix'!$B$2:$D$13,8,MATCH($B275,'MOA role matrix'!$B$1:$D$1,0))="Fill","LOA holder 2, ","")IF(INDEX('MOA role matrix'!$B$2:$D$13,8,MATCH($B275,'MOA role matrix'!$B$1:$D$1,0))="If finance","LOA holder 2 (if finance), ","")IF(INDEX('MOA role matrix'!$B$2:$D$13,8,MATCH($B275,'MOA role matrix'!$B$1:$D$1,0))="Auto","LOA holder 2 (auto), ","")IF(INDEX('MOA role matrix'!$B$2:$D$13,9,MATCH($B275,'MOA role matrix'!$B$1:$D$1,0))="Fill","Senior Manager CoSec, ","")IF(INDEX('MOA role matrix'!$B$2:$D$13,9,MATCH($B275,'MOA role matrix'!$B$1:$D$1,0))="If finance","Senior Manager CoSec (if finance), ","")IF(INDEX('MOA role matrix'!$B$2:$D$13,9,MATCH($B275,'MOA role matrix'!$B$1:$D$1,0))="Auto","Senior Manager CoSec (auto), ","")IF(INDEX('MOA role matrix'!$B$2:$D$13,10,MATCH($B275,'MOA role matrix'!$B$1:$D$1,0))="Fill","Division MOI managers, ","")IF(INDEX('MOA role matrix'!$B$2:$D$13,10,MATCH($B275,'MOA role matrix'!$B$1:$D$1,0))="If finance","Division MOI managers (if finance), ","")IF(INDEX('MOA role matrix'!$B$2:$D$13,10,MATCH($B275,'MOA role matrix'!$B$1:$D$1,0))="Auto","Division MOI managers (auto), ","")IF(INDEX('MOA role matrix'!$B$2:$D$13,11,MATCH($B275,'MOA role matrix'!$B$1:$D$1,0))="Fill","Ms Teh (bank), ","")IF(INDEX('MOA role matrix'!$B$2:$D$13,11,MATCH($B275,'MOA role matrix'!$B$1:$D$1,0))="If finance","Ms Teh (bank) (if finance), ","")IF(INDEX('MOA role matrix'!$B$2:$D$13,11,MATCH($B275,'MOA role matrix'!$B$1:$D$1,0))="Auto","Ms Teh (bank) (auto), ","")IF(INDEX('MOA role matrix'!$B$2:$D$13,12,MATCH($B275,'MOA role matrix'!$B$1:$D$1,0))="Fill","DLCM, ","")IF(INDEX('MOA role matrix'!$B$2:$D$13,12,MATCH($B275,'MOA role matrix'!$B$1:$D$1,0))="If finance","DLCM (if finance), ","")IF(INDEX('MOA role matrix'!$B$2:$D$13,12,MATCH($B275,'MOA role matrix'!$B$1:$D$1,0))="Auto","DLCM (auto), ","")))</f>
        <v/>
      </c>
      <c r="D275" s="5">
        <f>IF($A275="","",IFERROR(INDEX(FILTER('Client contacts'!$B$2:$B$500,('Client contacts'!$A$2:$A$500=$A275)*('Client contacts'!$H$2:$H$500="Y"),""),1),""))</f>
        <v/>
      </c>
      <c r="E275" s="5">
        <f>IF($A275="","",IFERROR(INDEX(FILTER('Client contacts'!$C$2:$C$500,('Client contacts'!$A$2:$A$500=$A275)*('Client contacts'!$H$2:$H$500="Y"),""),1),""))</f>
        <v/>
      </c>
      <c r="F275" s="5">
        <f>IF($A275="","",IFERROR(INDEX(FILTER('Client contacts'!$B$2:$B$500,('Client contacts'!$A$2:$A$500=$A275)*('Client contacts'!$G$2:$G$500="Y"),""),1),""))</f>
        <v/>
      </c>
      <c r="G275" s="5">
        <f>IF($A275="","",IFERROR(INDEX(FILTER('Client contacts'!$C$2:$C$500,('Client contacts'!$A$2:$A$500=$A275)*('Client contacts'!$G$2:$G$500="Y"),""),1),""))</f>
        <v/>
      </c>
      <c r="H275" s="5">
        <f>IF($A275="","",IFERROR(INDEX(FILTER('Client contacts'!$B$2:$B$500,('Client contacts'!$A$2:$A$500=$A275)*('Client contacts'!$G$2:$G$500="Y"),""),2),""))</f>
        <v/>
      </c>
      <c r="I275" s="5">
        <f>IF($A275="","",IFERROR(INDEX(FILTER('Client contacts'!$C$2:$C$500,('Client contacts'!$A$2:$A$500=$A275)*('Client contacts'!$G$2:$G$500="Y"),""),2),""))</f>
        <v/>
      </c>
      <c r="J275" s="8" t="n"/>
      <c r="K275" s="8" t="n"/>
      <c r="L275" s="8" t="n"/>
      <c r="M275" s="8" t="n"/>
      <c r="N275" s="8" t="n"/>
      <c r="O275" s="8" t="n"/>
      <c r="P275" s="8" t="n"/>
      <c r="Q275" s="8" t="n"/>
      <c r="R275" s="5">
        <f>IF($A275="","",IFERROR(INDEX(Companies!$I$2:$I$500,MATCH($A275,Companies!$A$2:$A$500,0)),""))</f>
        <v/>
      </c>
      <c r="S275" s="8" t="n"/>
      <c r="T275" s="8" t="n"/>
      <c r="U275" s="8" t="n"/>
      <c r="V275" s="8" t="n"/>
      <c r="W275" s="8" t="n"/>
    </row>
    <row r="276">
      <c r="C276" s="5">
        <f>IF($B276="","",TRIM(IF(INDEX('MOA role matrix'!$B$2:$D$13,1,MATCH($B276,'MOA role matrix'!$B$1:$D$1,0))="Fill","Project initiator, ","")IF(INDEX('MOA role matrix'!$B$2:$D$13,1,MATCH($B276,'MOA role matrix'!$B$1:$D$1,0))="If finance","Project initiator (if finance), ","")IF(INDEX('MOA role matrix'!$B$2:$D$13,1,MATCH($B276,'MOA role matrix'!$B$1:$D$1,0))="Auto","Project initiator (auto), ","")IF(INDEX('MOA role matrix'!$B$2:$D$13,2,MATCH($B276,'MOA role matrix'!$B$1:$D$1,0))="Fill","MOA signers (client), ","")IF(INDEX('MOA role matrix'!$B$2:$D$13,2,MATCH($B276,'MOA role matrix'!$B$1:$D$1,0))="If finance","MOA signers (client) (if finance), ","")IF(INDEX('MOA role matrix'!$B$2:$D$13,2,MATCH($B276,'MOA role matrix'!$B$1:$D$1,0))="Auto","MOA signers (client) (auto), ","")IF(INDEX('MOA role matrix'!$B$2:$D$13,3,MATCH($B276,'MOA role matrix'!$B$1:$D$1,0))="Fill","CFO / Head of Finance, ","")IF(INDEX('MOA role matrix'!$B$2:$D$13,3,MATCH($B276,'MOA role matrix'!$B$1:$D$1,0))="If finance","CFO / Head of Finance (if finance), ","")IF(INDEX('MOA role matrix'!$B$2:$D$13,3,MATCH($B276,'MOA role matrix'!$B$1:$D$1,0))="Auto","CFO / Head of Finance (auto), ","")IF(INDEX('MOA role matrix'!$B$2:$D$13,4,MATCH($B276,'MOA role matrix'!$B$1:$D$1,0))="Fill","CEO / COO / GM, ","")IF(INDEX('MOA role matrix'!$B$2:$D$13,4,MATCH($B276,'MOA role matrix'!$B$1:$D$1,0))="If finance","CEO / COO / GM (if finance), ","")IF(INDEX('MOA role matrix'!$B$2:$D$13,4,MATCH($B276,'MOA role matrix'!$B$1:$D$1,0))="Auto","CEO / COO / GM (auto), ","")IF(INDEX('MOA role matrix'!$B$2:$D$13,5,MATCH($B276,'MOA role matrix'!$B$1:$D$1,0))="Fill","Board member 1, ","")IF(INDEX('MOA role matrix'!$B$2:$D$13,5,MATCH($B276,'MOA role matrix'!$B$1:$D$1,0))="If finance","Board member 1 (if finance), ","")IF(INDEX('MOA role matrix'!$B$2:$D$13,5,MATCH($B276,'MOA role matrix'!$B$1:$D$1,0))="Auto","Board member 1 (auto), ","")IF(INDEX('MOA role matrix'!$B$2:$D$13,6,MATCH($B276,'MOA role matrix'!$B$1:$D$1,0))="Fill","Board member 2, ","")IF(INDEX('MOA role matrix'!$B$2:$D$13,6,MATCH($B276,'MOA role matrix'!$B$1:$D$1,0))="If finance","Board member 2 (if finance), ","")IF(INDEX('MOA role matrix'!$B$2:$D$13,6,MATCH($B276,'MOA role matrix'!$B$1:$D$1,0))="Auto","Board member 2 (auto), ","")IF(INDEX('MOA role matrix'!$B$2:$D$13,7,MATCH($B276,'MOA role matrix'!$B$1:$D$1,0))="Fill","LOA holder 1, ","")IF(INDEX('MOA role matrix'!$B$2:$D$13,7,MATCH($B276,'MOA role matrix'!$B$1:$D$1,0))="If finance","LOA holder 1 (if finance), ","")IF(INDEX('MOA role matrix'!$B$2:$D$13,7,MATCH($B276,'MOA role matrix'!$B$1:$D$1,0))="Auto","LOA holder 1 (auto), ","")IF(INDEX('MOA role matrix'!$B$2:$D$13,8,MATCH($B276,'MOA role matrix'!$B$1:$D$1,0))="Fill","LOA holder 2, ","")IF(INDEX('MOA role matrix'!$B$2:$D$13,8,MATCH($B276,'MOA role matrix'!$B$1:$D$1,0))="If finance","LOA holder 2 (if finance), ","")IF(INDEX('MOA role matrix'!$B$2:$D$13,8,MATCH($B276,'MOA role matrix'!$B$1:$D$1,0))="Auto","LOA holder 2 (auto), ","")IF(INDEX('MOA role matrix'!$B$2:$D$13,9,MATCH($B276,'MOA role matrix'!$B$1:$D$1,0))="Fill","Senior Manager CoSec, ","")IF(INDEX('MOA role matrix'!$B$2:$D$13,9,MATCH($B276,'MOA role matrix'!$B$1:$D$1,0))="If finance","Senior Manager CoSec (if finance), ","")IF(INDEX('MOA role matrix'!$B$2:$D$13,9,MATCH($B276,'MOA role matrix'!$B$1:$D$1,0))="Auto","Senior Manager CoSec (auto), ","")IF(INDEX('MOA role matrix'!$B$2:$D$13,10,MATCH($B276,'MOA role matrix'!$B$1:$D$1,0))="Fill","Division MOI managers, ","")IF(INDEX('MOA role matrix'!$B$2:$D$13,10,MATCH($B276,'MOA role matrix'!$B$1:$D$1,0))="If finance","Division MOI managers (if finance), ","")IF(INDEX('MOA role matrix'!$B$2:$D$13,10,MATCH($B276,'MOA role matrix'!$B$1:$D$1,0))="Auto","Division MOI managers (auto), ","")IF(INDEX('MOA role matrix'!$B$2:$D$13,11,MATCH($B276,'MOA role matrix'!$B$1:$D$1,0))="Fill","Ms Teh (bank), ","")IF(INDEX('MOA role matrix'!$B$2:$D$13,11,MATCH($B276,'MOA role matrix'!$B$1:$D$1,0))="If finance","Ms Teh (bank) (if finance), ","")IF(INDEX('MOA role matrix'!$B$2:$D$13,11,MATCH($B276,'MOA role matrix'!$B$1:$D$1,0))="Auto","Ms Teh (bank) (auto), ","")IF(INDEX('MOA role matrix'!$B$2:$D$13,12,MATCH($B276,'MOA role matrix'!$B$1:$D$1,0))="Fill","DLCM, ","")IF(INDEX('MOA role matrix'!$B$2:$D$13,12,MATCH($B276,'MOA role matrix'!$B$1:$D$1,0))="If finance","DLCM (if finance), ","")IF(INDEX('MOA role matrix'!$B$2:$D$13,12,MATCH($B276,'MOA role matrix'!$B$1:$D$1,0))="Auto","DLCM (auto), ","")))</f>
        <v/>
      </c>
      <c r="D276" s="5">
        <f>IF($A276="","",IFERROR(INDEX(FILTER('Client contacts'!$B$2:$B$500,('Client contacts'!$A$2:$A$500=$A276)*('Client contacts'!$H$2:$H$500="Y"),""),1),""))</f>
        <v/>
      </c>
      <c r="E276" s="5">
        <f>IF($A276="","",IFERROR(INDEX(FILTER('Client contacts'!$C$2:$C$500,('Client contacts'!$A$2:$A$500=$A276)*('Client contacts'!$H$2:$H$500="Y"),""),1),""))</f>
        <v/>
      </c>
      <c r="F276" s="5">
        <f>IF($A276="","",IFERROR(INDEX(FILTER('Client contacts'!$B$2:$B$500,('Client contacts'!$A$2:$A$500=$A276)*('Client contacts'!$G$2:$G$500="Y"),""),1),""))</f>
        <v/>
      </c>
      <c r="G276" s="5">
        <f>IF($A276="","",IFERROR(INDEX(FILTER('Client contacts'!$C$2:$C$500,('Client contacts'!$A$2:$A$500=$A276)*('Client contacts'!$G$2:$G$500="Y"),""),1),""))</f>
        <v/>
      </c>
      <c r="H276" s="5">
        <f>IF($A276="","",IFERROR(INDEX(FILTER('Client contacts'!$B$2:$B$500,('Client contacts'!$A$2:$A$500=$A276)*('Client contacts'!$G$2:$G$500="Y"),""),2),""))</f>
        <v/>
      </c>
      <c r="I276" s="5">
        <f>IF($A276="","",IFERROR(INDEX(FILTER('Client contacts'!$C$2:$C$500,('Client contacts'!$A$2:$A$500=$A276)*('Client contacts'!$G$2:$G$500="Y"),""),2),""))</f>
        <v/>
      </c>
      <c r="J276" s="8" t="n"/>
      <c r="K276" s="8" t="n"/>
      <c r="L276" s="8" t="n"/>
      <c r="M276" s="8" t="n"/>
      <c r="N276" s="8" t="n"/>
      <c r="O276" s="8" t="n"/>
      <c r="P276" s="8" t="n"/>
      <c r="Q276" s="8" t="n"/>
      <c r="R276" s="5">
        <f>IF($A276="","",IFERROR(INDEX(Companies!$I$2:$I$500,MATCH($A276,Companies!$A$2:$A$500,0)),""))</f>
        <v/>
      </c>
      <c r="S276" s="8" t="n"/>
      <c r="T276" s="8" t="n"/>
      <c r="U276" s="8" t="n"/>
      <c r="V276" s="8" t="n"/>
      <c r="W276" s="8" t="n"/>
    </row>
    <row r="277">
      <c r="C277" s="5">
        <f>IF($B277="","",TRIM(IF(INDEX('MOA role matrix'!$B$2:$D$13,1,MATCH($B277,'MOA role matrix'!$B$1:$D$1,0))="Fill","Project initiator, ","")IF(INDEX('MOA role matrix'!$B$2:$D$13,1,MATCH($B277,'MOA role matrix'!$B$1:$D$1,0))="If finance","Project initiator (if finance), ","")IF(INDEX('MOA role matrix'!$B$2:$D$13,1,MATCH($B277,'MOA role matrix'!$B$1:$D$1,0))="Auto","Project initiator (auto), ","")IF(INDEX('MOA role matrix'!$B$2:$D$13,2,MATCH($B277,'MOA role matrix'!$B$1:$D$1,0))="Fill","MOA signers (client), ","")IF(INDEX('MOA role matrix'!$B$2:$D$13,2,MATCH($B277,'MOA role matrix'!$B$1:$D$1,0))="If finance","MOA signers (client) (if finance), ","")IF(INDEX('MOA role matrix'!$B$2:$D$13,2,MATCH($B277,'MOA role matrix'!$B$1:$D$1,0))="Auto","MOA signers (client) (auto), ","")IF(INDEX('MOA role matrix'!$B$2:$D$13,3,MATCH($B277,'MOA role matrix'!$B$1:$D$1,0))="Fill","CFO / Head of Finance, ","")IF(INDEX('MOA role matrix'!$B$2:$D$13,3,MATCH($B277,'MOA role matrix'!$B$1:$D$1,0))="If finance","CFO / Head of Finance (if finance), ","")IF(INDEX('MOA role matrix'!$B$2:$D$13,3,MATCH($B277,'MOA role matrix'!$B$1:$D$1,0))="Auto","CFO / Head of Finance (auto), ","")IF(INDEX('MOA role matrix'!$B$2:$D$13,4,MATCH($B277,'MOA role matrix'!$B$1:$D$1,0))="Fill","CEO / COO / GM, ","")IF(INDEX('MOA role matrix'!$B$2:$D$13,4,MATCH($B277,'MOA role matrix'!$B$1:$D$1,0))="If finance","CEO / COO / GM (if finance), ","")IF(INDEX('MOA role matrix'!$B$2:$D$13,4,MATCH($B277,'MOA role matrix'!$B$1:$D$1,0))="Auto","CEO / COO / GM (auto), ","")IF(INDEX('MOA role matrix'!$B$2:$D$13,5,MATCH($B277,'MOA role matrix'!$B$1:$D$1,0))="Fill","Board member 1, ","")IF(INDEX('MOA role matrix'!$B$2:$D$13,5,MATCH($B277,'MOA role matrix'!$B$1:$D$1,0))="If finance","Board member 1 (if finance), ","")IF(INDEX('MOA role matrix'!$B$2:$D$13,5,MATCH($B277,'MOA role matrix'!$B$1:$D$1,0))="Auto","Board member 1 (auto), ","")IF(INDEX('MOA role matrix'!$B$2:$D$13,6,MATCH($B277,'MOA role matrix'!$B$1:$D$1,0))="Fill","Board member 2, ","")IF(INDEX('MOA role matrix'!$B$2:$D$13,6,MATCH($B277,'MOA role matrix'!$B$1:$D$1,0))="If finance","Board member 2 (if finance), ","")IF(INDEX('MOA role matrix'!$B$2:$D$13,6,MATCH($B277,'MOA role matrix'!$B$1:$D$1,0))="Auto","Board member 2 (auto), ","")IF(INDEX('MOA role matrix'!$B$2:$D$13,7,MATCH($B277,'MOA role matrix'!$B$1:$D$1,0))="Fill","LOA holder 1, ","")IF(INDEX('MOA role matrix'!$B$2:$D$13,7,MATCH($B277,'MOA role matrix'!$B$1:$D$1,0))="If finance","LOA holder 1 (if finance), ","")IF(INDEX('MOA role matrix'!$B$2:$D$13,7,MATCH($B277,'MOA role matrix'!$B$1:$D$1,0))="Auto","LOA holder 1 (auto), ","")IF(INDEX('MOA role matrix'!$B$2:$D$13,8,MATCH($B277,'MOA role matrix'!$B$1:$D$1,0))="Fill","LOA holder 2, ","")IF(INDEX('MOA role matrix'!$B$2:$D$13,8,MATCH($B277,'MOA role matrix'!$B$1:$D$1,0))="If finance","LOA holder 2 (if finance), ","")IF(INDEX('MOA role matrix'!$B$2:$D$13,8,MATCH($B277,'MOA role matrix'!$B$1:$D$1,0))="Auto","LOA holder 2 (auto), ","")IF(INDEX('MOA role matrix'!$B$2:$D$13,9,MATCH($B277,'MOA role matrix'!$B$1:$D$1,0))="Fill","Senior Manager CoSec, ","")IF(INDEX('MOA role matrix'!$B$2:$D$13,9,MATCH($B277,'MOA role matrix'!$B$1:$D$1,0))="If finance","Senior Manager CoSec (if finance), ","")IF(INDEX('MOA role matrix'!$B$2:$D$13,9,MATCH($B277,'MOA role matrix'!$B$1:$D$1,0))="Auto","Senior Manager CoSec (auto), ","")IF(INDEX('MOA role matrix'!$B$2:$D$13,10,MATCH($B277,'MOA role matrix'!$B$1:$D$1,0))="Fill","Division MOI managers, ","")IF(INDEX('MOA role matrix'!$B$2:$D$13,10,MATCH($B277,'MOA role matrix'!$B$1:$D$1,0))="If finance","Division MOI managers (if finance), ","")IF(INDEX('MOA role matrix'!$B$2:$D$13,10,MATCH($B277,'MOA role matrix'!$B$1:$D$1,0))="Auto","Division MOI managers (auto), ","")IF(INDEX('MOA role matrix'!$B$2:$D$13,11,MATCH($B277,'MOA role matrix'!$B$1:$D$1,0))="Fill","Ms Teh (bank), ","")IF(INDEX('MOA role matrix'!$B$2:$D$13,11,MATCH($B277,'MOA role matrix'!$B$1:$D$1,0))="If finance","Ms Teh (bank) (if finance), ","")IF(INDEX('MOA role matrix'!$B$2:$D$13,11,MATCH($B277,'MOA role matrix'!$B$1:$D$1,0))="Auto","Ms Teh (bank) (auto), ","")IF(INDEX('MOA role matrix'!$B$2:$D$13,12,MATCH($B277,'MOA role matrix'!$B$1:$D$1,0))="Fill","DLCM, ","")IF(INDEX('MOA role matrix'!$B$2:$D$13,12,MATCH($B277,'MOA role matrix'!$B$1:$D$1,0))="If finance","DLCM (if finance), ","")IF(INDEX('MOA role matrix'!$B$2:$D$13,12,MATCH($B277,'MOA role matrix'!$B$1:$D$1,0))="Auto","DLCM (auto), ","")))</f>
        <v/>
      </c>
      <c r="D277" s="5">
        <f>IF($A277="","",IFERROR(INDEX(FILTER('Client contacts'!$B$2:$B$500,('Client contacts'!$A$2:$A$500=$A277)*('Client contacts'!$H$2:$H$500="Y"),""),1),""))</f>
        <v/>
      </c>
      <c r="E277" s="5">
        <f>IF($A277="","",IFERROR(INDEX(FILTER('Client contacts'!$C$2:$C$500,('Client contacts'!$A$2:$A$500=$A277)*('Client contacts'!$H$2:$H$500="Y"),""),1),""))</f>
        <v/>
      </c>
      <c r="F277" s="5">
        <f>IF($A277="","",IFERROR(INDEX(FILTER('Client contacts'!$B$2:$B$500,('Client contacts'!$A$2:$A$500=$A277)*('Client contacts'!$G$2:$G$500="Y"),""),1),""))</f>
        <v/>
      </c>
      <c r="G277" s="5">
        <f>IF($A277="","",IFERROR(INDEX(FILTER('Client contacts'!$C$2:$C$500,('Client contacts'!$A$2:$A$500=$A277)*('Client contacts'!$G$2:$G$500="Y"),""),1),""))</f>
        <v/>
      </c>
      <c r="H277" s="5">
        <f>IF($A277="","",IFERROR(INDEX(FILTER('Client contacts'!$B$2:$B$500,('Client contacts'!$A$2:$A$500=$A277)*('Client contacts'!$G$2:$G$500="Y"),""),2),""))</f>
        <v/>
      </c>
      <c r="I277" s="5">
        <f>IF($A277="","",IFERROR(INDEX(FILTER('Client contacts'!$C$2:$C$500,('Client contacts'!$A$2:$A$500=$A277)*('Client contacts'!$G$2:$G$500="Y"),""),2),""))</f>
        <v/>
      </c>
      <c r="J277" s="8" t="n"/>
      <c r="K277" s="8" t="n"/>
      <c r="L277" s="8" t="n"/>
      <c r="M277" s="8" t="n"/>
      <c r="N277" s="8" t="n"/>
      <c r="O277" s="8" t="n"/>
      <c r="P277" s="8" t="n"/>
      <c r="Q277" s="8" t="n"/>
      <c r="R277" s="5">
        <f>IF($A277="","",IFERROR(INDEX(Companies!$I$2:$I$500,MATCH($A277,Companies!$A$2:$A$500,0)),""))</f>
        <v/>
      </c>
      <c r="S277" s="8" t="n"/>
      <c r="T277" s="8" t="n"/>
      <c r="U277" s="8" t="n"/>
      <c r="V277" s="8" t="n"/>
      <c r="W277" s="8" t="n"/>
    </row>
    <row r="278">
      <c r="C278" s="5">
        <f>IF($B278="","",TRIM(IF(INDEX('MOA role matrix'!$B$2:$D$13,1,MATCH($B278,'MOA role matrix'!$B$1:$D$1,0))="Fill","Project initiator, ","")IF(INDEX('MOA role matrix'!$B$2:$D$13,1,MATCH($B278,'MOA role matrix'!$B$1:$D$1,0))="If finance","Project initiator (if finance), ","")IF(INDEX('MOA role matrix'!$B$2:$D$13,1,MATCH($B278,'MOA role matrix'!$B$1:$D$1,0))="Auto","Project initiator (auto), ","")IF(INDEX('MOA role matrix'!$B$2:$D$13,2,MATCH($B278,'MOA role matrix'!$B$1:$D$1,0))="Fill","MOA signers (client), ","")IF(INDEX('MOA role matrix'!$B$2:$D$13,2,MATCH($B278,'MOA role matrix'!$B$1:$D$1,0))="If finance","MOA signers (client) (if finance), ","")IF(INDEX('MOA role matrix'!$B$2:$D$13,2,MATCH($B278,'MOA role matrix'!$B$1:$D$1,0))="Auto","MOA signers (client) (auto), ","")IF(INDEX('MOA role matrix'!$B$2:$D$13,3,MATCH($B278,'MOA role matrix'!$B$1:$D$1,0))="Fill","CFO / Head of Finance, ","")IF(INDEX('MOA role matrix'!$B$2:$D$13,3,MATCH($B278,'MOA role matrix'!$B$1:$D$1,0))="If finance","CFO / Head of Finance (if finance), ","")IF(INDEX('MOA role matrix'!$B$2:$D$13,3,MATCH($B278,'MOA role matrix'!$B$1:$D$1,0))="Auto","CFO / Head of Finance (auto), ","")IF(INDEX('MOA role matrix'!$B$2:$D$13,4,MATCH($B278,'MOA role matrix'!$B$1:$D$1,0))="Fill","CEO / COO / GM, ","")IF(INDEX('MOA role matrix'!$B$2:$D$13,4,MATCH($B278,'MOA role matrix'!$B$1:$D$1,0))="If finance","CEO / COO / GM (if finance), ","")IF(INDEX('MOA role matrix'!$B$2:$D$13,4,MATCH($B278,'MOA role matrix'!$B$1:$D$1,0))="Auto","CEO / COO / GM (auto), ","")IF(INDEX('MOA role matrix'!$B$2:$D$13,5,MATCH($B278,'MOA role matrix'!$B$1:$D$1,0))="Fill","Board member 1, ","")IF(INDEX('MOA role matrix'!$B$2:$D$13,5,MATCH($B278,'MOA role matrix'!$B$1:$D$1,0))="If finance","Board member 1 (if finance), ","")IF(INDEX('MOA role matrix'!$B$2:$D$13,5,MATCH($B278,'MOA role matrix'!$B$1:$D$1,0))="Auto","Board member 1 (auto), ","")IF(INDEX('MOA role matrix'!$B$2:$D$13,6,MATCH($B278,'MOA role matrix'!$B$1:$D$1,0))="Fill","Board member 2, ","")IF(INDEX('MOA role matrix'!$B$2:$D$13,6,MATCH($B278,'MOA role matrix'!$B$1:$D$1,0))="If finance","Board member 2 (if finance), ","")IF(INDEX('MOA role matrix'!$B$2:$D$13,6,MATCH($B278,'MOA role matrix'!$B$1:$D$1,0))="Auto","Board member 2 (auto), ","")IF(INDEX('MOA role matrix'!$B$2:$D$13,7,MATCH($B278,'MOA role matrix'!$B$1:$D$1,0))="Fill","LOA holder 1, ","")IF(INDEX('MOA role matrix'!$B$2:$D$13,7,MATCH($B278,'MOA role matrix'!$B$1:$D$1,0))="If finance","LOA holder 1 (if finance), ","")IF(INDEX('MOA role matrix'!$B$2:$D$13,7,MATCH($B278,'MOA role matrix'!$B$1:$D$1,0))="Auto","LOA holder 1 (auto), ","")IF(INDEX('MOA role matrix'!$B$2:$D$13,8,MATCH($B278,'MOA role matrix'!$B$1:$D$1,0))="Fill","LOA holder 2, ","")IF(INDEX('MOA role matrix'!$B$2:$D$13,8,MATCH($B278,'MOA role matrix'!$B$1:$D$1,0))="If finance","LOA holder 2 (if finance), ","")IF(INDEX('MOA role matrix'!$B$2:$D$13,8,MATCH($B278,'MOA role matrix'!$B$1:$D$1,0))="Auto","LOA holder 2 (auto), ","")IF(INDEX('MOA role matrix'!$B$2:$D$13,9,MATCH($B278,'MOA role matrix'!$B$1:$D$1,0))="Fill","Senior Manager CoSec, ","")IF(INDEX('MOA role matrix'!$B$2:$D$13,9,MATCH($B278,'MOA role matrix'!$B$1:$D$1,0))="If finance","Senior Manager CoSec (if finance), ","")IF(INDEX('MOA role matrix'!$B$2:$D$13,9,MATCH($B278,'MOA role matrix'!$B$1:$D$1,0))="Auto","Senior Manager CoSec (auto), ","")IF(INDEX('MOA role matrix'!$B$2:$D$13,10,MATCH($B278,'MOA role matrix'!$B$1:$D$1,0))="Fill","Division MOI managers, ","")IF(INDEX('MOA role matrix'!$B$2:$D$13,10,MATCH($B278,'MOA role matrix'!$B$1:$D$1,0))="If finance","Division MOI managers (if finance), ","")IF(INDEX('MOA role matrix'!$B$2:$D$13,10,MATCH($B278,'MOA role matrix'!$B$1:$D$1,0))="Auto","Division MOI managers (auto), ","")IF(INDEX('MOA role matrix'!$B$2:$D$13,11,MATCH($B278,'MOA role matrix'!$B$1:$D$1,0))="Fill","Ms Teh (bank), ","")IF(INDEX('MOA role matrix'!$B$2:$D$13,11,MATCH($B278,'MOA role matrix'!$B$1:$D$1,0))="If finance","Ms Teh (bank) (if finance), ","")IF(INDEX('MOA role matrix'!$B$2:$D$13,11,MATCH($B278,'MOA role matrix'!$B$1:$D$1,0))="Auto","Ms Teh (bank) (auto), ","")IF(INDEX('MOA role matrix'!$B$2:$D$13,12,MATCH($B278,'MOA role matrix'!$B$1:$D$1,0))="Fill","DLCM, ","")IF(INDEX('MOA role matrix'!$B$2:$D$13,12,MATCH($B278,'MOA role matrix'!$B$1:$D$1,0))="If finance","DLCM (if finance), ","")IF(INDEX('MOA role matrix'!$B$2:$D$13,12,MATCH($B278,'MOA role matrix'!$B$1:$D$1,0))="Auto","DLCM (auto), ","")))</f>
        <v/>
      </c>
      <c r="D278" s="5">
        <f>IF($A278="","",IFERROR(INDEX(FILTER('Client contacts'!$B$2:$B$500,('Client contacts'!$A$2:$A$500=$A278)*('Client contacts'!$H$2:$H$500="Y"),""),1),""))</f>
        <v/>
      </c>
      <c r="E278" s="5">
        <f>IF($A278="","",IFERROR(INDEX(FILTER('Client contacts'!$C$2:$C$500,('Client contacts'!$A$2:$A$500=$A278)*('Client contacts'!$H$2:$H$500="Y"),""),1),""))</f>
        <v/>
      </c>
      <c r="F278" s="5">
        <f>IF($A278="","",IFERROR(INDEX(FILTER('Client contacts'!$B$2:$B$500,('Client contacts'!$A$2:$A$500=$A278)*('Client contacts'!$G$2:$G$500="Y"),""),1),""))</f>
        <v/>
      </c>
      <c r="G278" s="5">
        <f>IF($A278="","",IFERROR(INDEX(FILTER('Client contacts'!$C$2:$C$500,('Client contacts'!$A$2:$A$500=$A278)*('Client contacts'!$G$2:$G$500="Y"),""),1),""))</f>
        <v/>
      </c>
      <c r="H278" s="5">
        <f>IF($A278="","",IFERROR(INDEX(FILTER('Client contacts'!$B$2:$B$500,('Client contacts'!$A$2:$A$500=$A278)*('Client contacts'!$G$2:$G$500="Y"),""),2),""))</f>
        <v/>
      </c>
      <c r="I278" s="5">
        <f>IF($A278="","",IFERROR(INDEX(FILTER('Client contacts'!$C$2:$C$500,('Client contacts'!$A$2:$A$500=$A278)*('Client contacts'!$G$2:$G$500="Y"),""),2),""))</f>
        <v/>
      </c>
      <c r="J278" s="8" t="n"/>
      <c r="K278" s="8" t="n"/>
      <c r="L278" s="8" t="n"/>
      <c r="M278" s="8" t="n"/>
      <c r="N278" s="8" t="n"/>
      <c r="O278" s="8" t="n"/>
      <c r="P278" s="8" t="n"/>
      <c r="Q278" s="8" t="n"/>
      <c r="R278" s="5">
        <f>IF($A278="","",IFERROR(INDEX(Companies!$I$2:$I$500,MATCH($A278,Companies!$A$2:$A$500,0)),""))</f>
        <v/>
      </c>
      <c r="S278" s="8" t="n"/>
      <c r="T278" s="8" t="n"/>
      <c r="U278" s="8" t="n"/>
      <c r="V278" s="8" t="n"/>
      <c r="W278" s="8" t="n"/>
    </row>
    <row r="279">
      <c r="C279" s="5">
        <f>IF($B279="","",TRIM(IF(INDEX('MOA role matrix'!$B$2:$D$13,1,MATCH($B279,'MOA role matrix'!$B$1:$D$1,0))="Fill","Project initiator, ","")IF(INDEX('MOA role matrix'!$B$2:$D$13,1,MATCH($B279,'MOA role matrix'!$B$1:$D$1,0))="If finance","Project initiator (if finance), ","")IF(INDEX('MOA role matrix'!$B$2:$D$13,1,MATCH($B279,'MOA role matrix'!$B$1:$D$1,0))="Auto","Project initiator (auto), ","")IF(INDEX('MOA role matrix'!$B$2:$D$13,2,MATCH($B279,'MOA role matrix'!$B$1:$D$1,0))="Fill","MOA signers (client), ","")IF(INDEX('MOA role matrix'!$B$2:$D$13,2,MATCH($B279,'MOA role matrix'!$B$1:$D$1,0))="If finance","MOA signers (client) (if finance), ","")IF(INDEX('MOA role matrix'!$B$2:$D$13,2,MATCH($B279,'MOA role matrix'!$B$1:$D$1,0))="Auto","MOA signers (client) (auto), ","")IF(INDEX('MOA role matrix'!$B$2:$D$13,3,MATCH($B279,'MOA role matrix'!$B$1:$D$1,0))="Fill","CFO / Head of Finance, ","")IF(INDEX('MOA role matrix'!$B$2:$D$13,3,MATCH($B279,'MOA role matrix'!$B$1:$D$1,0))="If finance","CFO / Head of Finance (if finance), ","")IF(INDEX('MOA role matrix'!$B$2:$D$13,3,MATCH($B279,'MOA role matrix'!$B$1:$D$1,0))="Auto","CFO / Head of Finance (auto), ","")IF(INDEX('MOA role matrix'!$B$2:$D$13,4,MATCH($B279,'MOA role matrix'!$B$1:$D$1,0))="Fill","CEO / COO / GM, ","")IF(INDEX('MOA role matrix'!$B$2:$D$13,4,MATCH($B279,'MOA role matrix'!$B$1:$D$1,0))="If finance","CEO / COO / GM (if finance), ","")IF(INDEX('MOA role matrix'!$B$2:$D$13,4,MATCH($B279,'MOA role matrix'!$B$1:$D$1,0))="Auto","CEO / COO / GM (auto), ","")IF(INDEX('MOA role matrix'!$B$2:$D$13,5,MATCH($B279,'MOA role matrix'!$B$1:$D$1,0))="Fill","Board member 1, ","")IF(INDEX('MOA role matrix'!$B$2:$D$13,5,MATCH($B279,'MOA role matrix'!$B$1:$D$1,0))="If finance","Board member 1 (if finance), ","")IF(INDEX('MOA role matrix'!$B$2:$D$13,5,MATCH($B279,'MOA role matrix'!$B$1:$D$1,0))="Auto","Board member 1 (auto), ","")IF(INDEX('MOA role matrix'!$B$2:$D$13,6,MATCH($B279,'MOA role matrix'!$B$1:$D$1,0))="Fill","Board member 2, ","")IF(INDEX('MOA role matrix'!$B$2:$D$13,6,MATCH($B279,'MOA role matrix'!$B$1:$D$1,0))="If finance","Board member 2 (if finance), ","")IF(INDEX('MOA role matrix'!$B$2:$D$13,6,MATCH($B279,'MOA role matrix'!$B$1:$D$1,0))="Auto","Board member 2 (auto), ","")IF(INDEX('MOA role matrix'!$B$2:$D$13,7,MATCH($B279,'MOA role matrix'!$B$1:$D$1,0))="Fill","LOA holder 1, ","")IF(INDEX('MOA role matrix'!$B$2:$D$13,7,MATCH($B279,'MOA role matrix'!$B$1:$D$1,0))="If finance","LOA holder 1 (if finance), ","")IF(INDEX('MOA role matrix'!$B$2:$D$13,7,MATCH($B279,'MOA role matrix'!$B$1:$D$1,0))="Auto","LOA holder 1 (auto), ","")IF(INDEX('MOA role matrix'!$B$2:$D$13,8,MATCH($B279,'MOA role matrix'!$B$1:$D$1,0))="Fill","LOA holder 2, ","")IF(INDEX('MOA role matrix'!$B$2:$D$13,8,MATCH($B279,'MOA role matrix'!$B$1:$D$1,0))="If finance","LOA holder 2 (if finance), ","")IF(INDEX('MOA role matrix'!$B$2:$D$13,8,MATCH($B279,'MOA role matrix'!$B$1:$D$1,0))="Auto","LOA holder 2 (auto), ","")IF(INDEX('MOA role matrix'!$B$2:$D$13,9,MATCH($B279,'MOA role matrix'!$B$1:$D$1,0))="Fill","Senior Manager CoSec, ","")IF(INDEX('MOA role matrix'!$B$2:$D$13,9,MATCH($B279,'MOA role matrix'!$B$1:$D$1,0))="If finance","Senior Manager CoSec (if finance), ","")IF(INDEX('MOA role matrix'!$B$2:$D$13,9,MATCH($B279,'MOA role matrix'!$B$1:$D$1,0))="Auto","Senior Manager CoSec (auto), ","")IF(INDEX('MOA role matrix'!$B$2:$D$13,10,MATCH($B279,'MOA role matrix'!$B$1:$D$1,0))="Fill","Division MOI managers, ","")IF(INDEX('MOA role matrix'!$B$2:$D$13,10,MATCH($B279,'MOA role matrix'!$B$1:$D$1,0))="If finance","Division MOI managers (if finance), ","")IF(INDEX('MOA role matrix'!$B$2:$D$13,10,MATCH($B279,'MOA role matrix'!$B$1:$D$1,0))="Auto","Division MOI managers (auto), ","")IF(INDEX('MOA role matrix'!$B$2:$D$13,11,MATCH($B279,'MOA role matrix'!$B$1:$D$1,0))="Fill","Ms Teh (bank), ","")IF(INDEX('MOA role matrix'!$B$2:$D$13,11,MATCH($B279,'MOA role matrix'!$B$1:$D$1,0))="If finance","Ms Teh (bank) (if finance), ","")IF(INDEX('MOA role matrix'!$B$2:$D$13,11,MATCH($B279,'MOA role matrix'!$B$1:$D$1,0))="Auto","Ms Teh (bank) (auto), ","")IF(INDEX('MOA role matrix'!$B$2:$D$13,12,MATCH($B279,'MOA role matrix'!$B$1:$D$1,0))="Fill","DLCM, ","")IF(INDEX('MOA role matrix'!$B$2:$D$13,12,MATCH($B279,'MOA role matrix'!$B$1:$D$1,0))="If finance","DLCM (if finance), ","")IF(INDEX('MOA role matrix'!$B$2:$D$13,12,MATCH($B279,'MOA role matrix'!$B$1:$D$1,0))="Auto","DLCM (auto), ","")))</f>
        <v/>
      </c>
      <c r="D279" s="5">
        <f>IF($A279="","",IFERROR(INDEX(FILTER('Client contacts'!$B$2:$B$500,('Client contacts'!$A$2:$A$500=$A279)*('Client contacts'!$H$2:$H$500="Y"),""),1),""))</f>
        <v/>
      </c>
      <c r="E279" s="5">
        <f>IF($A279="","",IFERROR(INDEX(FILTER('Client contacts'!$C$2:$C$500,('Client contacts'!$A$2:$A$500=$A279)*('Client contacts'!$H$2:$H$500="Y"),""),1),""))</f>
        <v/>
      </c>
      <c r="F279" s="5">
        <f>IF($A279="","",IFERROR(INDEX(FILTER('Client contacts'!$B$2:$B$500,('Client contacts'!$A$2:$A$500=$A279)*('Client contacts'!$G$2:$G$500="Y"),""),1),""))</f>
        <v/>
      </c>
      <c r="G279" s="5">
        <f>IF($A279="","",IFERROR(INDEX(FILTER('Client contacts'!$C$2:$C$500,('Client contacts'!$A$2:$A$500=$A279)*('Client contacts'!$G$2:$G$500="Y"),""),1),""))</f>
        <v/>
      </c>
      <c r="H279" s="5">
        <f>IF($A279="","",IFERROR(INDEX(FILTER('Client contacts'!$B$2:$B$500,('Client contacts'!$A$2:$A$500=$A279)*('Client contacts'!$G$2:$G$500="Y"),""),2),""))</f>
        <v/>
      </c>
      <c r="I279" s="5">
        <f>IF($A279="","",IFERROR(INDEX(FILTER('Client contacts'!$C$2:$C$500,('Client contacts'!$A$2:$A$500=$A279)*('Client contacts'!$G$2:$G$500="Y"),""),2),""))</f>
        <v/>
      </c>
      <c r="J279" s="8" t="n"/>
      <c r="K279" s="8" t="n"/>
      <c r="L279" s="8" t="n"/>
      <c r="M279" s="8" t="n"/>
      <c r="N279" s="8" t="n"/>
      <c r="O279" s="8" t="n"/>
      <c r="P279" s="8" t="n"/>
      <c r="Q279" s="8" t="n"/>
      <c r="R279" s="5">
        <f>IF($A279="","",IFERROR(INDEX(Companies!$I$2:$I$500,MATCH($A279,Companies!$A$2:$A$500,0)),""))</f>
        <v/>
      </c>
      <c r="S279" s="8" t="n"/>
      <c r="T279" s="8" t="n"/>
      <c r="U279" s="8" t="n"/>
      <c r="V279" s="8" t="n"/>
      <c r="W279" s="8" t="n"/>
    </row>
    <row r="280">
      <c r="C280" s="5">
        <f>IF($B280="","",TRIM(IF(INDEX('MOA role matrix'!$B$2:$D$13,1,MATCH($B280,'MOA role matrix'!$B$1:$D$1,0))="Fill","Project initiator, ","")IF(INDEX('MOA role matrix'!$B$2:$D$13,1,MATCH($B280,'MOA role matrix'!$B$1:$D$1,0))="If finance","Project initiator (if finance), ","")IF(INDEX('MOA role matrix'!$B$2:$D$13,1,MATCH($B280,'MOA role matrix'!$B$1:$D$1,0))="Auto","Project initiator (auto), ","")IF(INDEX('MOA role matrix'!$B$2:$D$13,2,MATCH($B280,'MOA role matrix'!$B$1:$D$1,0))="Fill","MOA signers (client), ","")IF(INDEX('MOA role matrix'!$B$2:$D$13,2,MATCH($B280,'MOA role matrix'!$B$1:$D$1,0))="If finance","MOA signers (client) (if finance), ","")IF(INDEX('MOA role matrix'!$B$2:$D$13,2,MATCH($B280,'MOA role matrix'!$B$1:$D$1,0))="Auto","MOA signers (client) (auto), ","")IF(INDEX('MOA role matrix'!$B$2:$D$13,3,MATCH($B280,'MOA role matrix'!$B$1:$D$1,0))="Fill","CFO / Head of Finance, ","")IF(INDEX('MOA role matrix'!$B$2:$D$13,3,MATCH($B280,'MOA role matrix'!$B$1:$D$1,0))="If finance","CFO / Head of Finance (if finance), ","")IF(INDEX('MOA role matrix'!$B$2:$D$13,3,MATCH($B280,'MOA role matrix'!$B$1:$D$1,0))="Auto","CFO / Head of Finance (auto), ","")IF(INDEX('MOA role matrix'!$B$2:$D$13,4,MATCH($B280,'MOA role matrix'!$B$1:$D$1,0))="Fill","CEO / COO / GM, ","")IF(INDEX('MOA role matrix'!$B$2:$D$13,4,MATCH($B280,'MOA role matrix'!$B$1:$D$1,0))="If finance","CEO / COO / GM (if finance), ","")IF(INDEX('MOA role matrix'!$B$2:$D$13,4,MATCH($B280,'MOA role matrix'!$B$1:$D$1,0))="Auto","CEO / COO / GM (auto), ","")IF(INDEX('MOA role matrix'!$B$2:$D$13,5,MATCH($B280,'MOA role matrix'!$B$1:$D$1,0))="Fill","Board member 1, ","")IF(INDEX('MOA role matrix'!$B$2:$D$13,5,MATCH($B280,'MOA role matrix'!$B$1:$D$1,0))="If finance","Board member 1 (if finance), ","")IF(INDEX('MOA role matrix'!$B$2:$D$13,5,MATCH($B280,'MOA role matrix'!$B$1:$D$1,0))="Auto","Board member 1 (auto), ","")IF(INDEX('MOA role matrix'!$B$2:$D$13,6,MATCH($B280,'MOA role matrix'!$B$1:$D$1,0))="Fill","Board member 2, ","")IF(INDEX('MOA role matrix'!$B$2:$D$13,6,MATCH($B280,'MOA role matrix'!$B$1:$D$1,0))="If finance","Board member 2 (if finance), ","")IF(INDEX('MOA role matrix'!$B$2:$D$13,6,MATCH($B280,'MOA role matrix'!$B$1:$D$1,0))="Auto","Board member 2 (auto), ","")IF(INDEX('MOA role matrix'!$B$2:$D$13,7,MATCH($B280,'MOA role matrix'!$B$1:$D$1,0))="Fill","LOA holder 1, ","")IF(INDEX('MOA role matrix'!$B$2:$D$13,7,MATCH($B280,'MOA role matrix'!$B$1:$D$1,0))="If finance","LOA holder 1 (if finance), ","")IF(INDEX('MOA role matrix'!$B$2:$D$13,7,MATCH($B280,'MOA role matrix'!$B$1:$D$1,0))="Auto","LOA holder 1 (auto), ","")IF(INDEX('MOA role matrix'!$B$2:$D$13,8,MATCH($B280,'MOA role matrix'!$B$1:$D$1,0))="Fill","LOA holder 2, ","")IF(INDEX('MOA role matrix'!$B$2:$D$13,8,MATCH($B280,'MOA role matrix'!$B$1:$D$1,0))="If finance","LOA holder 2 (if finance), ","")IF(INDEX('MOA role matrix'!$B$2:$D$13,8,MATCH($B280,'MOA role matrix'!$B$1:$D$1,0))="Auto","LOA holder 2 (auto), ","")IF(INDEX('MOA role matrix'!$B$2:$D$13,9,MATCH($B280,'MOA role matrix'!$B$1:$D$1,0))="Fill","Senior Manager CoSec, ","")IF(INDEX('MOA role matrix'!$B$2:$D$13,9,MATCH($B280,'MOA role matrix'!$B$1:$D$1,0))="If finance","Senior Manager CoSec (if finance), ","")IF(INDEX('MOA role matrix'!$B$2:$D$13,9,MATCH($B280,'MOA role matrix'!$B$1:$D$1,0))="Auto","Senior Manager CoSec (auto), ","")IF(INDEX('MOA role matrix'!$B$2:$D$13,10,MATCH($B280,'MOA role matrix'!$B$1:$D$1,0))="Fill","Division MOI managers, ","")IF(INDEX('MOA role matrix'!$B$2:$D$13,10,MATCH($B280,'MOA role matrix'!$B$1:$D$1,0))="If finance","Division MOI managers (if finance), ","")IF(INDEX('MOA role matrix'!$B$2:$D$13,10,MATCH($B280,'MOA role matrix'!$B$1:$D$1,0))="Auto","Division MOI managers (auto), ","")IF(INDEX('MOA role matrix'!$B$2:$D$13,11,MATCH($B280,'MOA role matrix'!$B$1:$D$1,0))="Fill","Ms Teh (bank), ","")IF(INDEX('MOA role matrix'!$B$2:$D$13,11,MATCH($B280,'MOA role matrix'!$B$1:$D$1,0))="If finance","Ms Teh (bank) (if finance), ","")IF(INDEX('MOA role matrix'!$B$2:$D$13,11,MATCH($B280,'MOA role matrix'!$B$1:$D$1,0))="Auto","Ms Teh (bank) (auto), ","")IF(INDEX('MOA role matrix'!$B$2:$D$13,12,MATCH($B280,'MOA role matrix'!$B$1:$D$1,0))="Fill","DLCM, ","")IF(INDEX('MOA role matrix'!$B$2:$D$13,12,MATCH($B280,'MOA role matrix'!$B$1:$D$1,0))="If finance","DLCM (if finance), ","")IF(INDEX('MOA role matrix'!$B$2:$D$13,12,MATCH($B280,'MOA role matrix'!$B$1:$D$1,0))="Auto","DLCM (auto), ","")))</f>
        <v/>
      </c>
      <c r="D280" s="5">
        <f>IF($A280="","",IFERROR(INDEX(FILTER('Client contacts'!$B$2:$B$500,('Client contacts'!$A$2:$A$500=$A280)*('Client contacts'!$H$2:$H$500="Y"),""),1),""))</f>
        <v/>
      </c>
      <c r="E280" s="5">
        <f>IF($A280="","",IFERROR(INDEX(FILTER('Client contacts'!$C$2:$C$500,('Client contacts'!$A$2:$A$500=$A280)*('Client contacts'!$H$2:$H$500="Y"),""),1),""))</f>
        <v/>
      </c>
      <c r="F280" s="5">
        <f>IF($A280="","",IFERROR(INDEX(FILTER('Client contacts'!$B$2:$B$500,('Client contacts'!$A$2:$A$500=$A280)*('Client contacts'!$G$2:$G$500="Y"),""),1),""))</f>
        <v/>
      </c>
      <c r="G280" s="5">
        <f>IF($A280="","",IFERROR(INDEX(FILTER('Client contacts'!$C$2:$C$500,('Client contacts'!$A$2:$A$500=$A280)*('Client contacts'!$G$2:$G$500="Y"),""),1),""))</f>
        <v/>
      </c>
      <c r="H280" s="5">
        <f>IF($A280="","",IFERROR(INDEX(FILTER('Client contacts'!$B$2:$B$500,('Client contacts'!$A$2:$A$500=$A280)*('Client contacts'!$G$2:$G$500="Y"),""),2),""))</f>
        <v/>
      </c>
      <c r="I280" s="5">
        <f>IF($A280="","",IFERROR(INDEX(FILTER('Client contacts'!$C$2:$C$500,('Client contacts'!$A$2:$A$500=$A280)*('Client contacts'!$G$2:$G$500="Y"),""),2),""))</f>
        <v/>
      </c>
      <c r="J280" s="8" t="n"/>
      <c r="K280" s="8" t="n"/>
      <c r="L280" s="8" t="n"/>
      <c r="M280" s="8" t="n"/>
      <c r="N280" s="8" t="n"/>
      <c r="O280" s="8" t="n"/>
      <c r="P280" s="8" t="n"/>
      <c r="Q280" s="8" t="n"/>
      <c r="R280" s="5">
        <f>IF($A280="","",IFERROR(INDEX(Companies!$I$2:$I$500,MATCH($A280,Companies!$A$2:$A$500,0)),""))</f>
        <v/>
      </c>
      <c r="S280" s="8" t="n"/>
      <c r="T280" s="8" t="n"/>
      <c r="U280" s="8" t="n"/>
      <c r="V280" s="8" t="n"/>
      <c r="W280" s="8" t="n"/>
    </row>
    <row r="281">
      <c r="C281" s="5">
        <f>IF($B281="","",TRIM(IF(INDEX('MOA role matrix'!$B$2:$D$13,1,MATCH($B281,'MOA role matrix'!$B$1:$D$1,0))="Fill","Project initiator, ","")IF(INDEX('MOA role matrix'!$B$2:$D$13,1,MATCH($B281,'MOA role matrix'!$B$1:$D$1,0))="If finance","Project initiator (if finance), ","")IF(INDEX('MOA role matrix'!$B$2:$D$13,1,MATCH($B281,'MOA role matrix'!$B$1:$D$1,0))="Auto","Project initiator (auto), ","")IF(INDEX('MOA role matrix'!$B$2:$D$13,2,MATCH($B281,'MOA role matrix'!$B$1:$D$1,0))="Fill","MOA signers (client), ","")IF(INDEX('MOA role matrix'!$B$2:$D$13,2,MATCH($B281,'MOA role matrix'!$B$1:$D$1,0))="If finance","MOA signers (client) (if finance), ","")IF(INDEX('MOA role matrix'!$B$2:$D$13,2,MATCH($B281,'MOA role matrix'!$B$1:$D$1,0))="Auto","MOA signers (client) (auto), ","")IF(INDEX('MOA role matrix'!$B$2:$D$13,3,MATCH($B281,'MOA role matrix'!$B$1:$D$1,0))="Fill","CFO / Head of Finance, ","")IF(INDEX('MOA role matrix'!$B$2:$D$13,3,MATCH($B281,'MOA role matrix'!$B$1:$D$1,0))="If finance","CFO / Head of Finance (if finance), ","")IF(INDEX('MOA role matrix'!$B$2:$D$13,3,MATCH($B281,'MOA role matrix'!$B$1:$D$1,0))="Auto","CFO / Head of Finance (auto), ","")IF(INDEX('MOA role matrix'!$B$2:$D$13,4,MATCH($B281,'MOA role matrix'!$B$1:$D$1,0))="Fill","CEO / COO / GM, ","")IF(INDEX('MOA role matrix'!$B$2:$D$13,4,MATCH($B281,'MOA role matrix'!$B$1:$D$1,0))="If finance","CEO / COO / GM (if finance), ","")IF(INDEX('MOA role matrix'!$B$2:$D$13,4,MATCH($B281,'MOA role matrix'!$B$1:$D$1,0))="Auto","CEO / COO / GM (auto), ","")IF(INDEX('MOA role matrix'!$B$2:$D$13,5,MATCH($B281,'MOA role matrix'!$B$1:$D$1,0))="Fill","Board member 1, ","")IF(INDEX('MOA role matrix'!$B$2:$D$13,5,MATCH($B281,'MOA role matrix'!$B$1:$D$1,0))="If finance","Board member 1 (if finance), ","")IF(INDEX('MOA role matrix'!$B$2:$D$13,5,MATCH($B281,'MOA role matrix'!$B$1:$D$1,0))="Auto","Board member 1 (auto), ","")IF(INDEX('MOA role matrix'!$B$2:$D$13,6,MATCH($B281,'MOA role matrix'!$B$1:$D$1,0))="Fill","Board member 2, ","")IF(INDEX('MOA role matrix'!$B$2:$D$13,6,MATCH($B281,'MOA role matrix'!$B$1:$D$1,0))="If finance","Board member 2 (if finance), ","")IF(INDEX('MOA role matrix'!$B$2:$D$13,6,MATCH($B281,'MOA role matrix'!$B$1:$D$1,0))="Auto","Board member 2 (auto), ","")IF(INDEX('MOA role matrix'!$B$2:$D$13,7,MATCH($B281,'MOA role matrix'!$B$1:$D$1,0))="Fill","LOA holder 1, ","")IF(INDEX('MOA role matrix'!$B$2:$D$13,7,MATCH($B281,'MOA role matrix'!$B$1:$D$1,0))="If finance","LOA holder 1 (if finance), ","")IF(INDEX('MOA role matrix'!$B$2:$D$13,7,MATCH($B281,'MOA role matrix'!$B$1:$D$1,0))="Auto","LOA holder 1 (auto), ","")IF(INDEX('MOA role matrix'!$B$2:$D$13,8,MATCH($B281,'MOA role matrix'!$B$1:$D$1,0))="Fill","LOA holder 2, ","")IF(INDEX('MOA role matrix'!$B$2:$D$13,8,MATCH($B281,'MOA role matrix'!$B$1:$D$1,0))="If finance","LOA holder 2 (if finance), ","")IF(INDEX('MOA role matrix'!$B$2:$D$13,8,MATCH($B281,'MOA role matrix'!$B$1:$D$1,0))="Auto","LOA holder 2 (auto), ","")IF(INDEX('MOA role matrix'!$B$2:$D$13,9,MATCH($B281,'MOA role matrix'!$B$1:$D$1,0))="Fill","Senior Manager CoSec, ","")IF(INDEX('MOA role matrix'!$B$2:$D$13,9,MATCH($B281,'MOA role matrix'!$B$1:$D$1,0))="If finance","Senior Manager CoSec (if finance), ","")IF(INDEX('MOA role matrix'!$B$2:$D$13,9,MATCH($B281,'MOA role matrix'!$B$1:$D$1,0))="Auto","Senior Manager CoSec (auto), ","")IF(INDEX('MOA role matrix'!$B$2:$D$13,10,MATCH($B281,'MOA role matrix'!$B$1:$D$1,0))="Fill","Division MOI managers, ","")IF(INDEX('MOA role matrix'!$B$2:$D$13,10,MATCH($B281,'MOA role matrix'!$B$1:$D$1,0))="If finance","Division MOI managers (if finance), ","")IF(INDEX('MOA role matrix'!$B$2:$D$13,10,MATCH($B281,'MOA role matrix'!$B$1:$D$1,0))="Auto","Division MOI managers (auto), ","")IF(INDEX('MOA role matrix'!$B$2:$D$13,11,MATCH($B281,'MOA role matrix'!$B$1:$D$1,0))="Fill","Ms Teh (bank), ","")IF(INDEX('MOA role matrix'!$B$2:$D$13,11,MATCH($B281,'MOA role matrix'!$B$1:$D$1,0))="If finance","Ms Teh (bank) (if finance), ","")IF(INDEX('MOA role matrix'!$B$2:$D$13,11,MATCH($B281,'MOA role matrix'!$B$1:$D$1,0))="Auto","Ms Teh (bank) (auto), ","")IF(INDEX('MOA role matrix'!$B$2:$D$13,12,MATCH($B281,'MOA role matrix'!$B$1:$D$1,0))="Fill","DLCM, ","")IF(INDEX('MOA role matrix'!$B$2:$D$13,12,MATCH($B281,'MOA role matrix'!$B$1:$D$1,0))="If finance","DLCM (if finance), ","")IF(INDEX('MOA role matrix'!$B$2:$D$13,12,MATCH($B281,'MOA role matrix'!$B$1:$D$1,0))="Auto","DLCM (auto), ","")))</f>
        <v/>
      </c>
      <c r="D281" s="5">
        <f>IF($A281="","",IFERROR(INDEX(FILTER('Client contacts'!$B$2:$B$500,('Client contacts'!$A$2:$A$500=$A281)*('Client contacts'!$H$2:$H$500="Y"),""),1),""))</f>
        <v/>
      </c>
      <c r="E281" s="5">
        <f>IF($A281="","",IFERROR(INDEX(FILTER('Client contacts'!$C$2:$C$500,('Client contacts'!$A$2:$A$500=$A281)*('Client contacts'!$H$2:$H$500="Y"),""),1),""))</f>
        <v/>
      </c>
      <c r="F281" s="5">
        <f>IF($A281="","",IFERROR(INDEX(FILTER('Client contacts'!$B$2:$B$500,('Client contacts'!$A$2:$A$500=$A281)*('Client contacts'!$G$2:$G$500="Y"),""),1),""))</f>
        <v/>
      </c>
      <c r="G281" s="5">
        <f>IF($A281="","",IFERROR(INDEX(FILTER('Client contacts'!$C$2:$C$500,('Client contacts'!$A$2:$A$500=$A281)*('Client contacts'!$G$2:$G$500="Y"),""),1),""))</f>
        <v/>
      </c>
      <c r="H281" s="5">
        <f>IF($A281="","",IFERROR(INDEX(FILTER('Client contacts'!$B$2:$B$500,('Client contacts'!$A$2:$A$500=$A281)*('Client contacts'!$G$2:$G$500="Y"),""),2),""))</f>
        <v/>
      </c>
      <c r="I281" s="5">
        <f>IF($A281="","",IFERROR(INDEX(FILTER('Client contacts'!$C$2:$C$500,('Client contacts'!$A$2:$A$500=$A281)*('Client contacts'!$G$2:$G$500="Y"),""),2),""))</f>
        <v/>
      </c>
      <c r="J281" s="8" t="n"/>
      <c r="K281" s="8" t="n"/>
      <c r="L281" s="8" t="n"/>
      <c r="M281" s="8" t="n"/>
      <c r="N281" s="8" t="n"/>
      <c r="O281" s="8" t="n"/>
      <c r="P281" s="8" t="n"/>
      <c r="Q281" s="8" t="n"/>
      <c r="R281" s="5">
        <f>IF($A281="","",IFERROR(INDEX(Companies!$I$2:$I$500,MATCH($A281,Companies!$A$2:$A$500,0)),""))</f>
        <v/>
      </c>
      <c r="S281" s="8" t="n"/>
      <c r="T281" s="8" t="n"/>
      <c r="U281" s="8" t="n"/>
      <c r="V281" s="8" t="n"/>
      <c r="W281" s="8" t="n"/>
    </row>
    <row r="282">
      <c r="C282" s="5">
        <f>IF($B282="","",TRIM(IF(INDEX('MOA role matrix'!$B$2:$D$13,1,MATCH($B282,'MOA role matrix'!$B$1:$D$1,0))="Fill","Project initiator, ","")IF(INDEX('MOA role matrix'!$B$2:$D$13,1,MATCH($B282,'MOA role matrix'!$B$1:$D$1,0))="If finance","Project initiator (if finance), ","")IF(INDEX('MOA role matrix'!$B$2:$D$13,1,MATCH($B282,'MOA role matrix'!$B$1:$D$1,0))="Auto","Project initiator (auto), ","")IF(INDEX('MOA role matrix'!$B$2:$D$13,2,MATCH($B282,'MOA role matrix'!$B$1:$D$1,0))="Fill","MOA signers (client), ","")IF(INDEX('MOA role matrix'!$B$2:$D$13,2,MATCH($B282,'MOA role matrix'!$B$1:$D$1,0))="If finance","MOA signers (client) (if finance), ","")IF(INDEX('MOA role matrix'!$B$2:$D$13,2,MATCH($B282,'MOA role matrix'!$B$1:$D$1,0))="Auto","MOA signers (client) (auto), ","")IF(INDEX('MOA role matrix'!$B$2:$D$13,3,MATCH($B282,'MOA role matrix'!$B$1:$D$1,0))="Fill","CFO / Head of Finance, ","")IF(INDEX('MOA role matrix'!$B$2:$D$13,3,MATCH($B282,'MOA role matrix'!$B$1:$D$1,0))="If finance","CFO / Head of Finance (if finance), ","")IF(INDEX('MOA role matrix'!$B$2:$D$13,3,MATCH($B282,'MOA role matrix'!$B$1:$D$1,0))="Auto","CFO / Head of Finance (auto), ","")IF(INDEX('MOA role matrix'!$B$2:$D$13,4,MATCH($B282,'MOA role matrix'!$B$1:$D$1,0))="Fill","CEO / COO / GM, ","")IF(INDEX('MOA role matrix'!$B$2:$D$13,4,MATCH($B282,'MOA role matrix'!$B$1:$D$1,0))="If finance","CEO / COO / GM (if finance), ","")IF(INDEX('MOA role matrix'!$B$2:$D$13,4,MATCH($B282,'MOA role matrix'!$B$1:$D$1,0))="Auto","CEO / COO / GM (auto), ","")IF(INDEX('MOA role matrix'!$B$2:$D$13,5,MATCH($B282,'MOA role matrix'!$B$1:$D$1,0))="Fill","Board member 1, ","")IF(INDEX('MOA role matrix'!$B$2:$D$13,5,MATCH($B282,'MOA role matrix'!$B$1:$D$1,0))="If finance","Board member 1 (if finance), ","")IF(INDEX('MOA role matrix'!$B$2:$D$13,5,MATCH($B282,'MOA role matrix'!$B$1:$D$1,0))="Auto","Board member 1 (auto), ","")IF(INDEX('MOA role matrix'!$B$2:$D$13,6,MATCH($B282,'MOA role matrix'!$B$1:$D$1,0))="Fill","Board member 2, ","")IF(INDEX('MOA role matrix'!$B$2:$D$13,6,MATCH($B282,'MOA role matrix'!$B$1:$D$1,0))="If finance","Board member 2 (if finance), ","")IF(INDEX('MOA role matrix'!$B$2:$D$13,6,MATCH($B282,'MOA role matrix'!$B$1:$D$1,0))="Auto","Board member 2 (auto), ","")IF(INDEX('MOA role matrix'!$B$2:$D$13,7,MATCH($B282,'MOA role matrix'!$B$1:$D$1,0))="Fill","LOA holder 1, ","")IF(INDEX('MOA role matrix'!$B$2:$D$13,7,MATCH($B282,'MOA role matrix'!$B$1:$D$1,0))="If finance","LOA holder 1 (if finance), ","")IF(INDEX('MOA role matrix'!$B$2:$D$13,7,MATCH($B282,'MOA role matrix'!$B$1:$D$1,0))="Auto","LOA holder 1 (auto), ","")IF(INDEX('MOA role matrix'!$B$2:$D$13,8,MATCH($B282,'MOA role matrix'!$B$1:$D$1,0))="Fill","LOA holder 2, ","")IF(INDEX('MOA role matrix'!$B$2:$D$13,8,MATCH($B282,'MOA role matrix'!$B$1:$D$1,0))="If finance","LOA holder 2 (if finance), ","")IF(INDEX('MOA role matrix'!$B$2:$D$13,8,MATCH($B282,'MOA role matrix'!$B$1:$D$1,0))="Auto","LOA holder 2 (auto), ","")IF(INDEX('MOA role matrix'!$B$2:$D$13,9,MATCH($B282,'MOA role matrix'!$B$1:$D$1,0))="Fill","Senior Manager CoSec, ","")IF(INDEX('MOA role matrix'!$B$2:$D$13,9,MATCH($B282,'MOA role matrix'!$B$1:$D$1,0))="If finance","Senior Manager CoSec (if finance), ","")IF(INDEX('MOA role matrix'!$B$2:$D$13,9,MATCH($B282,'MOA role matrix'!$B$1:$D$1,0))="Auto","Senior Manager CoSec (auto), ","")IF(INDEX('MOA role matrix'!$B$2:$D$13,10,MATCH($B282,'MOA role matrix'!$B$1:$D$1,0))="Fill","Division MOI managers, ","")IF(INDEX('MOA role matrix'!$B$2:$D$13,10,MATCH($B282,'MOA role matrix'!$B$1:$D$1,0))="If finance","Division MOI managers (if finance), ","")IF(INDEX('MOA role matrix'!$B$2:$D$13,10,MATCH($B282,'MOA role matrix'!$B$1:$D$1,0))="Auto","Division MOI managers (auto), ","")IF(INDEX('MOA role matrix'!$B$2:$D$13,11,MATCH($B282,'MOA role matrix'!$B$1:$D$1,0))="Fill","Ms Teh (bank), ","")IF(INDEX('MOA role matrix'!$B$2:$D$13,11,MATCH($B282,'MOA role matrix'!$B$1:$D$1,0))="If finance","Ms Teh (bank) (if finance), ","")IF(INDEX('MOA role matrix'!$B$2:$D$13,11,MATCH($B282,'MOA role matrix'!$B$1:$D$1,0))="Auto","Ms Teh (bank) (auto), ","")IF(INDEX('MOA role matrix'!$B$2:$D$13,12,MATCH($B282,'MOA role matrix'!$B$1:$D$1,0))="Fill","DLCM, ","")IF(INDEX('MOA role matrix'!$B$2:$D$13,12,MATCH($B282,'MOA role matrix'!$B$1:$D$1,0))="If finance","DLCM (if finance), ","")IF(INDEX('MOA role matrix'!$B$2:$D$13,12,MATCH($B282,'MOA role matrix'!$B$1:$D$1,0))="Auto","DLCM (auto), ","")))</f>
        <v/>
      </c>
      <c r="D282" s="5">
        <f>IF($A282="","",IFERROR(INDEX(FILTER('Client contacts'!$B$2:$B$500,('Client contacts'!$A$2:$A$500=$A282)*('Client contacts'!$H$2:$H$500="Y"),""),1),""))</f>
        <v/>
      </c>
      <c r="E282" s="5">
        <f>IF($A282="","",IFERROR(INDEX(FILTER('Client contacts'!$C$2:$C$500,('Client contacts'!$A$2:$A$500=$A282)*('Client contacts'!$H$2:$H$500="Y"),""),1),""))</f>
        <v/>
      </c>
      <c r="F282" s="5">
        <f>IF($A282="","",IFERROR(INDEX(FILTER('Client contacts'!$B$2:$B$500,('Client contacts'!$A$2:$A$500=$A282)*('Client contacts'!$G$2:$G$500="Y"),""),1),""))</f>
        <v/>
      </c>
      <c r="G282" s="5">
        <f>IF($A282="","",IFERROR(INDEX(FILTER('Client contacts'!$C$2:$C$500,('Client contacts'!$A$2:$A$500=$A282)*('Client contacts'!$G$2:$G$500="Y"),""),1),""))</f>
        <v/>
      </c>
      <c r="H282" s="5">
        <f>IF($A282="","",IFERROR(INDEX(FILTER('Client contacts'!$B$2:$B$500,('Client contacts'!$A$2:$A$500=$A282)*('Client contacts'!$G$2:$G$500="Y"),""),2),""))</f>
        <v/>
      </c>
      <c r="I282" s="5">
        <f>IF($A282="","",IFERROR(INDEX(FILTER('Client contacts'!$C$2:$C$500,('Client contacts'!$A$2:$A$500=$A282)*('Client contacts'!$G$2:$G$500="Y"),""),2),""))</f>
        <v/>
      </c>
      <c r="J282" s="8" t="n"/>
      <c r="K282" s="8" t="n"/>
      <c r="L282" s="8" t="n"/>
      <c r="M282" s="8" t="n"/>
      <c r="N282" s="8" t="n"/>
      <c r="O282" s="8" t="n"/>
      <c r="P282" s="8" t="n"/>
      <c r="Q282" s="8" t="n"/>
      <c r="R282" s="5">
        <f>IF($A282="","",IFERROR(INDEX(Companies!$I$2:$I$500,MATCH($A282,Companies!$A$2:$A$500,0)),""))</f>
        <v/>
      </c>
      <c r="S282" s="8" t="n"/>
      <c r="T282" s="8" t="n"/>
      <c r="U282" s="8" t="n"/>
      <c r="V282" s="8" t="n"/>
      <c r="W282" s="8" t="n"/>
    </row>
    <row r="283">
      <c r="C283" s="5">
        <f>IF($B283="","",TRIM(IF(INDEX('MOA role matrix'!$B$2:$D$13,1,MATCH($B283,'MOA role matrix'!$B$1:$D$1,0))="Fill","Project initiator, ","")IF(INDEX('MOA role matrix'!$B$2:$D$13,1,MATCH($B283,'MOA role matrix'!$B$1:$D$1,0))="If finance","Project initiator (if finance), ","")IF(INDEX('MOA role matrix'!$B$2:$D$13,1,MATCH($B283,'MOA role matrix'!$B$1:$D$1,0))="Auto","Project initiator (auto), ","")IF(INDEX('MOA role matrix'!$B$2:$D$13,2,MATCH($B283,'MOA role matrix'!$B$1:$D$1,0))="Fill","MOA signers (client), ","")IF(INDEX('MOA role matrix'!$B$2:$D$13,2,MATCH($B283,'MOA role matrix'!$B$1:$D$1,0))="If finance","MOA signers (client) (if finance), ","")IF(INDEX('MOA role matrix'!$B$2:$D$13,2,MATCH($B283,'MOA role matrix'!$B$1:$D$1,0))="Auto","MOA signers (client) (auto), ","")IF(INDEX('MOA role matrix'!$B$2:$D$13,3,MATCH($B283,'MOA role matrix'!$B$1:$D$1,0))="Fill","CFO / Head of Finance, ","")IF(INDEX('MOA role matrix'!$B$2:$D$13,3,MATCH($B283,'MOA role matrix'!$B$1:$D$1,0))="If finance","CFO / Head of Finance (if finance), ","")IF(INDEX('MOA role matrix'!$B$2:$D$13,3,MATCH($B283,'MOA role matrix'!$B$1:$D$1,0))="Auto","CFO / Head of Finance (auto), ","")IF(INDEX('MOA role matrix'!$B$2:$D$13,4,MATCH($B283,'MOA role matrix'!$B$1:$D$1,0))="Fill","CEO / COO / GM, ","")IF(INDEX('MOA role matrix'!$B$2:$D$13,4,MATCH($B283,'MOA role matrix'!$B$1:$D$1,0))="If finance","CEO / COO / GM (if finance), ","")IF(INDEX('MOA role matrix'!$B$2:$D$13,4,MATCH($B283,'MOA role matrix'!$B$1:$D$1,0))="Auto","CEO / COO / GM (auto), ","")IF(INDEX('MOA role matrix'!$B$2:$D$13,5,MATCH($B283,'MOA role matrix'!$B$1:$D$1,0))="Fill","Board member 1, ","")IF(INDEX('MOA role matrix'!$B$2:$D$13,5,MATCH($B283,'MOA role matrix'!$B$1:$D$1,0))="If finance","Board member 1 (if finance), ","")IF(INDEX('MOA role matrix'!$B$2:$D$13,5,MATCH($B283,'MOA role matrix'!$B$1:$D$1,0))="Auto","Board member 1 (auto), ","")IF(INDEX('MOA role matrix'!$B$2:$D$13,6,MATCH($B283,'MOA role matrix'!$B$1:$D$1,0))="Fill","Board member 2, ","")IF(INDEX('MOA role matrix'!$B$2:$D$13,6,MATCH($B283,'MOA role matrix'!$B$1:$D$1,0))="If finance","Board member 2 (if finance), ","")IF(INDEX('MOA role matrix'!$B$2:$D$13,6,MATCH($B283,'MOA role matrix'!$B$1:$D$1,0))="Auto","Board member 2 (auto), ","")IF(INDEX('MOA role matrix'!$B$2:$D$13,7,MATCH($B283,'MOA role matrix'!$B$1:$D$1,0))="Fill","LOA holder 1, ","")IF(INDEX('MOA role matrix'!$B$2:$D$13,7,MATCH($B283,'MOA role matrix'!$B$1:$D$1,0))="If finance","LOA holder 1 (if finance), ","")IF(INDEX('MOA role matrix'!$B$2:$D$13,7,MATCH($B283,'MOA role matrix'!$B$1:$D$1,0))="Auto","LOA holder 1 (auto), ","")IF(INDEX('MOA role matrix'!$B$2:$D$13,8,MATCH($B283,'MOA role matrix'!$B$1:$D$1,0))="Fill","LOA holder 2, ","")IF(INDEX('MOA role matrix'!$B$2:$D$13,8,MATCH($B283,'MOA role matrix'!$B$1:$D$1,0))="If finance","LOA holder 2 (if finance), ","")IF(INDEX('MOA role matrix'!$B$2:$D$13,8,MATCH($B283,'MOA role matrix'!$B$1:$D$1,0))="Auto","LOA holder 2 (auto), ","")IF(INDEX('MOA role matrix'!$B$2:$D$13,9,MATCH($B283,'MOA role matrix'!$B$1:$D$1,0))="Fill","Senior Manager CoSec, ","")IF(INDEX('MOA role matrix'!$B$2:$D$13,9,MATCH($B283,'MOA role matrix'!$B$1:$D$1,0))="If finance","Senior Manager CoSec (if finance), ","")IF(INDEX('MOA role matrix'!$B$2:$D$13,9,MATCH($B283,'MOA role matrix'!$B$1:$D$1,0))="Auto","Senior Manager CoSec (auto), ","")IF(INDEX('MOA role matrix'!$B$2:$D$13,10,MATCH($B283,'MOA role matrix'!$B$1:$D$1,0))="Fill","Division MOI managers, ","")IF(INDEX('MOA role matrix'!$B$2:$D$13,10,MATCH($B283,'MOA role matrix'!$B$1:$D$1,0))="If finance","Division MOI managers (if finance), ","")IF(INDEX('MOA role matrix'!$B$2:$D$13,10,MATCH($B283,'MOA role matrix'!$B$1:$D$1,0))="Auto","Division MOI managers (auto), ","")IF(INDEX('MOA role matrix'!$B$2:$D$13,11,MATCH($B283,'MOA role matrix'!$B$1:$D$1,0))="Fill","Ms Teh (bank), ","")IF(INDEX('MOA role matrix'!$B$2:$D$13,11,MATCH($B283,'MOA role matrix'!$B$1:$D$1,0))="If finance","Ms Teh (bank) (if finance), ","")IF(INDEX('MOA role matrix'!$B$2:$D$13,11,MATCH($B283,'MOA role matrix'!$B$1:$D$1,0))="Auto","Ms Teh (bank) (auto), ","")IF(INDEX('MOA role matrix'!$B$2:$D$13,12,MATCH($B283,'MOA role matrix'!$B$1:$D$1,0))="Fill","DLCM, ","")IF(INDEX('MOA role matrix'!$B$2:$D$13,12,MATCH($B283,'MOA role matrix'!$B$1:$D$1,0))="If finance","DLCM (if finance), ","")IF(INDEX('MOA role matrix'!$B$2:$D$13,12,MATCH($B283,'MOA role matrix'!$B$1:$D$1,0))="Auto","DLCM (auto), ","")))</f>
        <v/>
      </c>
      <c r="D283" s="5">
        <f>IF($A283="","",IFERROR(INDEX(FILTER('Client contacts'!$B$2:$B$500,('Client contacts'!$A$2:$A$500=$A283)*('Client contacts'!$H$2:$H$500="Y"),""),1),""))</f>
        <v/>
      </c>
      <c r="E283" s="5">
        <f>IF($A283="","",IFERROR(INDEX(FILTER('Client contacts'!$C$2:$C$500,('Client contacts'!$A$2:$A$500=$A283)*('Client contacts'!$H$2:$H$500="Y"),""),1),""))</f>
        <v/>
      </c>
      <c r="F283" s="5">
        <f>IF($A283="","",IFERROR(INDEX(FILTER('Client contacts'!$B$2:$B$500,('Client contacts'!$A$2:$A$500=$A283)*('Client contacts'!$G$2:$G$500="Y"),""),1),""))</f>
        <v/>
      </c>
      <c r="G283" s="5">
        <f>IF($A283="","",IFERROR(INDEX(FILTER('Client contacts'!$C$2:$C$500,('Client contacts'!$A$2:$A$500=$A283)*('Client contacts'!$G$2:$G$500="Y"),""),1),""))</f>
        <v/>
      </c>
      <c r="H283" s="5">
        <f>IF($A283="","",IFERROR(INDEX(FILTER('Client contacts'!$B$2:$B$500,('Client contacts'!$A$2:$A$500=$A283)*('Client contacts'!$G$2:$G$500="Y"),""),2),""))</f>
        <v/>
      </c>
      <c r="I283" s="5">
        <f>IF($A283="","",IFERROR(INDEX(FILTER('Client contacts'!$C$2:$C$500,('Client contacts'!$A$2:$A$500=$A283)*('Client contacts'!$G$2:$G$500="Y"),""),2),""))</f>
        <v/>
      </c>
      <c r="J283" s="8" t="n"/>
      <c r="K283" s="8" t="n"/>
      <c r="L283" s="8" t="n"/>
      <c r="M283" s="8" t="n"/>
      <c r="N283" s="8" t="n"/>
      <c r="O283" s="8" t="n"/>
      <c r="P283" s="8" t="n"/>
      <c r="Q283" s="8" t="n"/>
      <c r="R283" s="5">
        <f>IF($A283="","",IFERROR(INDEX(Companies!$I$2:$I$500,MATCH($A283,Companies!$A$2:$A$500,0)),""))</f>
        <v/>
      </c>
      <c r="S283" s="8" t="n"/>
      <c r="T283" s="8" t="n"/>
      <c r="U283" s="8" t="n"/>
      <c r="V283" s="8" t="n"/>
      <c r="W283" s="8" t="n"/>
    </row>
    <row r="284">
      <c r="C284" s="5">
        <f>IF($B284="","",TRIM(IF(INDEX('MOA role matrix'!$B$2:$D$13,1,MATCH($B284,'MOA role matrix'!$B$1:$D$1,0))="Fill","Project initiator, ","")IF(INDEX('MOA role matrix'!$B$2:$D$13,1,MATCH($B284,'MOA role matrix'!$B$1:$D$1,0))="If finance","Project initiator (if finance), ","")IF(INDEX('MOA role matrix'!$B$2:$D$13,1,MATCH($B284,'MOA role matrix'!$B$1:$D$1,0))="Auto","Project initiator (auto), ","")IF(INDEX('MOA role matrix'!$B$2:$D$13,2,MATCH($B284,'MOA role matrix'!$B$1:$D$1,0))="Fill","MOA signers (client), ","")IF(INDEX('MOA role matrix'!$B$2:$D$13,2,MATCH($B284,'MOA role matrix'!$B$1:$D$1,0))="If finance","MOA signers (client) (if finance), ","")IF(INDEX('MOA role matrix'!$B$2:$D$13,2,MATCH($B284,'MOA role matrix'!$B$1:$D$1,0))="Auto","MOA signers (client) (auto), ","")IF(INDEX('MOA role matrix'!$B$2:$D$13,3,MATCH($B284,'MOA role matrix'!$B$1:$D$1,0))="Fill","CFO / Head of Finance, ","")IF(INDEX('MOA role matrix'!$B$2:$D$13,3,MATCH($B284,'MOA role matrix'!$B$1:$D$1,0))="If finance","CFO / Head of Finance (if finance), ","")IF(INDEX('MOA role matrix'!$B$2:$D$13,3,MATCH($B284,'MOA role matrix'!$B$1:$D$1,0))="Auto","CFO / Head of Finance (auto), ","")IF(INDEX('MOA role matrix'!$B$2:$D$13,4,MATCH($B284,'MOA role matrix'!$B$1:$D$1,0))="Fill","CEO / COO / GM, ","")IF(INDEX('MOA role matrix'!$B$2:$D$13,4,MATCH($B284,'MOA role matrix'!$B$1:$D$1,0))="If finance","CEO / COO / GM (if finance), ","")IF(INDEX('MOA role matrix'!$B$2:$D$13,4,MATCH($B284,'MOA role matrix'!$B$1:$D$1,0))="Auto","CEO / COO / GM (auto), ","")IF(INDEX('MOA role matrix'!$B$2:$D$13,5,MATCH($B284,'MOA role matrix'!$B$1:$D$1,0))="Fill","Board member 1, ","")IF(INDEX('MOA role matrix'!$B$2:$D$13,5,MATCH($B284,'MOA role matrix'!$B$1:$D$1,0))="If finance","Board member 1 (if finance), ","")IF(INDEX('MOA role matrix'!$B$2:$D$13,5,MATCH($B284,'MOA role matrix'!$B$1:$D$1,0))="Auto","Board member 1 (auto), ","")IF(INDEX('MOA role matrix'!$B$2:$D$13,6,MATCH($B284,'MOA role matrix'!$B$1:$D$1,0))="Fill","Board member 2, ","")IF(INDEX('MOA role matrix'!$B$2:$D$13,6,MATCH($B284,'MOA role matrix'!$B$1:$D$1,0))="If finance","Board member 2 (if finance), ","")IF(INDEX('MOA role matrix'!$B$2:$D$13,6,MATCH($B284,'MOA role matrix'!$B$1:$D$1,0))="Auto","Board member 2 (auto), ","")IF(INDEX('MOA role matrix'!$B$2:$D$13,7,MATCH($B284,'MOA role matrix'!$B$1:$D$1,0))="Fill","LOA holder 1, ","")IF(INDEX('MOA role matrix'!$B$2:$D$13,7,MATCH($B284,'MOA role matrix'!$B$1:$D$1,0))="If finance","LOA holder 1 (if finance), ","")IF(INDEX('MOA role matrix'!$B$2:$D$13,7,MATCH($B284,'MOA role matrix'!$B$1:$D$1,0))="Auto","LOA holder 1 (auto), ","")IF(INDEX('MOA role matrix'!$B$2:$D$13,8,MATCH($B284,'MOA role matrix'!$B$1:$D$1,0))="Fill","LOA holder 2, ","")IF(INDEX('MOA role matrix'!$B$2:$D$13,8,MATCH($B284,'MOA role matrix'!$B$1:$D$1,0))="If finance","LOA holder 2 (if finance), ","")IF(INDEX('MOA role matrix'!$B$2:$D$13,8,MATCH($B284,'MOA role matrix'!$B$1:$D$1,0))="Auto","LOA holder 2 (auto), ","")IF(INDEX('MOA role matrix'!$B$2:$D$13,9,MATCH($B284,'MOA role matrix'!$B$1:$D$1,0))="Fill","Senior Manager CoSec, ","")IF(INDEX('MOA role matrix'!$B$2:$D$13,9,MATCH($B284,'MOA role matrix'!$B$1:$D$1,0))="If finance","Senior Manager CoSec (if finance), ","")IF(INDEX('MOA role matrix'!$B$2:$D$13,9,MATCH($B284,'MOA role matrix'!$B$1:$D$1,0))="Auto","Senior Manager CoSec (auto), ","")IF(INDEX('MOA role matrix'!$B$2:$D$13,10,MATCH($B284,'MOA role matrix'!$B$1:$D$1,0))="Fill","Division MOI managers, ","")IF(INDEX('MOA role matrix'!$B$2:$D$13,10,MATCH($B284,'MOA role matrix'!$B$1:$D$1,0))="If finance","Division MOI managers (if finance), ","")IF(INDEX('MOA role matrix'!$B$2:$D$13,10,MATCH($B284,'MOA role matrix'!$B$1:$D$1,0))="Auto","Division MOI managers (auto), ","")IF(INDEX('MOA role matrix'!$B$2:$D$13,11,MATCH($B284,'MOA role matrix'!$B$1:$D$1,0))="Fill","Ms Teh (bank), ","")IF(INDEX('MOA role matrix'!$B$2:$D$13,11,MATCH($B284,'MOA role matrix'!$B$1:$D$1,0))="If finance","Ms Teh (bank) (if finance), ","")IF(INDEX('MOA role matrix'!$B$2:$D$13,11,MATCH($B284,'MOA role matrix'!$B$1:$D$1,0))="Auto","Ms Teh (bank) (auto), ","")IF(INDEX('MOA role matrix'!$B$2:$D$13,12,MATCH($B284,'MOA role matrix'!$B$1:$D$1,0))="Fill","DLCM, ","")IF(INDEX('MOA role matrix'!$B$2:$D$13,12,MATCH($B284,'MOA role matrix'!$B$1:$D$1,0))="If finance","DLCM (if finance), ","")IF(INDEX('MOA role matrix'!$B$2:$D$13,12,MATCH($B284,'MOA role matrix'!$B$1:$D$1,0))="Auto","DLCM (auto), ","")))</f>
        <v/>
      </c>
      <c r="D284" s="5">
        <f>IF($A284="","",IFERROR(INDEX(FILTER('Client contacts'!$B$2:$B$500,('Client contacts'!$A$2:$A$500=$A284)*('Client contacts'!$H$2:$H$500="Y"),""),1),""))</f>
        <v/>
      </c>
      <c r="E284" s="5">
        <f>IF($A284="","",IFERROR(INDEX(FILTER('Client contacts'!$C$2:$C$500,('Client contacts'!$A$2:$A$500=$A284)*('Client contacts'!$H$2:$H$500="Y"),""),1),""))</f>
        <v/>
      </c>
      <c r="F284" s="5">
        <f>IF($A284="","",IFERROR(INDEX(FILTER('Client contacts'!$B$2:$B$500,('Client contacts'!$A$2:$A$500=$A284)*('Client contacts'!$G$2:$G$500="Y"),""),1),""))</f>
        <v/>
      </c>
      <c r="G284" s="5">
        <f>IF($A284="","",IFERROR(INDEX(FILTER('Client contacts'!$C$2:$C$500,('Client contacts'!$A$2:$A$500=$A284)*('Client contacts'!$G$2:$G$500="Y"),""),1),""))</f>
        <v/>
      </c>
      <c r="H284" s="5">
        <f>IF($A284="","",IFERROR(INDEX(FILTER('Client contacts'!$B$2:$B$500,('Client contacts'!$A$2:$A$500=$A284)*('Client contacts'!$G$2:$G$500="Y"),""),2),""))</f>
        <v/>
      </c>
      <c r="I284" s="5">
        <f>IF($A284="","",IFERROR(INDEX(FILTER('Client contacts'!$C$2:$C$500,('Client contacts'!$A$2:$A$500=$A284)*('Client contacts'!$G$2:$G$500="Y"),""),2),""))</f>
        <v/>
      </c>
      <c r="J284" s="8" t="n"/>
      <c r="K284" s="8" t="n"/>
      <c r="L284" s="8" t="n"/>
      <c r="M284" s="8" t="n"/>
      <c r="N284" s="8" t="n"/>
      <c r="O284" s="8" t="n"/>
      <c r="P284" s="8" t="n"/>
      <c r="Q284" s="8" t="n"/>
      <c r="R284" s="5">
        <f>IF($A284="","",IFERROR(INDEX(Companies!$I$2:$I$500,MATCH($A284,Companies!$A$2:$A$500,0)),""))</f>
        <v/>
      </c>
      <c r="S284" s="8" t="n"/>
      <c r="T284" s="8" t="n"/>
      <c r="U284" s="8" t="n"/>
      <c r="V284" s="8" t="n"/>
      <c r="W284" s="8" t="n"/>
    </row>
    <row r="285">
      <c r="C285" s="5">
        <f>IF($B285="","",TRIM(IF(INDEX('MOA role matrix'!$B$2:$D$13,1,MATCH($B285,'MOA role matrix'!$B$1:$D$1,0))="Fill","Project initiator, ","")IF(INDEX('MOA role matrix'!$B$2:$D$13,1,MATCH($B285,'MOA role matrix'!$B$1:$D$1,0))="If finance","Project initiator (if finance), ","")IF(INDEX('MOA role matrix'!$B$2:$D$13,1,MATCH($B285,'MOA role matrix'!$B$1:$D$1,0))="Auto","Project initiator (auto), ","")IF(INDEX('MOA role matrix'!$B$2:$D$13,2,MATCH($B285,'MOA role matrix'!$B$1:$D$1,0))="Fill","MOA signers (client), ","")IF(INDEX('MOA role matrix'!$B$2:$D$13,2,MATCH($B285,'MOA role matrix'!$B$1:$D$1,0))="If finance","MOA signers (client) (if finance), ","")IF(INDEX('MOA role matrix'!$B$2:$D$13,2,MATCH($B285,'MOA role matrix'!$B$1:$D$1,0))="Auto","MOA signers (client) (auto), ","")IF(INDEX('MOA role matrix'!$B$2:$D$13,3,MATCH($B285,'MOA role matrix'!$B$1:$D$1,0))="Fill","CFO / Head of Finance, ","")IF(INDEX('MOA role matrix'!$B$2:$D$13,3,MATCH($B285,'MOA role matrix'!$B$1:$D$1,0))="If finance","CFO / Head of Finance (if finance), ","")IF(INDEX('MOA role matrix'!$B$2:$D$13,3,MATCH($B285,'MOA role matrix'!$B$1:$D$1,0))="Auto","CFO / Head of Finance (auto), ","")IF(INDEX('MOA role matrix'!$B$2:$D$13,4,MATCH($B285,'MOA role matrix'!$B$1:$D$1,0))="Fill","CEO / COO / GM, ","")IF(INDEX('MOA role matrix'!$B$2:$D$13,4,MATCH($B285,'MOA role matrix'!$B$1:$D$1,0))="If finance","CEO / COO / GM (if finance), ","")IF(INDEX('MOA role matrix'!$B$2:$D$13,4,MATCH($B285,'MOA role matrix'!$B$1:$D$1,0))="Auto","CEO / COO / GM (auto), ","")IF(INDEX('MOA role matrix'!$B$2:$D$13,5,MATCH($B285,'MOA role matrix'!$B$1:$D$1,0))="Fill","Board member 1, ","")IF(INDEX('MOA role matrix'!$B$2:$D$13,5,MATCH($B285,'MOA role matrix'!$B$1:$D$1,0))="If finance","Board member 1 (if finance), ","")IF(INDEX('MOA role matrix'!$B$2:$D$13,5,MATCH($B285,'MOA role matrix'!$B$1:$D$1,0))="Auto","Board member 1 (auto), ","")IF(INDEX('MOA role matrix'!$B$2:$D$13,6,MATCH($B285,'MOA role matrix'!$B$1:$D$1,0))="Fill","Board member 2, ","")IF(INDEX('MOA role matrix'!$B$2:$D$13,6,MATCH($B285,'MOA role matrix'!$B$1:$D$1,0))="If finance","Board member 2 (if finance), ","")IF(INDEX('MOA role matrix'!$B$2:$D$13,6,MATCH($B285,'MOA role matrix'!$B$1:$D$1,0))="Auto","Board member 2 (auto), ","")IF(INDEX('MOA role matrix'!$B$2:$D$13,7,MATCH($B285,'MOA role matrix'!$B$1:$D$1,0))="Fill","LOA holder 1, ","")IF(INDEX('MOA role matrix'!$B$2:$D$13,7,MATCH($B285,'MOA role matrix'!$B$1:$D$1,0))="If finance","LOA holder 1 (if finance), ","")IF(INDEX('MOA role matrix'!$B$2:$D$13,7,MATCH($B285,'MOA role matrix'!$B$1:$D$1,0))="Auto","LOA holder 1 (auto), ","")IF(INDEX('MOA role matrix'!$B$2:$D$13,8,MATCH($B285,'MOA role matrix'!$B$1:$D$1,0))="Fill","LOA holder 2, ","")IF(INDEX('MOA role matrix'!$B$2:$D$13,8,MATCH($B285,'MOA role matrix'!$B$1:$D$1,0))="If finance","LOA holder 2 (if finance), ","")IF(INDEX('MOA role matrix'!$B$2:$D$13,8,MATCH($B285,'MOA role matrix'!$B$1:$D$1,0))="Auto","LOA holder 2 (auto), ","")IF(INDEX('MOA role matrix'!$B$2:$D$13,9,MATCH($B285,'MOA role matrix'!$B$1:$D$1,0))="Fill","Senior Manager CoSec, ","")IF(INDEX('MOA role matrix'!$B$2:$D$13,9,MATCH($B285,'MOA role matrix'!$B$1:$D$1,0))="If finance","Senior Manager CoSec (if finance), ","")IF(INDEX('MOA role matrix'!$B$2:$D$13,9,MATCH($B285,'MOA role matrix'!$B$1:$D$1,0))="Auto","Senior Manager CoSec (auto), ","")IF(INDEX('MOA role matrix'!$B$2:$D$13,10,MATCH($B285,'MOA role matrix'!$B$1:$D$1,0))="Fill","Division MOI managers, ","")IF(INDEX('MOA role matrix'!$B$2:$D$13,10,MATCH($B285,'MOA role matrix'!$B$1:$D$1,0))="If finance","Division MOI managers (if finance), ","")IF(INDEX('MOA role matrix'!$B$2:$D$13,10,MATCH($B285,'MOA role matrix'!$B$1:$D$1,0))="Auto","Division MOI managers (auto), ","")IF(INDEX('MOA role matrix'!$B$2:$D$13,11,MATCH($B285,'MOA role matrix'!$B$1:$D$1,0))="Fill","Ms Teh (bank), ","")IF(INDEX('MOA role matrix'!$B$2:$D$13,11,MATCH($B285,'MOA role matrix'!$B$1:$D$1,0))="If finance","Ms Teh (bank) (if finance), ","")IF(INDEX('MOA role matrix'!$B$2:$D$13,11,MATCH($B285,'MOA role matrix'!$B$1:$D$1,0))="Auto","Ms Teh (bank) (auto), ","")IF(INDEX('MOA role matrix'!$B$2:$D$13,12,MATCH($B285,'MOA role matrix'!$B$1:$D$1,0))="Fill","DLCM, ","")IF(INDEX('MOA role matrix'!$B$2:$D$13,12,MATCH($B285,'MOA role matrix'!$B$1:$D$1,0))="If finance","DLCM (if finance), ","")IF(INDEX('MOA role matrix'!$B$2:$D$13,12,MATCH($B285,'MOA role matrix'!$B$1:$D$1,0))="Auto","DLCM (auto), ","")))</f>
        <v/>
      </c>
      <c r="D285" s="5">
        <f>IF($A285="","",IFERROR(INDEX(FILTER('Client contacts'!$B$2:$B$500,('Client contacts'!$A$2:$A$500=$A285)*('Client contacts'!$H$2:$H$500="Y"),""),1),""))</f>
        <v/>
      </c>
      <c r="E285" s="5">
        <f>IF($A285="","",IFERROR(INDEX(FILTER('Client contacts'!$C$2:$C$500,('Client contacts'!$A$2:$A$500=$A285)*('Client contacts'!$H$2:$H$500="Y"),""),1),""))</f>
        <v/>
      </c>
      <c r="F285" s="5">
        <f>IF($A285="","",IFERROR(INDEX(FILTER('Client contacts'!$B$2:$B$500,('Client contacts'!$A$2:$A$500=$A285)*('Client contacts'!$G$2:$G$500="Y"),""),1),""))</f>
        <v/>
      </c>
      <c r="G285" s="5">
        <f>IF($A285="","",IFERROR(INDEX(FILTER('Client contacts'!$C$2:$C$500,('Client contacts'!$A$2:$A$500=$A285)*('Client contacts'!$G$2:$G$500="Y"),""),1),""))</f>
        <v/>
      </c>
      <c r="H285" s="5">
        <f>IF($A285="","",IFERROR(INDEX(FILTER('Client contacts'!$B$2:$B$500,('Client contacts'!$A$2:$A$500=$A285)*('Client contacts'!$G$2:$G$500="Y"),""),2),""))</f>
        <v/>
      </c>
      <c r="I285" s="5">
        <f>IF($A285="","",IFERROR(INDEX(FILTER('Client contacts'!$C$2:$C$500,('Client contacts'!$A$2:$A$500=$A285)*('Client contacts'!$G$2:$G$500="Y"),""),2),""))</f>
        <v/>
      </c>
      <c r="J285" s="8" t="n"/>
      <c r="K285" s="8" t="n"/>
      <c r="L285" s="8" t="n"/>
      <c r="M285" s="8" t="n"/>
      <c r="N285" s="8" t="n"/>
      <c r="O285" s="8" t="n"/>
      <c r="P285" s="8" t="n"/>
      <c r="Q285" s="8" t="n"/>
      <c r="R285" s="5">
        <f>IF($A285="","",IFERROR(INDEX(Companies!$I$2:$I$500,MATCH($A285,Companies!$A$2:$A$500,0)),""))</f>
        <v/>
      </c>
      <c r="S285" s="8" t="n"/>
      <c r="T285" s="8" t="n"/>
      <c r="U285" s="8" t="n"/>
      <c r="V285" s="8" t="n"/>
      <c r="W285" s="8" t="n"/>
    </row>
    <row r="286">
      <c r="C286" s="5">
        <f>IF($B286="","",TRIM(IF(INDEX('MOA role matrix'!$B$2:$D$13,1,MATCH($B286,'MOA role matrix'!$B$1:$D$1,0))="Fill","Project initiator, ","")IF(INDEX('MOA role matrix'!$B$2:$D$13,1,MATCH($B286,'MOA role matrix'!$B$1:$D$1,0))="If finance","Project initiator (if finance), ","")IF(INDEX('MOA role matrix'!$B$2:$D$13,1,MATCH($B286,'MOA role matrix'!$B$1:$D$1,0))="Auto","Project initiator (auto), ","")IF(INDEX('MOA role matrix'!$B$2:$D$13,2,MATCH($B286,'MOA role matrix'!$B$1:$D$1,0))="Fill","MOA signers (client), ","")IF(INDEX('MOA role matrix'!$B$2:$D$13,2,MATCH($B286,'MOA role matrix'!$B$1:$D$1,0))="If finance","MOA signers (client) (if finance), ","")IF(INDEX('MOA role matrix'!$B$2:$D$13,2,MATCH($B286,'MOA role matrix'!$B$1:$D$1,0))="Auto","MOA signers (client) (auto), ","")IF(INDEX('MOA role matrix'!$B$2:$D$13,3,MATCH($B286,'MOA role matrix'!$B$1:$D$1,0))="Fill","CFO / Head of Finance, ","")IF(INDEX('MOA role matrix'!$B$2:$D$13,3,MATCH($B286,'MOA role matrix'!$B$1:$D$1,0))="If finance","CFO / Head of Finance (if finance), ","")IF(INDEX('MOA role matrix'!$B$2:$D$13,3,MATCH($B286,'MOA role matrix'!$B$1:$D$1,0))="Auto","CFO / Head of Finance (auto), ","")IF(INDEX('MOA role matrix'!$B$2:$D$13,4,MATCH($B286,'MOA role matrix'!$B$1:$D$1,0))="Fill","CEO / COO / GM, ","")IF(INDEX('MOA role matrix'!$B$2:$D$13,4,MATCH($B286,'MOA role matrix'!$B$1:$D$1,0))="If finance","CEO / COO / GM (if finance), ","")IF(INDEX('MOA role matrix'!$B$2:$D$13,4,MATCH($B286,'MOA role matrix'!$B$1:$D$1,0))="Auto","CEO / COO / GM (auto), ","")IF(INDEX('MOA role matrix'!$B$2:$D$13,5,MATCH($B286,'MOA role matrix'!$B$1:$D$1,0))="Fill","Board member 1, ","")IF(INDEX('MOA role matrix'!$B$2:$D$13,5,MATCH($B286,'MOA role matrix'!$B$1:$D$1,0))="If finance","Board member 1 (if finance), ","")IF(INDEX('MOA role matrix'!$B$2:$D$13,5,MATCH($B286,'MOA role matrix'!$B$1:$D$1,0))="Auto","Board member 1 (auto), ","")IF(INDEX('MOA role matrix'!$B$2:$D$13,6,MATCH($B286,'MOA role matrix'!$B$1:$D$1,0))="Fill","Board member 2, ","")IF(INDEX('MOA role matrix'!$B$2:$D$13,6,MATCH($B286,'MOA role matrix'!$B$1:$D$1,0))="If finance","Board member 2 (if finance), ","")IF(INDEX('MOA role matrix'!$B$2:$D$13,6,MATCH($B286,'MOA role matrix'!$B$1:$D$1,0))="Auto","Board member 2 (auto), ","")IF(INDEX('MOA role matrix'!$B$2:$D$13,7,MATCH($B286,'MOA role matrix'!$B$1:$D$1,0))="Fill","LOA holder 1, ","")IF(INDEX('MOA role matrix'!$B$2:$D$13,7,MATCH($B286,'MOA role matrix'!$B$1:$D$1,0))="If finance","LOA holder 1 (if finance), ","")IF(INDEX('MOA role matrix'!$B$2:$D$13,7,MATCH($B286,'MOA role matrix'!$B$1:$D$1,0))="Auto","LOA holder 1 (auto), ","")IF(INDEX('MOA role matrix'!$B$2:$D$13,8,MATCH($B286,'MOA role matrix'!$B$1:$D$1,0))="Fill","LOA holder 2, ","")IF(INDEX('MOA role matrix'!$B$2:$D$13,8,MATCH($B286,'MOA role matrix'!$B$1:$D$1,0))="If finance","LOA holder 2 (if finance), ","")IF(INDEX('MOA role matrix'!$B$2:$D$13,8,MATCH($B286,'MOA role matrix'!$B$1:$D$1,0))="Auto","LOA holder 2 (auto), ","")IF(INDEX('MOA role matrix'!$B$2:$D$13,9,MATCH($B286,'MOA role matrix'!$B$1:$D$1,0))="Fill","Senior Manager CoSec, ","")IF(INDEX('MOA role matrix'!$B$2:$D$13,9,MATCH($B286,'MOA role matrix'!$B$1:$D$1,0))="If finance","Senior Manager CoSec (if finance), ","")IF(INDEX('MOA role matrix'!$B$2:$D$13,9,MATCH($B286,'MOA role matrix'!$B$1:$D$1,0))="Auto","Senior Manager CoSec (auto), ","")IF(INDEX('MOA role matrix'!$B$2:$D$13,10,MATCH($B286,'MOA role matrix'!$B$1:$D$1,0))="Fill","Division MOI managers, ","")IF(INDEX('MOA role matrix'!$B$2:$D$13,10,MATCH($B286,'MOA role matrix'!$B$1:$D$1,0))="If finance","Division MOI managers (if finance), ","")IF(INDEX('MOA role matrix'!$B$2:$D$13,10,MATCH($B286,'MOA role matrix'!$B$1:$D$1,0))="Auto","Division MOI managers (auto), ","")IF(INDEX('MOA role matrix'!$B$2:$D$13,11,MATCH($B286,'MOA role matrix'!$B$1:$D$1,0))="Fill","Ms Teh (bank), ","")IF(INDEX('MOA role matrix'!$B$2:$D$13,11,MATCH($B286,'MOA role matrix'!$B$1:$D$1,0))="If finance","Ms Teh (bank) (if finance), ","")IF(INDEX('MOA role matrix'!$B$2:$D$13,11,MATCH($B286,'MOA role matrix'!$B$1:$D$1,0))="Auto","Ms Teh (bank) (auto), ","")IF(INDEX('MOA role matrix'!$B$2:$D$13,12,MATCH($B286,'MOA role matrix'!$B$1:$D$1,0))="Fill","DLCM, ","")IF(INDEX('MOA role matrix'!$B$2:$D$13,12,MATCH($B286,'MOA role matrix'!$B$1:$D$1,0))="If finance","DLCM (if finance), ","")IF(INDEX('MOA role matrix'!$B$2:$D$13,12,MATCH($B286,'MOA role matrix'!$B$1:$D$1,0))="Auto","DLCM (auto), ","")))</f>
        <v/>
      </c>
      <c r="D286" s="5">
        <f>IF($A286="","",IFERROR(INDEX(FILTER('Client contacts'!$B$2:$B$500,('Client contacts'!$A$2:$A$500=$A286)*('Client contacts'!$H$2:$H$500="Y"),""),1),""))</f>
        <v/>
      </c>
      <c r="E286" s="5">
        <f>IF($A286="","",IFERROR(INDEX(FILTER('Client contacts'!$C$2:$C$500,('Client contacts'!$A$2:$A$500=$A286)*('Client contacts'!$H$2:$H$500="Y"),""),1),""))</f>
        <v/>
      </c>
      <c r="F286" s="5">
        <f>IF($A286="","",IFERROR(INDEX(FILTER('Client contacts'!$B$2:$B$500,('Client contacts'!$A$2:$A$500=$A286)*('Client contacts'!$G$2:$G$500="Y"),""),1),""))</f>
        <v/>
      </c>
      <c r="G286" s="5">
        <f>IF($A286="","",IFERROR(INDEX(FILTER('Client contacts'!$C$2:$C$500,('Client contacts'!$A$2:$A$500=$A286)*('Client contacts'!$G$2:$G$500="Y"),""),1),""))</f>
        <v/>
      </c>
      <c r="H286" s="5">
        <f>IF($A286="","",IFERROR(INDEX(FILTER('Client contacts'!$B$2:$B$500,('Client contacts'!$A$2:$A$500=$A286)*('Client contacts'!$G$2:$G$500="Y"),""),2),""))</f>
        <v/>
      </c>
      <c r="I286" s="5">
        <f>IF($A286="","",IFERROR(INDEX(FILTER('Client contacts'!$C$2:$C$500,('Client contacts'!$A$2:$A$500=$A286)*('Client contacts'!$G$2:$G$500="Y"),""),2),""))</f>
        <v/>
      </c>
      <c r="J286" s="8" t="n"/>
      <c r="K286" s="8" t="n"/>
      <c r="L286" s="8" t="n"/>
      <c r="M286" s="8" t="n"/>
      <c r="N286" s="8" t="n"/>
      <c r="O286" s="8" t="n"/>
      <c r="P286" s="8" t="n"/>
      <c r="Q286" s="8" t="n"/>
      <c r="R286" s="5">
        <f>IF($A286="","",IFERROR(INDEX(Companies!$I$2:$I$500,MATCH($A286,Companies!$A$2:$A$500,0)),""))</f>
        <v/>
      </c>
      <c r="S286" s="8" t="n"/>
      <c r="T286" s="8" t="n"/>
      <c r="U286" s="8" t="n"/>
      <c r="V286" s="8" t="n"/>
      <c r="W286" s="8" t="n"/>
    </row>
    <row r="287">
      <c r="C287" s="5">
        <f>IF($B287="","",TRIM(IF(INDEX('MOA role matrix'!$B$2:$D$13,1,MATCH($B287,'MOA role matrix'!$B$1:$D$1,0))="Fill","Project initiator, ","")IF(INDEX('MOA role matrix'!$B$2:$D$13,1,MATCH($B287,'MOA role matrix'!$B$1:$D$1,0))="If finance","Project initiator (if finance), ","")IF(INDEX('MOA role matrix'!$B$2:$D$13,1,MATCH($B287,'MOA role matrix'!$B$1:$D$1,0))="Auto","Project initiator (auto), ","")IF(INDEX('MOA role matrix'!$B$2:$D$13,2,MATCH($B287,'MOA role matrix'!$B$1:$D$1,0))="Fill","MOA signers (client), ","")IF(INDEX('MOA role matrix'!$B$2:$D$13,2,MATCH($B287,'MOA role matrix'!$B$1:$D$1,0))="If finance","MOA signers (client) (if finance), ","")IF(INDEX('MOA role matrix'!$B$2:$D$13,2,MATCH($B287,'MOA role matrix'!$B$1:$D$1,0))="Auto","MOA signers (client) (auto), ","")IF(INDEX('MOA role matrix'!$B$2:$D$13,3,MATCH($B287,'MOA role matrix'!$B$1:$D$1,0))="Fill","CFO / Head of Finance, ","")IF(INDEX('MOA role matrix'!$B$2:$D$13,3,MATCH($B287,'MOA role matrix'!$B$1:$D$1,0))="If finance","CFO / Head of Finance (if finance), ","")IF(INDEX('MOA role matrix'!$B$2:$D$13,3,MATCH($B287,'MOA role matrix'!$B$1:$D$1,0))="Auto","CFO / Head of Finance (auto), ","")IF(INDEX('MOA role matrix'!$B$2:$D$13,4,MATCH($B287,'MOA role matrix'!$B$1:$D$1,0))="Fill","CEO / COO / GM, ","")IF(INDEX('MOA role matrix'!$B$2:$D$13,4,MATCH($B287,'MOA role matrix'!$B$1:$D$1,0))="If finance","CEO / COO / GM (if finance), ","")IF(INDEX('MOA role matrix'!$B$2:$D$13,4,MATCH($B287,'MOA role matrix'!$B$1:$D$1,0))="Auto","CEO / COO / GM (auto), ","")IF(INDEX('MOA role matrix'!$B$2:$D$13,5,MATCH($B287,'MOA role matrix'!$B$1:$D$1,0))="Fill","Board member 1, ","")IF(INDEX('MOA role matrix'!$B$2:$D$13,5,MATCH($B287,'MOA role matrix'!$B$1:$D$1,0))="If finance","Board member 1 (if finance), ","")IF(INDEX('MOA role matrix'!$B$2:$D$13,5,MATCH($B287,'MOA role matrix'!$B$1:$D$1,0))="Auto","Board member 1 (auto), ","")IF(INDEX('MOA role matrix'!$B$2:$D$13,6,MATCH($B287,'MOA role matrix'!$B$1:$D$1,0))="Fill","Board member 2, ","")IF(INDEX('MOA role matrix'!$B$2:$D$13,6,MATCH($B287,'MOA role matrix'!$B$1:$D$1,0))="If finance","Board member 2 (if finance), ","")IF(INDEX('MOA role matrix'!$B$2:$D$13,6,MATCH($B287,'MOA role matrix'!$B$1:$D$1,0))="Auto","Board member 2 (auto), ","")IF(INDEX('MOA role matrix'!$B$2:$D$13,7,MATCH($B287,'MOA role matrix'!$B$1:$D$1,0))="Fill","LOA holder 1, ","")IF(INDEX('MOA role matrix'!$B$2:$D$13,7,MATCH($B287,'MOA role matrix'!$B$1:$D$1,0))="If finance","LOA holder 1 (if finance), ","")IF(INDEX('MOA role matrix'!$B$2:$D$13,7,MATCH($B287,'MOA role matrix'!$B$1:$D$1,0))="Auto","LOA holder 1 (auto), ","")IF(INDEX('MOA role matrix'!$B$2:$D$13,8,MATCH($B287,'MOA role matrix'!$B$1:$D$1,0))="Fill","LOA holder 2, ","")IF(INDEX('MOA role matrix'!$B$2:$D$13,8,MATCH($B287,'MOA role matrix'!$B$1:$D$1,0))="If finance","LOA holder 2 (if finance), ","")IF(INDEX('MOA role matrix'!$B$2:$D$13,8,MATCH($B287,'MOA role matrix'!$B$1:$D$1,0))="Auto","LOA holder 2 (auto), ","")IF(INDEX('MOA role matrix'!$B$2:$D$13,9,MATCH($B287,'MOA role matrix'!$B$1:$D$1,0))="Fill","Senior Manager CoSec, ","")IF(INDEX('MOA role matrix'!$B$2:$D$13,9,MATCH($B287,'MOA role matrix'!$B$1:$D$1,0))="If finance","Senior Manager CoSec (if finance), ","")IF(INDEX('MOA role matrix'!$B$2:$D$13,9,MATCH($B287,'MOA role matrix'!$B$1:$D$1,0))="Auto","Senior Manager CoSec (auto), ","")IF(INDEX('MOA role matrix'!$B$2:$D$13,10,MATCH($B287,'MOA role matrix'!$B$1:$D$1,0))="Fill","Division MOI managers, ","")IF(INDEX('MOA role matrix'!$B$2:$D$13,10,MATCH($B287,'MOA role matrix'!$B$1:$D$1,0))="If finance","Division MOI managers (if finance), ","")IF(INDEX('MOA role matrix'!$B$2:$D$13,10,MATCH($B287,'MOA role matrix'!$B$1:$D$1,0))="Auto","Division MOI managers (auto), ","")IF(INDEX('MOA role matrix'!$B$2:$D$13,11,MATCH($B287,'MOA role matrix'!$B$1:$D$1,0))="Fill","Ms Teh (bank), ","")IF(INDEX('MOA role matrix'!$B$2:$D$13,11,MATCH($B287,'MOA role matrix'!$B$1:$D$1,0))="If finance","Ms Teh (bank) (if finance), ","")IF(INDEX('MOA role matrix'!$B$2:$D$13,11,MATCH($B287,'MOA role matrix'!$B$1:$D$1,0))="Auto","Ms Teh (bank) (auto), ","")IF(INDEX('MOA role matrix'!$B$2:$D$13,12,MATCH($B287,'MOA role matrix'!$B$1:$D$1,0))="Fill","DLCM, ","")IF(INDEX('MOA role matrix'!$B$2:$D$13,12,MATCH($B287,'MOA role matrix'!$B$1:$D$1,0))="If finance","DLCM (if finance), ","")IF(INDEX('MOA role matrix'!$B$2:$D$13,12,MATCH($B287,'MOA role matrix'!$B$1:$D$1,0))="Auto","DLCM (auto), ","")))</f>
        <v/>
      </c>
      <c r="D287" s="5">
        <f>IF($A287="","",IFERROR(INDEX(FILTER('Client contacts'!$B$2:$B$500,('Client contacts'!$A$2:$A$500=$A287)*('Client contacts'!$H$2:$H$500="Y"),""),1),""))</f>
        <v/>
      </c>
      <c r="E287" s="5">
        <f>IF($A287="","",IFERROR(INDEX(FILTER('Client contacts'!$C$2:$C$500,('Client contacts'!$A$2:$A$500=$A287)*('Client contacts'!$H$2:$H$500="Y"),""),1),""))</f>
        <v/>
      </c>
      <c r="F287" s="5">
        <f>IF($A287="","",IFERROR(INDEX(FILTER('Client contacts'!$B$2:$B$500,('Client contacts'!$A$2:$A$500=$A287)*('Client contacts'!$G$2:$G$500="Y"),""),1),""))</f>
        <v/>
      </c>
      <c r="G287" s="5">
        <f>IF($A287="","",IFERROR(INDEX(FILTER('Client contacts'!$C$2:$C$500,('Client contacts'!$A$2:$A$500=$A287)*('Client contacts'!$G$2:$G$500="Y"),""),1),""))</f>
        <v/>
      </c>
      <c r="H287" s="5">
        <f>IF($A287="","",IFERROR(INDEX(FILTER('Client contacts'!$B$2:$B$500,('Client contacts'!$A$2:$A$500=$A287)*('Client contacts'!$G$2:$G$500="Y"),""),2),""))</f>
        <v/>
      </c>
      <c r="I287" s="5">
        <f>IF($A287="","",IFERROR(INDEX(FILTER('Client contacts'!$C$2:$C$500,('Client contacts'!$A$2:$A$500=$A287)*('Client contacts'!$G$2:$G$500="Y"),""),2),""))</f>
        <v/>
      </c>
      <c r="J287" s="8" t="n"/>
      <c r="K287" s="8" t="n"/>
      <c r="L287" s="8" t="n"/>
      <c r="M287" s="8" t="n"/>
      <c r="N287" s="8" t="n"/>
      <c r="O287" s="8" t="n"/>
      <c r="P287" s="8" t="n"/>
      <c r="Q287" s="8" t="n"/>
      <c r="R287" s="5">
        <f>IF($A287="","",IFERROR(INDEX(Companies!$I$2:$I$500,MATCH($A287,Companies!$A$2:$A$500,0)),""))</f>
        <v/>
      </c>
      <c r="S287" s="8" t="n"/>
      <c r="T287" s="8" t="n"/>
      <c r="U287" s="8" t="n"/>
      <c r="V287" s="8" t="n"/>
      <c r="W287" s="8" t="n"/>
    </row>
    <row r="288">
      <c r="C288" s="5">
        <f>IF($B288="","",TRIM(IF(INDEX('MOA role matrix'!$B$2:$D$13,1,MATCH($B288,'MOA role matrix'!$B$1:$D$1,0))="Fill","Project initiator, ","")IF(INDEX('MOA role matrix'!$B$2:$D$13,1,MATCH($B288,'MOA role matrix'!$B$1:$D$1,0))="If finance","Project initiator (if finance), ","")IF(INDEX('MOA role matrix'!$B$2:$D$13,1,MATCH($B288,'MOA role matrix'!$B$1:$D$1,0))="Auto","Project initiator (auto), ","")IF(INDEX('MOA role matrix'!$B$2:$D$13,2,MATCH($B288,'MOA role matrix'!$B$1:$D$1,0))="Fill","MOA signers (client), ","")IF(INDEX('MOA role matrix'!$B$2:$D$13,2,MATCH($B288,'MOA role matrix'!$B$1:$D$1,0))="If finance","MOA signers (client) (if finance), ","")IF(INDEX('MOA role matrix'!$B$2:$D$13,2,MATCH($B288,'MOA role matrix'!$B$1:$D$1,0))="Auto","MOA signers (client) (auto), ","")IF(INDEX('MOA role matrix'!$B$2:$D$13,3,MATCH($B288,'MOA role matrix'!$B$1:$D$1,0))="Fill","CFO / Head of Finance, ","")IF(INDEX('MOA role matrix'!$B$2:$D$13,3,MATCH($B288,'MOA role matrix'!$B$1:$D$1,0))="If finance","CFO / Head of Finance (if finance), ","")IF(INDEX('MOA role matrix'!$B$2:$D$13,3,MATCH($B288,'MOA role matrix'!$B$1:$D$1,0))="Auto","CFO / Head of Finance (auto), ","")IF(INDEX('MOA role matrix'!$B$2:$D$13,4,MATCH($B288,'MOA role matrix'!$B$1:$D$1,0))="Fill","CEO / COO / GM, ","")IF(INDEX('MOA role matrix'!$B$2:$D$13,4,MATCH($B288,'MOA role matrix'!$B$1:$D$1,0))="If finance","CEO / COO / GM (if finance), ","")IF(INDEX('MOA role matrix'!$B$2:$D$13,4,MATCH($B288,'MOA role matrix'!$B$1:$D$1,0))="Auto","CEO / COO / GM (auto), ","")IF(INDEX('MOA role matrix'!$B$2:$D$13,5,MATCH($B288,'MOA role matrix'!$B$1:$D$1,0))="Fill","Board member 1, ","")IF(INDEX('MOA role matrix'!$B$2:$D$13,5,MATCH($B288,'MOA role matrix'!$B$1:$D$1,0))="If finance","Board member 1 (if finance), ","")IF(INDEX('MOA role matrix'!$B$2:$D$13,5,MATCH($B288,'MOA role matrix'!$B$1:$D$1,0))="Auto","Board member 1 (auto), ","")IF(INDEX('MOA role matrix'!$B$2:$D$13,6,MATCH($B288,'MOA role matrix'!$B$1:$D$1,0))="Fill","Board member 2, ","")IF(INDEX('MOA role matrix'!$B$2:$D$13,6,MATCH($B288,'MOA role matrix'!$B$1:$D$1,0))="If finance","Board member 2 (if finance), ","")IF(INDEX('MOA role matrix'!$B$2:$D$13,6,MATCH($B288,'MOA role matrix'!$B$1:$D$1,0))="Auto","Board member 2 (auto), ","")IF(INDEX('MOA role matrix'!$B$2:$D$13,7,MATCH($B288,'MOA role matrix'!$B$1:$D$1,0))="Fill","LOA holder 1, ","")IF(INDEX('MOA role matrix'!$B$2:$D$13,7,MATCH($B288,'MOA role matrix'!$B$1:$D$1,0))="If finance","LOA holder 1 (if finance), ","")IF(INDEX('MOA role matrix'!$B$2:$D$13,7,MATCH($B288,'MOA role matrix'!$B$1:$D$1,0))="Auto","LOA holder 1 (auto), ","")IF(INDEX('MOA role matrix'!$B$2:$D$13,8,MATCH($B288,'MOA role matrix'!$B$1:$D$1,0))="Fill","LOA holder 2, ","")IF(INDEX('MOA role matrix'!$B$2:$D$13,8,MATCH($B288,'MOA role matrix'!$B$1:$D$1,0))="If finance","LOA holder 2 (if finance), ","")IF(INDEX('MOA role matrix'!$B$2:$D$13,8,MATCH($B288,'MOA role matrix'!$B$1:$D$1,0))="Auto","LOA holder 2 (auto), ","")IF(INDEX('MOA role matrix'!$B$2:$D$13,9,MATCH($B288,'MOA role matrix'!$B$1:$D$1,0))="Fill","Senior Manager CoSec, ","")IF(INDEX('MOA role matrix'!$B$2:$D$13,9,MATCH($B288,'MOA role matrix'!$B$1:$D$1,0))="If finance","Senior Manager CoSec (if finance), ","")IF(INDEX('MOA role matrix'!$B$2:$D$13,9,MATCH($B288,'MOA role matrix'!$B$1:$D$1,0))="Auto","Senior Manager CoSec (auto), ","")IF(INDEX('MOA role matrix'!$B$2:$D$13,10,MATCH($B288,'MOA role matrix'!$B$1:$D$1,0))="Fill","Division MOI managers, ","")IF(INDEX('MOA role matrix'!$B$2:$D$13,10,MATCH($B288,'MOA role matrix'!$B$1:$D$1,0))="If finance","Division MOI managers (if finance), ","")IF(INDEX('MOA role matrix'!$B$2:$D$13,10,MATCH($B288,'MOA role matrix'!$B$1:$D$1,0))="Auto","Division MOI managers (auto), ","")IF(INDEX('MOA role matrix'!$B$2:$D$13,11,MATCH($B288,'MOA role matrix'!$B$1:$D$1,0))="Fill","Ms Teh (bank), ","")IF(INDEX('MOA role matrix'!$B$2:$D$13,11,MATCH($B288,'MOA role matrix'!$B$1:$D$1,0))="If finance","Ms Teh (bank) (if finance), ","")IF(INDEX('MOA role matrix'!$B$2:$D$13,11,MATCH($B288,'MOA role matrix'!$B$1:$D$1,0))="Auto","Ms Teh (bank) (auto), ","")IF(INDEX('MOA role matrix'!$B$2:$D$13,12,MATCH($B288,'MOA role matrix'!$B$1:$D$1,0))="Fill","DLCM, ","")IF(INDEX('MOA role matrix'!$B$2:$D$13,12,MATCH($B288,'MOA role matrix'!$B$1:$D$1,0))="If finance","DLCM (if finance), ","")IF(INDEX('MOA role matrix'!$B$2:$D$13,12,MATCH($B288,'MOA role matrix'!$B$1:$D$1,0))="Auto","DLCM (auto), ","")))</f>
        <v/>
      </c>
      <c r="D288" s="5">
        <f>IF($A288="","",IFERROR(INDEX(FILTER('Client contacts'!$B$2:$B$500,('Client contacts'!$A$2:$A$500=$A288)*('Client contacts'!$H$2:$H$500="Y"),""),1),""))</f>
        <v/>
      </c>
      <c r="E288" s="5">
        <f>IF($A288="","",IFERROR(INDEX(FILTER('Client contacts'!$C$2:$C$500,('Client contacts'!$A$2:$A$500=$A288)*('Client contacts'!$H$2:$H$500="Y"),""),1),""))</f>
        <v/>
      </c>
      <c r="F288" s="5">
        <f>IF($A288="","",IFERROR(INDEX(FILTER('Client contacts'!$B$2:$B$500,('Client contacts'!$A$2:$A$500=$A288)*('Client contacts'!$G$2:$G$500="Y"),""),1),""))</f>
        <v/>
      </c>
      <c r="G288" s="5">
        <f>IF($A288="","",IFERROR(INDEX(FILTER('Client contacts'!$C$2:$C$500,('Client contacts'!$A$2:$A$500=$A288)*('Client contacts'!$G$2:$G$500="Y"),""),1),""))</f>
        <v/>
      </c>
      <c r="H288" s="5">
        <f>IF($A288="","",IFERROR(INDEX(FILTER('Client contacts'!$B$2:$B$500,('Client contacts'!$A$2:$A$500=$A288)*('Client contacts'!$G$2:$G$500="Y"),""),2),""))</f>
        <v/>
      </c>
      <c r="I288" s="5">
        <f>IF($A288="","",IFERROR(INDEX(FILTER('Client contacts'!$C$2:$C$500,('Client contacts'!$A$2:$A$500=$A288)*('Client contacts'!$G$2:$G$500="Y"),""),2),""))</f>
        <v/>
      </c>
      <c r="J288" s="8" t="n"/>
      <c r="K288" s="8" t="n"/>
      <c r="L288" s="8" t="n"/>
      <c r="M288" s="8" t="n"/>
      <c r="N288" s="8" t="n"/>
      <c r="O288" s="8" t="n"/>
      <c r="P288" s="8" t="n"/>
      <c r="Q288" s="8" t="n"/>
      <c r="R288" s="5">
        <f>IF($A288="","",IFERROR(INDEX(Companies!$I$2:$I$500,MATCH($A288,Companies!$A$2:$A$500,0)),""))</f>
        <v/>
      </c>
      <c r="S288" s="8" t="n"/>
      <c r="T288" s="8" t="n"/>
      <c r="U288" s="8" t="n"/>
      <c r="V288" s="8" t="n"/>
      <c r="W288" s="8" t="n"/>
    </row>
    <row r="289">
      <c r="C289" s="5">
        <f>IF($B289="","",TRIM(IF(INDEX('MOA role matrix'!$B$2:$D$13,1,MATCH($B289,'MOA role matrix'!$B$1:$D$1,0))="Fill","Project initiator, ","")IF(INDEX('MOA role matrix'!$B$2:$D$13,1,MATCH($B289,'MOA role matrix'!$B$1:$D$1,0))="If finance","Project initiator (if finance), ","")IF(INDEX('MOA role matrix'!$B$2:$D$13,1,MATCH($B289,'MOA role matrix'!$B$1:$D$1,0))="Auto","Project initiator (auto), ","")IF(INDEX('MOA role matrix'!$B$2:$D$13,2,MATCH($B289,'MOA role matrix'!$B$1:$D$1,0))="Fill","MOA signers (client), ","")IF(INDEX('MOA role matrix'!$B$2:$D$13,2,MATCH($B289,'MOA role matrix'!$B$1:$D$1,0))="If finance","MOA signers (client) (if finance), ","")IF(INDEX('MOA role matrix'!$B$2:$D$13,2,MATCH($B289,'MOA role matrix'!$B$1:$D$1,0))="Auto","MOA signers (client) (auto), ","")IF(INDEX('MOA role matrix'!$B$2:$D$13,3,MATCH($B289,'MOA role matrix'!$B$1:$D$1,0))="Fill","CFO / Head of Finance, ","")IF(INDEX('MOA role matrix'!$B$2:$D$13,3,MATCH($B289,'MOA role matrix'!$B$1:$D$1,0))="If finance","CFO / Head of Finance (if finance), ","")IF(INDEX('MOA role matrix'!$B$2:$D$13,3,MATCH($B289,'MOA role matrix'!$B$1:$D$1,0))="Auto","CFO / Head of Finance (auto), ","")IF(INDEX('MOA role matrix'!$B$2:$D$13,4,MATCH($B289,'MOA role matrix'!$B$1:$D$1,0))="Fill","CEO / COO / GM, ","")IF(INDEX('MOA role matrix'!$B$2:$D$13,4,MATCH($B289,'MOA role matrix'!$B$1:$D$1,0))="If finance","CEO / COO / GM (if finance), ","")IF(INDEX('MOA role matrix'!$B$2:$D$13,4,MATCH($B289,'MOA role matrix'!$B$1:$D$1,0))="Auto","CEO / COO / GM (auto), ","")IF(INDEX('MOA role matrix'!$B$2:$D$13,5,MATCH($B289,'MOA role matrix'!$B$1:$D$1,0))="Fill","Board member 1, ","")IF(INDEX('MOA role matrix'!$B$2:$D$13,5,MATCH($B289,'MOA role matrix'!$B$1:$D$1,0))="If finance","Board member 1 (if finance), ","")IF(INDEX('MOA role matrix'!$B$2:$D$13,5,MATCH($B289,'MOA role matrix'!$B$1:$D$1,0))="Auto","Board member 1 (auto), ","")IF(INDEX('MOA role matrix'!$B$2:$D$13,6,MATCH($B289,'MOA role matrix'!$B$1:$D$1,0))="Fill","Board member 2, ","")IF(INDEX('MOA role matrix'!$B$2:$D$13,6,MATCH($B289,'MOA role matrix'!$B$1:$D$1,0))="If finance","Board member 2 (if finance), ","")IF(INDEX('MOA role matrix'!$B$2:$D$13,6,MATCH($B289,'MOA role matrix'!$B$1:$D$1,0))="Auto","Board member 2 (auto), ","")IF(INDEX('MOA role matrix'!$B$2:$D$13,7,MATCH($B289,'MOA role matrix'!$B$1:$D$1,0))="Fill","LOA holder 1, ","")IF(INDEX('MOA role matrix'!$B$2:$D$13,7,MATCH($B289,'MOA role matrix'!$B$1:$D$1,0))="If finance","LOA holder 1 (if finance), ","")IF(INDEX('MOA role matrix'!$B$2:$D$13,7,MATCH($B289,'MOA role matrix'!$B$1:$D$1,0))="Auto","LOA holder 1 (auto), ","")IF(INDEX('MOA role matrix'!$B$2:$D$13,8,MATCH($B289,'MOA role matrix'!$B$1:$D$1,0))="Fill","LOA holder 2, ","")IF(INDEX('MOA role matrix'!$B$2:$D$13,8,MATCH($B289,'MOA role matrix'!$B$1:$D$1,0))="If finance","LOA holder 2 (if finance), ","")IF(INDEX('MOA role matrix'!$B$2:$D$13,8,MATCH($B289,'MOA role matrix'!$B$1:$D$1,0))="Auto","LOA holder 2 (auto), ","")IF(INDEX('MOA role matrix'!$B$2:$D$13,9,MATCH($B289,'MOA role matrix'!$B$1:$D$1,0))="Fill","Senior Manager CoSec, ","")IF(INDEX('MOA role matrix'!$B$2:$D$13,9,MATCH($B289,'MOA role matrix'!$B$1:$D$1,0))="If finance","Senior Manager CoSec (if finance), ","")IF(INDEX('MOA role matrix'!$B$2:$D$13,9,MATCH($B289,'MOA role matrix'!$B$1:$D$1,0))="Auto","Senior Manager CoSec (auto), ","")IF(INDEX('MOA role matrix'!$B$2:$D$13,10,MATCH($B289,'MOA role matrix'!$B$1:$D$1,0))="Fill","Division MOI managers, ","")IF(INDEX('MOA role matrix'!$B$2:$D$13,10,MATCH($B289,'MOA role matrix'!$B$1:$D$1,0))="If finance","Division MOI managers (if finance), ","")IF(INDEX('MOA role matrix'!$B$2:$D$13,10,MATCH($B289,'MOA role matrix'!$B$1:$D$1,0))="Auto","Division MOI managers (auto), ","")IF(INDEX('MOA role matrix'!$B$2:$D$13,11,MATCH($B289,'MOA role matrix'!$B$1:$D$1,0))="Fill","Ms Teh (bank), ","")IF(INDEX('MOA role matrix'!$B$2:$D$13,11,MATCH($B289,'MOA role matrix'!$B$1:$D$1,0))="If finance","Ms Teh (bank) (if finance), ","")IF(INDEX('MOA role matrix'!$B$2:$D$13,11,MATCH($B289,'MOA role matrix'!$B$1:$D$1,0))="Auto","Ms Teh (bank) (auto), ","")IF(INDEX('MOA role matrix'!$B$2:$D$13,12,MATCH($B289,'MOA role matrix'!$B$1:$D$1,0))="Fill","DLCM, ","")IF(INDEX('MOA role matrix'!$B$2:$D$13,12,MATCH($B289,'MOA role matrix'!$B$1:$D$1,0))="If finance","DLCM (if finance), ","")IF(INDEX('MOA role matrix'!$B$2:$D$13,12,MATCH($B289,'MOA role matrix'!$B$1:$D$1,0))="Auto","DLCM (auto), ","")))</f>
        <v/>
      </c>
      <c r="D289" s="5">
        <f>IF($A289="","",IFERROR(INDEX(FILTER('Client contacts'!$B$2:$B$500,('Client contacts'!$A$2:$A$500=$A289)*('Client contacts'!$H$2:$H$500="Y"),""),1),""))</f>
        <v/>
      </c>
      <c r="E289" s="5">
        <f>IF($A289="","",IFERROR(INDEX(FILTER('Client contacts'!$C$2:$C$500,('Client contacts'!$A$2:$A$500=$A289)*('Client contacts'!$H$2:$H$500="Y"),""),1),""))</f>
        <v/>
      </c>
      <c r="F289" s="5">
        <f>IF($A289="","",IFERROR(INDEX(FILTER('Client contacts'!$B$2:$B$500,('Client contacts'!$A$2:$A$500=$A289)*('Client contacts'!$G$2:$G$500="Y"),""),1),""))</f>
        <v/>
      </c>
      <c r="G289" s="5">
        <f>IF($A289="","",IFERROR(INDEX(FILTER('Client contacts'!$C$2:$C$500,('Client contacts'!$A$2:$A$500=$A289)*('Client contacts'!$G$2:$G$500="Y"),""),1),""))</f>
        <v/>
      </c>
      <c r="H289" s="5">
        <f>IF($A289="","",IFERROR(INDEX(FILTER('Client contacts'!$B$2:$B$500,('Client contacts'!$A$2:$A$500=$A289)*('Client contacts'!$G$2:$G$500="Y"),""),2),""))</f>
        <v/>
      </c>
      <c r="I289" s="5">
        <f>IF($A289="","",IFERROR(INDEX(FILTER('Client contacts'!$C$2:$C$500,('Client contacts'!$A$2:$A$500=$A289)*('Client contacts'!$G$2:$G$500="Y"),""),2),""))</f>
        <v/>
      </c>
      <c r="J289" s="8" t="n"/>
      <c r="K289" s="8" t="n"/>
      <c r="L289" s="8" t="n"/>
      <c r="M289" s="8" t="n"/>
      <c r="N289" s="8" t="n"/>
      <c r="O289" s="8" t="n"/>
      <c r="P289" s="8" t="n"/>
      <c r="Q289" s="8" t="n"/>
      <c r="R289" s="5">
        <f>IF($A289="","",IFERROR(INDEX(Companies!$I$2:$I$500,MATCH($A289,Companies!$A$2:$A$500,0)),""))</f>
        <v/>
      </c>
      <c r="S289" s="8" t="n"/>
      <c r="T289" s="8" t="n"/>
      <c r="U289" s="8" t="n"/>
      <c r="V289" s="8" t="n"/>
      <c r="W289" s="8" t="n"/>
    </row>
    <row r="290">
      <c r="C290" s="5">
        <f>IF($B290="","",TRIM(IF(INDEX('MOA role matrix'!$B$2:$D$13,1,MATCH($B290,'MOA role matrix'!$B$1:$D$1,0))="Fill","Project initiator, ","")IF(INDEX('MOA role matrix'!$B$2:$D$13,1,MATCH($B290,'MOA role matrix'!$B$1:$D$1,0))="If finance","Project initiator (if finance), ","")IF(INDEX('MOA role matrix'!$B$2:$D$13,1,MATCH($B290,'MOA role matrix'!$B$1:$D$1,0))="Auto","Project initiator (auto), ","")IF(INDEX('MOA role matrix'!$B$2:$D$13,2,MATCH($B290,'MOA role matrix'!$B$1:$D$1,0))="Fill","MOA signers (client), ","")IF(INDEX('MOA role matrix'!$B$2:$D$13,2,MATCH($B290,'MOA role matrix'!$B$1:$D$1,0))="If finance","MOA signers (client) (if finance), ","")IF(INDEX('MOA role matrix'!$B$2:$D$13,2,MATCH($B290,'MOA role matrix'!$B$1:$D$1,0))="Auto","MOA signers (client) (auto), ","")IF(INDEX('MOA role matrix'!$B$2:$D$13,3,MATCH($B290,'MOA role matrix'!$B$1:$D$1,0))="Fill","CFO / Head of Finance, ","")IF(INDEX('MOA role matrix'!$B$2:$D$13,3,MATCH($B290,'MOA role matrix'!$B$1:$D$1,0))="If finance","CFO / Head of Finance (if finance), ","")IF(INDEX('MOA role matrix'!$B$2:$D$13,3,MATCH($B290,'MOA role matrix'!$B$1:$D$1,0))="Auto","CFO / Head of Finance (auto), ","")IF(INDEX('MOA role matrix'!$B$2:$D$13,4,MATCH($B290,'MOA role matrix'!$B$1:$D$1,0))="Fill","CEO / COO / GM, ","")IF(INDEX('MOA role matrix'!$B$2:$D$13,4,MATCH($B290,'MOA role matrix'!$B$1:$D$1,0))="If finance","CEO / COO / GM (if finance), ","")IF(INDEX('MOA role matrix'!$B$2:$D$13,4,MATCH($B290,'MOA role matrix'!$B$1:$D$1,0))="Auto","CEO / COO / GM (auto), ","")IF(INDEX('MOA role matrix'!$B$2:$D$13,5,MATCH($B290,'MOA role matrix'!$B$1:$D$1,0))="Fill","Board member 1, ","")IF(INDEX('MOA role matrix'!$B$2:$D$13,5,MATCH($B290,'MOA role matrix'!$B$1:$D$1,0))="If finance","Board member 1 (if finance), ","")IF(INDEX('MOA role matrix'!$B$2:$D$13,5,MATCH($B290,'MOA role matrix'!$B$1:$D$1,0))="Auto","Board member 1 (auto), ","")IF(INDEX('MOA role matrix'!$B$2:$D$13,6,MATCH($B290,'MOA role matrix'!$B$1:$D$1,0))="Fill","Board member 2, ","")IF(INDEX('MOA role matrix'!$B$2:$D$13,6,MATCH($B290,'MOA role matrix'!$B$1:$D$1,0))="If finance","Board member 2 (if finance), ","")IF(INDEX('MOA role matrix'!$B$2:$D$13,6,MATCH($B290,'MOA role matrix'!$B$1:$D$1,0))="Auto","Board member 2 (auto), ","")IF(INDEX('MOA role matrix'!$B$2:$D$13,7,MATCH($B290,'MOA role matrix'!$B$1:$D$1,0))="Fill","LOA holder 1, ","")IF(INDEX('MOA role matrix'!$B$2:$D$13,7,MATCH($B290,'MOA role matrix'!$B$1:$D$1,0))="If finance","LOA holder 1 (if finance), ","")IF(INDEX('MOA role matrix'!$B$2:$D$13,7,MATCH($B290,'MOA role matrix'!$B$1:$D$1,0))="Auto","LOA holder 1 (auto), ","")IF(INDEX('MOA role matrix'!$B$2:$D$13,8,MATCH($B290,'MOA role matrix'!$B$1:$D$1,0))="Fill","LOA holder 2, ","")IF(INDEX('MOA role matrix'!$B$2:$D$13,8,MATCH($B290,'MOA role matrix'!$B$1:$D$1,0))="If finance","LOA holder 2 (if finance), ","")IF(INDEX('MOA role matrix'!$B$2:$D$13,8,MATCH($B290,'MOA role matrix'!$B$1:$D$1,0))="Auto","LOA holder 2 (auto), ","")IF(INDEX('MOA role matrix'!$B$2:$D$13,9,MATCH($B290,'MOA role matrix'!$B$1:$D$1,0))="Fill","Senior Manager CoSec, ","")IF(INDEX('MOA role matrix'!$B$2:$D$13,9,MATCH($B290,'MOA role matrix'!$B$1:$D$1,0))="If finance","Senior Manager CoSec (if finance), ","")IF(INDEX('MOA role matrix'!$B$2:$D$13,9,MATCH($B290,'MOA role matrix'!$B$1:$D$1,0))="Auto","Senior Manager CoSec (auto), ","")IF(INDEX('MOA role matrix'!$B$2:$D$13,10,MATCH($B290,'MOA role matrix'!$B$1:$D$1,0))="Fill","Division MOI managers, ","")IF(INDEX('MOA role matrix'!$B$2:$D$13,10,MATCH($B290,'MOA role matrix'!$B$1:$D$1,0))="If finance","Division MOI managers (if finance), ","")IF(INDEX('MOA role matrix'!$B$2:$D$13,10,MATCH($B290,'MOA role matrix'!$B$1:$D$1,0))="Auto","Division MOI managers (auto), ","")IF(INDEX('MOA role matrix'!$B$2:$D$13,11,MATCH($B290,'MOA role matrix'!$B$1:$D$1,0))="Fill","Ms Teh (bank), ","")IF(INDEX('MOA role matrix'!$B$2:$D$13,11,MATCH($B290,'MOA role matrix'!$B$1:$D$1,0))="If finance","Ms Teh (bank) (if finance), ","")IF(INDEX('MOA role matrix'!$B$2:$D$13,11,MATCH($B290,'MOA role matrix'!$B$1:$D$1,0))="Auto","Ms Teh (bank) (auto), ","")IF(INDEX('MOA role matrix'!$B$2:$D$13,12,MATCH($B290,'MOA role matrix'!$B$1:$D$1,0))="Fill","DLCM, ","")IF(INDEX('MOA role matrix'!$B$2:$D$13,12,MATCH($B290,'MOA role matrix'!$B$1:$D$1,0))="If finance","DLCM (if finance), ","")IF(INDEX('MOA role matrix'!$B$2:$D$13,12,MATCH($B290,'MOA role matrix'!$B$1:$D$1,0))="Auto","DLCM (auto), ","")))</f>
        <v/>
      </c>
      <c r="D290" s="5">
        <f>IF($A290="","",IFERROR(INDEX(FILTER('Client contacts'!$B$2:$B$500,('Client contacts'!$A$2:$A$500=$A290)*('Client contacts'!$H$2:$H$500="Y"),""),1),""))</f>
        <v/>
      </c>
      <c r="E290" s="5">
        <f>IF($A290="","",IFERROR(INDEX(FILTER('Client contacts'!$C$2:$C$500,('Client contacts'!$A$2:$A$500=$A290)*('Client contacts'!$H$2:$H$500="Y"),""),1),""))</f>
        <v/>
      </c>
      <c r="F290" s="5">
        <f>IF($A290="","",IFERROR(INDEX(FILTER('Client contacts'!$B$2:$B$500,('Client contacts'!$A$2:$A$500=$A290)*('Client contacts'!$G$2:$G$500="Y"),""),1),""))</f>
        <v/>
      </c>
      <c r="G290" s="5">
        <f>IF($A290="","",IFERROR(INDEX(FILTER('Client contacts'!$C$2:$C$500,('Client contacts'!$A$2:$A$500=$A290)*('Client contacts'!$G$2:$G$500="Y"),""),1),""))</f>
        <v/>
      </c>
      <c r="H290" s="5">
        <f>IF($A290="","",IFERROR(INDEX(FILTER('Client contacts'!$B$2:$B$500,('Client contacts'!$A$2:$A$500=$A290)*('Client contacts'!$G$2:$G$500="Y"),""),2),""))</f>
        <v/>
      </c>
      <c r="I290" s="5">
        <f>IF($A290="","",IFERROR(INDEX(FILTER('Client contacts'!$C$2:$C$500,('Client contacts'!$A$2:$A$500=$A290)*('Client contacts'!$G$2:$G$500="Y"),""),2),""))</f>
        <v/>
      </c>
      <c r="J290" s="8" t="n"/>
      <c r="K290" s="8" t="n"/>
      <c r="L290" s="8" t="n"/>
      <c r="M290" s="8" t="n"/>
      <c r="N290" s="8" t="n"/>
      <c r="O290" s="8" t="n"/>
      <c r="P290" s="8" t="n"/>
      <c r="Q290" s="8" t="n"/>
      <c r="R290" s="5">
        <f>IF($A290="","",IFERROR(INDEX(Companies!$I$2:$I$500,MATCH($A290,Companies!$A$2:$A$500,0)),""))</f>
        <v/>
      </c>
      <c r="S290" s="8" t="n"/>
      <c r="T290" s="8" t="n"/>
      <c r="U290" s="8" t="n"/>
      <c r="V290" s="8" t="n"/>
      <c r="W290" s="8" t="n"/>
    </row>
    <row r="291">
      <c r="C291" s="5">
        <f>IF($B291="","",TRIM(IF(INDEX('MOA role matrix'!$B$2:$D$13,1,MATCH($B291,'MOA role matrix'!$B$1:$D$1,0))="Fill","Project initiator, ","")IF(INDEX('MOA role matrix'!$B$2:$D$13,1,MATCH($B291,'MOA role matrix'!$B$1:$D$1,0))="If finance","Project initiator (if finance), ","")IF(INDEX('MOA role matrix'!$B$2:$D$13,1,MATCH($B291,'MOA role matrix'!$B$1:$D$1,0))="Auto","Project initiator (auto), ","")IF(INDEX('MOA role matrix'!$B$2:$D$13,2,MATCH($B291,'MOA role matrix'!$B$1:$D$1,0))="Fill","MOA signers (client), ","")IF(INDEX('MOA role matrix'!$B$2:$D$13,2,MATCH($B291,'MOA role matrix'!$B$1:$D$1,0))="If finance","MOA signers (client) (if finance), ","")IF(INDEX('MOA role matrix'!$B$2:$D$13,2,MATCH($B291,'MOA role matrix'!$B$1:$D$1,0))="Auto","MOA signers (client) (auto), ","")IF(INDEX('MOA role matrix'!$B$2:$D$13,3,MATCH($B291,'MOA role matrix'!$B$1:$D$1,0))="Fill","CFO / Head of Finance, ","")IF(INDEX('MOA role matrix'!$B$2:$D$13,3,MATCH($B291,'MOA role matrix'!$B$1:$D$1,0))="If finance","CFO / Head of Finance (if finance), ","")IF(INDEX('MOA role matrix'!$B$2:$D$13,3,MATCH($B291,'MOA role matrix'!$B$1:$D$1,0))="Auto","CFO / Head of Finance (auto), ","")IF(INDEX('MOA role matrix'!$B$2:$D$13,4,MATCH($B291,'MOA role matrix'!$B$1:$D$1,0))="Fill","CEO / COO / GM, ","")IF(INDEX('MOA role matrix'!$B$2:$D$13,4,MATCH($B291,'MOA role matrix'!$B$1:$D$1,0))="If finance","CEO / COO / GM (if finance), ","")IF(INDEX('MOA role matrix'!$B$2:$D$13,4,MATCH($B291,'MOA role matrix'!$B$1:$D$1,0))="Auto","CEO / COO / GM (auto), ","")IF(INDEX('MOA role matrix'!$B$2:$D$13,5,MATCH($B291,'MOA role matrix'!$B$1:$D$1,0))="Fill","Board member 1, ","")IF(INDEX('MOA role matrix'!$B$2:$D$13,5,MATCH($B291,'MOA role matrix'!$B$1:$D$1,0))="If finance","Board member 1 (if finance), ","")IF(INDEX('MOA role matrix'!$B$2:$D$13,5,MATCH($B291,'MOA role matrix'!$B$1:$D$1,0))="Auto","Board member 1 (auto), ","")IF(INDEX('MOA role matrix'!$B$2:$D$13,6,MATCH($B291,'MOA role matrix'!$B$1:$D$1,0))="Fill","Board member 2, ","")IF(INDEX('MOA role matrix'!$B$2:$D$13,6,MATCH($B291,'MOA role matrix'!$B$1:$D$1,0))="If finance","Board member 2 (if finance), ","")IF(INDEX('MOA role matrix'!$B$2:$D$13,6,MATCH($B291,'MOA role matrix'!$B$1:$D$1,0))="Auto","Board member 2 (auto), ","")IF(INDEX('MOA role matrix'!$B$2:$D$13,7,MATCH($B291,'MOA role matrix'!$B$1:$D$1,0))="Fill","LOA holder 1, ","")IF(INDEX('MOA role matrix'!$B$2:$D$13,7,MATCH($B291,'MOA role matrix'!$B$1:$D$1,0))="If finance","LOA holder 1 (if finance), ","")IF(INDEX('MOA role matrix'!$B$2:$D$13,7,MATCH($B291,'MOA role matrix'!$B$1:$D$1,0))="Auto","LOA holder 1 (auto), ","")IF(INDEX('MOA role matrix'!$B$2:$D$13,8,MATCH($B291,'MOA role matrix'!$B$1:$D$1,0))="Fill","LOA holder 2, ","")IF(INDEX('MOA role matrix'!$B$2:$D$13,8,MATCH($B291,'MOA role matrix'!$B$1:$D$1,0))="If finance","LOA holder 2 (if finance), ","")IF(INDEX('MOA role matrix'!$B$2:$D$13,8,MATCH($B291,'MOA role matrix'!$B$1:$D$1,0))="Auto","LOA holder 2 (auto), ","")IF(INDEX('MOA role matrix'!$B$2:$D$13,9,MATCH($B291,'MOA role matrix'!$B$1:$D$1,0))="Fill","Senior Manager CoSec, ","")IF(INDEX('MOA role matrix'!$B$2:$D$13,9,MATCH($B291,'MOA role matrix'!$B$1:$D$1,0))="If finance","Senior Manager CoSec (if finance), ","")IF(INDEX('MOA role matrix'!$B$2:$D$13,9,MATCH($B291,'MOA role matrix'!$B$1:$D$1,0))="Auto","Senior Manager CoSec (auto), ","")IF(INDEX('MOA role matrix'!$B$2:$D$13,10,MATCH($B291,'MOA role matrix'!$B$1:$D$1,0))="Fill","Division MOI managers, ","")IF(INDEX('MOA role matrix'!$B$2:$D$13,10,MATCH($B291,'MOA role matrix'!$B$1:$D$1,0))="If finance","Division MOI managers (if finance), ","")IF(INDEX('MOA role matrix'!$B$2:$D$13,10,MATCH($B291,'MOA role matrix'!$B$1:$D$1,0))="Auto","Division MOI managers (auto), ","")IF(INDEX('MOA role matrix'!$B$2:$D$13,11,MATCH($B291,'MOA role matrix'!$B$1:$D$1,0))="Fill","Ms Teh (bank), ","")IF(INDEX('MOA role matrix'!$B$2:$D$13,11,MATCH($B291,'MOA role matrix'!$B$1:$D$1,0))="If finance","Ms Teh (bank) (if finance), ","")IF(INDEX('MOA role matrix'!$B$2:$D$13,11,MATCH($B291,'MOA role matrix'!$B$1:$D$1,0))="Auto","Ms Teh (bank) (auto), ","")IF(INDEX('MOA role matrix'!$B$2:$D$13,12,MATCH($B291,'MOA role matrix'!$B$1:$D$1,0))="Fill","DLCM, ","")IF(INDEX('MOA role matrix'!$B$2:$D$13,12,MATCH($B291,'MOA role matrix'!$B$1:$D$1,0))="If finance","DLCM (if finance), ","")IF(INDEX('MOA role matrix'!$B$2:$D$13,12,MATCH($B291,'MOA role matrix'!$B$1:$D$1,0))="Auto","DLCM (auto), ","")))</f>
        <v/>
      </c>
      <c r="D291" s="5">
        <f>IF($A291="","",IFERROR(INDEX(FILTER('Client contacts'!$B$2:$B$500,('Client contacts'!$A$2:$A$500=$A291)*('Client contacts'!$H$2:$H$500="Y"),""),1),""))</f>
        <v/>
      </c>
      <c r="E291" s="5">
        <f>IF($A291="","",IFERROR(INDEX(FILTER('Client contacts'!$C$2:$C$500,('Client contacts'!$A$2:$A$500=$A291)*('Client contacts'!$H$2:$H$500="Y"),""),1),""))</f>
        <v/>
      </c>
      <c r="F291" s="5">
        <f>IF($A291="","",IFERROR(INDEX(FILTER('Client contacts'!$B$2:$B$500,('Client contacts'!$A$2:$A$500=$A291)*('Client contacts'!$G$2:$G$500="Y"),""),1),""))</f>
        <v/>
      </c>
      <c r="G291" s="5">
        <f>IF($A291="","",IFERROR(INDEX(FILTER('Client contacts'!$C$2:$C$500,('Client contacts'!$A$2:$A$500=$A291)*('Client contacts'!$G$2:$G$500="Y"),""),1),""))</f>
        <v/>
      </c>
      <c r="H291" s="5">
        <f>IF($A291="","",IFERROR(INDEX(FILTER('Client contacts'!$B$2:$B$500,('Client contacts'!$A$2:$A$500=$A291)*('Client contacts'!$G$2:$G$500="Y"),""),2),""))</f>
        <v/>
      </c>
      <c r="I291" s="5">
        <f>IF($A291="","",IFERROR(INDEX(FILTER('Client contacts'!$C$2:$C$500,('Client contacts'!$A$2:$A$500=$A291)*('Client contacts'!$G$2:$G$500="Y"),""),2),""))</f>
        <v/>
      </c>
      <c r="J291" s="8" t="n"/>
      <c r="K291" s="8" t="n"/>
      <c r="L291" s="8" t="n"/>
      <c r="M291" s="8" t="n"/>
      <c r="N291" s="8" t="n"/>
      <c r="O291" s="8" t="n"/>
      <c r="P291" s="8" t="n"/>
      <c r="Q291" s="8" t="n"/>
      <c r="R291" s="5">
        <f>IF($A291="","",IFERROR(INDEX(Companies!$I$2:$I$500,MATCH($A291,Companies!$A$2:$A$500,0)),""))</f>
        <v/>
      </c>
      <c r="S291" s="8" t="n"/>
      <c r="T291" s="8" t="n"/>
      <c r="U291" s="8" t="n"/>
      <c r="V291" s="8" t="n"/>
      <c r="W291" s="8" t="n"/>
    </row>
    <row r="292">
      <c r="C292" s="5">
        <f>IF($B292="","",TRIM(IF(INDEX('MOA role matrix'!$B$2:$D$13,1,MATCH($B292,'MOA role matrix'!$B$1:$D$1,0))="Fill","Project initiator, ","")IF(INDEX('MOA role matrix'!$B$2:$D$13,1,MATCH($B292,'MOA role matrix'!$B$1:$D$1,0))="If finance","Project initiator (if finance), ","")IF(INDEX('MOA role matrix'!$B$2:$D$13,1,MATCH($B292,'MOA role matrix'!$B$1:$D$1,0))="Auto","Project initiator (auto), ","")IF(INDEX('MOA role matrix'!$B$2:$D$13,2,MATCH($B292,'MOA role matrix'!$B$1:$D$1,0))="Fill","MOA signers (client), ","")IF(INDEX('MOA role matrix'!$B$2:$D$13,2,MATCH($B292,'MOA role matrix'!$B$1:$D$1,0))="If finance","MOA signers (client) (if finance), ","")IF(INDEX('MOA role matrix'!$B$2:$D$13,2,MATCH($B292,'MOA role matrix'!$B$1:$D$1,0))="Auto","MOA signers (client) (auto), ","")IF(INDEX('MOA role matrix'!$B$2:$D$13,3,MATCH($B292,'MOA role matrix'!$B$1:$D$1,0))="Fill","CFO / Head of Finance, ","")IF(INDEX('MOA role matrix'!$B$2:$D$13,3,MATCH($B292,'MOA role matrix'!$B$1:$D$1,0))="If finance","CFO / Head of Finance (if finance), ","")IF(INDEX('MOA role matrix'!$B$2:$D$13,3,MATCH($B292,'MOA role matrix'!$B$1:$D$1,0))="Auto","CFO / Head of Finance (auto), ","")IF(INDEX('MOA role matrix'!$B$2:$D$13,4,MATCH($B292,'MOA role matrix'!$B$1:$D$1,0))="Fill","CEO / COO / GM, ","")IF(INDEX('MOA role matrix'!$B$2:$D$13,4,MATCH($B292,'MOA role matrix'!$B$1:$D$1,0))="If finance","CEO / COO / GM (if finance), ","")IF(INDEX('MOA role matrix'!$B$2:$D$13,4,MATCH($B292,'MOA role matrix'!$B$1:$D$1,0))="Auto","CEO / COO / GM (auto), ","")IF(INDEX('MOA role matrix'!$B$2:$D$13,5,MATCH($B292,'MOA role matrix'!$B$1:$D$1,0))="Fill","Board member 1, ","")IF(INDEX('MOA role matrix'!$B$2:$D$13,5,MATCH($B292,'MOA role matrix'!$B$1:$D$1,0))="If finance","Board member 1 (if finance), ","")IF(INDEX('MOA role matrix'!$B$2:$D$13,5,MATCH($B292,'MOA role matrix'!$B$1:$D$1,0))="Auto","Board member 1 (auto), ","")IF(INDEX('MOA role matrix'!$B$2:$D$13,6,MATCH($B292,'MOA role matrix'!$B$1:$D$1,0))="Fill","Board member 2, ","")IF(INDEX('MOA role matrix'!$B$2:$D$13,6,MATCH($B292,'MOA role matrix'!$B$1:$D$1,0))="If finance","Board member 2 (if finance), ","")IF(INDEX('MOA role matrix'!$B$2:$D$13,6,MATCH($B292,'MOA role matrix'!$B$1:$D$1,0))="Auto","Board member 2 (auto), ","")IF(INDEX('MOA role matrix'!$B$2:$D$13,7,MATCH($B292,'MOA role matrix'!$B$1:$D$1,0))="Fill","LOA holder 1, ","")IF(INDEX('MOA role matrix'!$B$2:$D$13,7,MATCH($B292,'MOA role matrix'!$B$1:$D$1,0))="If finance","LOA holder 1 (if finance), ","")IF(INDEX('MOA role matrix'!$B$2:$D$13,7,MATCH($B292,'MOA role matrix'!$B$1:$D$1,0))="Auto","LOA holder 1 (auto), ","")IF(INDEX('MOA role matrix'!$B$2:$D$13,8,MATCH($B292,'MOA role matrix'!$B$1:$D$1,0))="Fill","LOA holder 2, ","")IF(INDEX('MOA role matrix'!$B$2:$D$13,8,MATCH($B292,'MOA role matrix'!$B$1:$D$1,0))="If finance","LOA holder 2 (if finance), ","")IF(INDEX('MOA role matrix'!$B$2:$D$13,8,MATCH($B292,'MOA role matrix'!$B$1:$D$1,0))="Auto","LOA holder 2 (auto), ","")IF(INDEX('MOA role matrix'!$B$2:$D$13,9,MATCH($B292,'MOA role matrix'!$B$1:$D$1,0))="Fill","Senior Manager CoSec, ","")IF(INDEX('MOA role matrix'!$B$2:$D$13,9,MATCH($B292,'MOA role matrix'!$B$1:$D$1,0))="If finance","Senior Manager CoSec (if finance), ","")IF(INDEX('MOA role matrix'!$B$2:$D$13,9,MATCH($B292,'MOA role matrix'!$B$1:$D$1,0))="Auto","Senior Manager CoSec (auto), ","")IF(INDEX('MOA role matrix'!$B$2:$D$13,10,MATCH($B292,'MOA role matrix'!$B$1:$D$1,0))="Fill","Division MOI managers, ","")IF(INDEX('MOA role matrix'!$B$2:$D$13,10,MATCH($B292,'MOA role matrix'!$B$1:$D$1,0))="If finance","Division MOI managers (if finance), ","")IF(INDEX('MOA role matrix'!$B$2:$D$13,10,MATCH($B292,'MOA role matrix'!$B$1:$D$1,0))="Auto","Division MOI managers (auto), ","")IF(INDEX('MOA role matrix'!$B$2:$D$13,11,MATCH($B292,'MOA role matrix'!$B$1:$D$1,0))="Fill","Ms Teh (bank), ","")IF(INDEX('MOA role matrix'!$B$2:$D$13,11,MATCH($B292,'MOA role matrix'!$B$1:$D$1,0))="If finance","Ms Teh (bank) (if finance), ","")IF(INDEX('MOA role matrix'!$B$2:$D$13,11,MATCH($B292,'MOA role matrix'!$B$1:$D$1,0))="Auto","Ms Teh (bank) (auto), ","")IF(INDEX('MOA role matrix'!$B$2:$D$13,12,MATCH($B292,'MOA role matrix'!$B$1:$D$1,0))="Fill","DLCM, ","")IF(INDEX('MOA role matrix'!$B$2:$D$13,12,MATCH($B292,'MOA role matrix'!$B$1:$D$1,0))="If finance","DLCM (if finance), ","")IF(INDEX('MOA role matrix'!$B$2:$D$13,12,MATCH($B292,'MOA role matrix'!$B$1:$D$1,0))="Auto","DLCM (auto), ","")))</f>
        <v/>
      </c>
      <c r="D292" s="5">
        <f>IF($A292="","",IFERROR(INDEX(FILTER('Client contacts'!$B$2:$B$500,('Client contacts'!$A$2:$A$500=$A292)*('Client contacts'!$H$2:$H$500="Y"),""),1),""))</f>
        <v/>
      </c>
      <c r="E292" s="5">
        <f>IF($A292="","",IFERROR(INDEX(FILTER('Client contacts'!$C$2:$C$500,('Client contacts'!$A$2:$A$500=$A292)*('Client contacts'!$H$2:$H$500="Y"),""),1),""))</f>
        <v/>
      </c>
      <c r="F292" s="5">
        <f>IF($A292="","",IFERROR(INDEX(FILTER('Client contacts'!$B$2:$B$500,('Client contacts'!$A$2:$A$500=$A292)*('Client contacts'!$G$2:$G$500="Y"),""),1),""))</f>
        <v/>
      </c>
      <c r="G292" s="5">
        <f>IF($A292="","",IFERROR(INDEX(FILTER('Client contacts'!$C$2:$C$500,('Client contacts'!$A$2:$A$500=$A292)*('Client contacts'!$G$2:$G$500="Y"),""),1),""))</f>
        <v/>
      </c>
      <c r="H292" s="5">
        <f>IF($A292="","",IFERROR(INDEX(FILTER('Client contacts'!$B$2:$B$500,('Client contacts'!$A$2:$A$500=$A292)*('Client contacts'!$G$2:$G$500="Y"),""),2),""))</f>
        <v/>
      </c>
      <c r="I292" s="5">
        <f>IF($A292="","",IFERROR(INDEX(FILTER('Client contacts'!$C$2:$C$500,('Client contacts'!$A$2:$A$500=$A292)*('Client contacts'!$G$2:$G$500="Y"),""),2),""))</f>
        <v/>
      </c>
      <c r="J292" s="8" t="n"/>
      <c r="K292" s="8" t="n"/>
      <c r="L292" s="8" t="n"/>
      <c r="M292" s="8" t="n"/>
      <c r="N292" s="8" t="n"/>
      <c r="O292" s="8" t="n"/>
      <c r="P292" s="8" t="n"/>
      <c r="Q292" s="8" t="n"/>
      <c r="R292" s="5">
        <f>IF($A292="","",IFERROR(INDEX(Companies!$I$2:$I$500,MATCH($A292,Companies!$A$2:$A$500,0)),""))</f>
        <v/>
      </c>
      <c r="S292" s="8" t="n"/>
      <c r="T292" s="8" t="n"/>
      <c r="U292" s="8" t="n"/>
      <c r="V292" s="8" t="n"/>
      <c r="W292" s="8" t="n"/>
    </row>
    <row r="293">
      <c r="C293" s="5">
        <f>IF($B293="","",TRIM(IF(INDEX('MOA role matrix'!$B$2:$D$13,1,MATCH($B293,'MOA role matrix'!$B$1:$D$1,0))="Fill","Project initiator, ","")IF(INDEX('MOA role matrix'!$B$2:$D$13,1,MATCH($B293,'MOA role matrix'!$B$1:$D$1,0))="If finance","Project initiator (if finance), ","")IF(INDEX('MOA role matrix'!$B$2:$D$13,1,MATCH($B293,'MOA role matrix'!$B$1:$D$1,0))="Auto","Project initiator (auto), ","")IF(INDEX('MOA role matrix'!$B$2:$D$13,2,MATCH($B293,'MOA role matrix'!$B$1:$D$1,0))="Fill","MOA signers (client), ","")IF(INDEX('MOA role matrix'!$B$2:$D$13,2,MATCH($B293,'MOA role matrix'!$B$1:$D$1,0))="If finance","MOA signers (client) (if finance), ","")IF(INDEX('MOA role matrix'!$B$2:$D$13,2,MATCH($B293,'MOA role matrix'!$B$1:$D$1,0))="Auto","MOA signers (client) (auto), ","")IF(INDEX('MOA role matrix'!$B$2:$D$13,3,MATCH($B293,'MOA role matrix'!$B$1:$D$1,0))="Fill","CFO / Head of Finance, ","")IF(INDEX('MOA role matrix'!$B$2:$D$13,3,MATCH($B293,'MOA role matrix'!$B$1:$D$1,0))="If finance","CFO / Head of Finance (if finance), ","")IF(INDEX('MOA role matrix'!$B$2:$D$13,3,MATCH($B293,'MOA role matrix'!$B$1:$D$1,0))="Auto","CFO / Head of Finance (auto), ","")IF(INDEX('MOA role matrix'!$B$2:$D$13,4,MATCH($B293,'MOA role matrix'!$B$1:$D$1,0))="Fill","CEO / COO / GM, ","")IF(INDEX('MOA role matrix'!$B$2:$D$13,4,MATCH($B293,'MOA role matrix'!$B$1:$D$1,0))="If finance","CEO / COO / GM (if finance), ","")IF(INDEX('MOA role matrix'!$B$2:$D$13,4,MATCH($B293,'MOA role matrix'!$B$1:$D$1,0))="Auto","CEO / COO / GM (auto), ","")IF(INDEX('MOA role matrix'!$B$2:$D$13,5,MATCH($B293,'MOA role matrix'!$B$1:$D$1,0))="Fill","Board member 1, ","")IF(INDEX('MOA role matrix'!$B$2:$D$13,5,MATCH($B293,'MOA role matrix'!$B$1:$D$1,0))="If finance","Board member 1 (if finance), ","")IF(INDEX('MOA role matrix'!$B$2:$D$13,5,MATCH($B293,'MOA role matrix'!$B$1:$D$1,0))="Auto","Board member 1 (auto), ","")IF(INDEX('MOA role matrix'!$B$2:$D$13,6,MATCH($B293,'MOA role matrix'!$B$1:$D$1,0))="Fill","Board member 2, ","")IF(INDEX('MOA role matrix'!$B$2:$D$13,6,MATCH($B293,'MOA role matrix'!$B$1:$D$1,0))="If finance","Board member 2 (if finance), ","")IF(INDEX('MOA role matrix'!$B$2:$D$13,6,MATCH($B293,'MOA role matrix'!$B$1:$D$1,0))="Auto","Board member 2 (auto), ","")IF(INDEX('MOA role matrix'!$B$2:$D$13,7,MATCH($B293,'MOA role matrix'!$B$1:$D$1,0))="Fill","LOA holder 1, ","")IF(INDEX('MOA role matrix'!$B$2:$D$13,7,MATCH($B293,'MOA role matrix'!$B$1:$D$1,0))="If finance","LOA holder 1 (if finance), ","")IF(INDEX('MOA role matrix'!$B$2:$D$13,7,MATCH($B293,'MOA role matrix'!$B$1:$D$1,0))="Auto","LOA holder 1 (auto), ","")IF(INDEX('MOA role matrix'!$B$2:$D$13,8,MATCH($B293,'MOA role matrix'!$B$1:$D$1,0))="Fill","LOA holder 2, ","")IF(INDEX('MOA role matrix'!$B$2:$D$13,8,MATCH($B293,'MOA role matrix'!$B$1:$D$1,0))="If finance","LOA holder 2 (if finance), ","")IF(INDEX('MOA role matrix'!$B$2:$D$13,8,MATCH($B293,'MOA role matrix'!$B$1:$D$1,0))="Auto","LOA holder 2 (auto), ","")IF(INDEX('MOA role matrix'!$B$2:$D$13,9,MATCH($B293,'MOA role matrix'!$B$1:$D$1,0))="Fill","Senior Manager CoSec, ","")IF(INDEX('MOA role matrix'!$B$2:$D$13,9,MATCH($B293,'MOA role matrix'!$B$1:$D$1,0))="If finance","Senior Manager CoSec (if finance), ","")IF(INDEX('MOA role matrix'!$B$2:$D$13,9,MATCH($B293,'MOA role matrix'!$B$1:$D$1,0))="Auto","Senior Manager CoSec (auto), ","")IF(INDEX('MOA role matrix'!$B$2:$D$13,10,MATCH($B293,'MOA role matrix'!$B$1:$D$1,0))="Fill","Division MOI managers, ","")IF(INDEX('MOA role matrix'!$B$2:$D$13,10,MATCH($B293,'MOA role matrix'!$B$1:$D$1,0))="If finance","Division MOI managers (if finance), ","")IF(INDEX('MOA role matrix'!$B$2:$D$13,10,MATCH($B293,'MOA role matrix'!$B$1:$D$1,0))="Auto","Division MOI managers (auto), ","")IF(INDEX('MOA role matrix'!$B$2:$D$13,11,MATCH($B293,'MOA role matrix'!$B$1:$D$1,0))="Fill","Ms Teh (bank), ","")IF(INDEX('MOA role matrix'!$B$2:$D$13,11,MATCH($B293,'MOA role matrix'!$B$1:$D$1,0))="If finance","Ms Teh (bank) (if finance), ","")IF(INDEX('MOA role matrix'!$B$2:$D$13,11,MATCH($B293,'MOA role matrix'!$B$1:$D$1,0))="Auto","Ms Teh (bank) (auto), ","")IF(INDEX('MOA role matrix'!$B$2:$D$13,12,MATCH($B293,'MOA role matrix'!$B$1:$D$1,0))="Fill","DLCM, ","")IF(INDEX('MOA role matrix'!$B$2:$D$13,12,MATCH($B293,'MOA role matrix'!$B$1:$D$1,0))="If finance","DLCM (if finance), ","")IF(INDEX('MOA role matrix'!$B$2:$D$13,12,MATCH($B293,'MOA role matrix'!$B$1:$D$1,0))="Auto","DLCM (auto), ","")))</f>
        <v/>
      </c>
      <c r="D293" s="5">
        <f>IF($A293="","",IFERROR(INDEX(FILTER('Client contacts'!$B$2:$B$500,('Client contacts'!$A$2:$A$500=$A293)*('Client contacts'!$H$2:$H$500="Y"),""),1),""))</f>
        <v/>
      </c>
      <c r="E293" s="5">
        <f>IF($A293="","",IFERROR(INDEX(FILTER('Client contacts'!$C$2:$C$500,('Client contacts'!$A$2:$A$500=$A293)*('Client contacts'!$H$2:$H$500="Y"),""),1),""))</f>
        <v/>
      </c>
      <c r="F293" s="5">
        <f>IF($A293="","",IFERROR(INDEX(FILTER('Client contacts'!$B$2:$B$500,('Client contacts'!$A$2:$A$500=$A293)*('Client contacts'!$G$2:$G$500="Y"),""),1),""))</f>
        <v/>
      </c>
      <c r="G293" s="5">
        <f>IF($A293="","",IFERROR(INDEX(FILTER('Client contacts'!$C$2:$C$500,('Client contacts'!$A$2:$A$500=$A293)*('Client contacts'!$G$2:$G$500="Y"),""),1),""))</f>
        <v/>
      </c>
      <c r="H293" s="5">
        <f>IF($A293="","",IFERROR(INDEX(FILTER('Client contacts'!$B$2:$B$500,('Client contacts'!$A$2:$A$500=$A293)*('Client contacts'!$G$2:$G$500="Y"),""),2),""))</f>
        <v/>
      </c>
      <c r="I293" s="5">
        <f>IF($A293="","",IFERROR(INDEX(FILTER('Client contacts'!$C$2:$C$500,('Client contacts'!$A$2:$A$500=$A293)*('Client contacts'!$G$2:$G$500="Y"),""),2),""))</f>
        <v/>
      </c>
      <c r="J293" s="8" t="n"/>
      <c r="K293" s="8" t="n"/>
      <c r="L293" s="8" t="n"/>
      <c r="M293" s="8" t="n"/>
      <c r="N293" s="8" t="n"/>
      <c r="O293" s="8" t="n"/>
      <c r="P293" s="8" t="n"/>
      <c r="Q293" s="8" t="n"/>
      <c r="R293" s="5">
        <f>IF($A293="","",IFERROR(INDEX(Companies!$I$2:$I$500,MATCH($A293,Companies!$A$2:$A$500,0)),""))</f>
        <v/>
      </c>
      <c r="S293" s="8" t="n"/>
      <c r="T293" s="8" t="n"/>
      <c r="U293" s="8" t="n"/>
      <c r="V293" s="8" t="n"/>
      <c r="W293" s="8" t="n"/>
    </row>
    <row r="294">
      <c r="C294" s="5">
        <f>IF($B294="","",TRIM(IF(INDEX('MOA role matrix'!$B$2:$D$13,1,MATCH($B294,'MOA role matrix'!$B$1:$D$1,0))="Fill","Project initiator, ","")IF(INDEX('MOA role matrix'!$B$2:$D$13,1,MATCH($B294,'MOA role matrix'!$B$1:$D$1,0))="If finance","Project initiator (if finance), ","")IF(INDEX('MOA role matrix'!$B$2:$D$13,1,MATCH($B294,'MOA role matrix'!$B$1:$D$1,0))="Auto","Project initiator (auto), ","")IF(INDEX('MOA role matrix'!$B$2:$D$13,2,MATCH($B294,'MOA role matrix'!$B$1:$D$1,0))="Fill","MOA signers (client), ","")IF(INDEX('MOA role matrix'!$B$2:$D$13,2,MATCH($B294,'MOA role matrix'!$B$1:$D$1,0))="If finance","MOA signers (client) (if finance), ","")IF(INDEX('MOA role matrix'!$B$2:$D$13,2,MATCH($B294,'MOA role matrix'!$B$1:$D$1,0))="Auto","MOA signers (client) (auto), ","")IF(INDEX('MOA role matrix'!$B$2:$D$13,3,MATCH($B294,'MOA role matrix'!$B$1:$D$1,0))="Fill","CFO / Head of Finance, ","")IF(INDEX('MOA role matrix'!$B$2:$D$13,3,MATCH($B294,'MOA role matrix'!$B$1:$D$1,0))="If finance","CFO / Head of Finance (if finance), ","")IF(INDEX('MOA role matrix'!$B$2:$D$13,3,MATCH($B294,'MOA role matrix'!$B$1:$D$1,0))="Auto","CFO / Head of Finance (auto), ","")IF(INDEX('MOA role matrix'!$B$2:$D$13,4,MATCH($B294,'MOA role matrix'!$B$1:$D$1,0))="Fill","CEO / COO / GM, ","")IF(INDEX('MOA role matrix'!$B$2:$D$13,4,MATCH($B294,'MOA role matrix'!$B$1:$D$1,0))="If finance","CEO / COO / GM (if finance), ","")IF(INDEX('MOA role matrix'!$B$2:$D$13,4,MATCH($B294,'MOA role matrix'!$B$1:$D$1,0))="Auto","CEO / COO / GM (auto), ","")IF(INDEX('MOA role matrix'!$B$2:$D$13,5,MATCH($B294,'MOA role matrix'!$B$1:$D$1,0))="Fill","Board member 1, ","")IF(INDEX('MOA role matrix'!$B$2:$D$13,5,MATCH($B294,'MOA role matrix'!$B$1:$D$1,0))="If finance","Board member 1 (if finance), ","")IF(INDEX('MOA role matrix'!$B$2:$D$13,5,MATCH($B294,'MOA role matrix'!$B$1:$D$1,0))="Auto","Board member 1 (auto), ","")IF(INDEX('MOA role matrix'!$B$2:$D$13,6,MATCH($B294,'MOA role matrix'!$B$1:$D$1,0))="Fill","Board member 2, ","")IF(INDEX('MOA role matrix'!$B$2:$D$13,6,MATCH($B294,'MOA role matrix'!$B$1:$D$1,0))="If finance","Board member 2 (if finance), ","")IF(INDEX('MOA role matrix'!$B$2:$D$13,6,MATCH($B294,'MOA role matrix'!$B$1:$D$1,0))="Auto","Board member 2 (auto), ","")IF(INDEX('MOA role matrix'!$B$2:$D$13,7,MATCH($B294,'MOA role matrix'!$B$1:$D$1,0))="Fill","LOA holder 1, ","")IF(INDEX('MOA role matrix'!$B$2:$D$13,7,MATCH($B294,'MOA role matrix'!$B$1:$D$1,0))="If finance","LOA holder 1 (if finance), ","")IF(INDEX('MOA role matrix'!$B$2:$D$13,7,MATCH($B294,'MOA role matrix'!$B$1:$D$1,0))="Auto","LOA holder 1 (auto), ","")IF(INDEX('MOA role matrix'!$B$2:$D$13,8,MATCH($B294,'MOA role matrix'!$B$1:$D$1,0))="Fill","LOA holder 2, ","")IF(INDEX('MOA role matrix'!$B$2:$D$13,8,MATCH($B294,'MOA role matrix'!$B$1:$D$1,0))="If finance","LOA holder 2 (if finance), ","")IF(INDEX('MOA role matrix'!$B$2:$D$13,8,MATCH($B294,'MOA role matrix'!$B$1:$D$1,0))="Auto","LOA holder 2 (auto), ","")IF(INDEX('MOA role matrix'!$B$2:$D$13,9,MATCH($B294,'MOA role matrix'!$B$1:$D$1,0))="Fill","Senior Manager CoSec, ","")IF(INDEX('MOA role matrix'!$B$2:$D$13,9,MATCH($B294,'MOA role matrix'!$B$1:$D$1,0))="If finance","Senior Manager CoSec (if finance), ","")IF(INDEX('MOA role matrix'!$B$2:$D$13,9,MATCH($B294,'MOA role matrix'!$B$1:$D$1,0))="Auto","Senior Manager CoSec (auto), ","")IF(INDEX('MOA role matrix'!$B$2:$D$13,10,MATCH($B294,'MOA role matrix'!$B$1:$D$1,0))="Fill","Division MOI managers, ","")IF(INDEX('MOA role matrix'!$B$2:$D$13,10,MATCH($B294,'MOA role matrix'!$B$1:$D$1,0))="If finance","Division MOI managers (if finance), ","")IF(INDEX('MOA role matrix'!$B$2:$D$13,10,MATCH($B294,'MOA role matrix'!$B$1:$D$1,0))="Auto","Division MOI managers (auto), ","")IF(INDEX('MOA role matrix'!$B$2:$D$13,11,MATCH($B294,'MOA role matrix'!$B$1:$D$1,0))="Fill","Ms Teh (bank), ","")IF(INDEX('MOA role matrix'!$B$2:$D$13,11,MATCH($B294,'MOA role matrix'!$B$1:$D$1,0))="If finance","Ms Teh (bank) (if finance), ","")IF(INDEX('MOA role matrix'!$B$2:$D$13,11,MATCH($B294,'MOA role matrix'!$B$1:$D$1,0))="Auto","Ms Teh (bank) (auto), ","")IF(INDEX('MOA role matrix'!$B$2:$D$13,12,MATCH($B294,'MOA role matrix'!$B$1:$D$1,0))="Fill","DLCM, ","")IF(INDEX('MOA role matrix'!$B$2:$D$13,12,MATCH($B294,'MOA role matrix'!$B$1:$D$1,0))="If finance","DLCM (if finance), ","")IF(INDEX('MOA role matrix'!$B$2:$D$13,12,MATCH($B294,'MOA role matrix'!$B$1:$D$1,0))="Auto","DLCM (auto), ","")))</f>
        <v/>
      </c>
      <c r="D294" s="5">
        <f>IF($A294="","",IFERROR(INDEX(FILTER('Client contacts'!$B$2:$B$500,('Client contacts'!$A$2:$A$500=$A294)*('Client contacts'!$H$2:$H$500="Y"),""),1),""))</f>
        <v/>
      </c>
      <c r="E294" s="5">
        <f>IF($A294="","",IFERROR(INDEX(FILTER('Client contacts'!$C$2:$C$500,('Client contacts'!$A$2:$A$500=$A294)*('Client contacts'!$H$2:$H$500="Y"),""),1),""))</f>
        <v/>
      </c>
      <c r="F294" s="5">
        <f>IF($A294="","",IFERROR(INDEX(FILTER('Client contacts'!$B$2:$B$500,('Client contacts'!$A$2:$A$500=$A294)*('Client contacts'!$G$2:$G$500="Y"),""),1),""))</f>
        <v/>
      </c>
      <c r="G294" s="5">
        <f>IF($A294="","",IFERROR(INDEX(FILTER('Client contacts'!$C$2:$C$500,('Client contacts'!$A$2:$A$500=$A294)*('Client contacts'!$G$2:$G$500="Y"),""),1),""))</f>
        <v/>
      </c>
      <c r="H294" s="5">
        <f>IF($A294="","",IFERROR(INDEX(FILTER('Client contacts'!$B$2:$B$500,('Client contacts'!$A$2:$A$500=$A294)*('Client contacts'!$G$2:$G$500="Y"),""),2),""))</f>
        <v/>
      </c>
      <c r="I294" s="5">
        <f>IF($A294="","",IFERROR(INDEX(FILTER('Client contacts'!$C$2:$C$500,('Client contacts'!$A$2:$A$500=$A294)*('Client contacts'!$G$2:$G$500="Y"),""),2),""))</f>
        <v/>
      </c>
      <c r="J294" s="8" t="n"/>
      <c r="K294" s="8" t="n"/>
      <c r="L294" s="8" t="n"/>
      <c r="M294" s="8" t="n"/>
      <c r="N294" s="8" t="n"/>
      <c r="O294" s="8" t="n"/>
      <c r="P294" s="8" t="n"/>
      <c r="Q294" s="8" t="n"/>
      <c r="R294" s="5">
        <f>IF($A294="","",IFERROR(INDEX(Companies!$I$2:$I$500,MATCH($A294,Companies!$A$2:$A$500,0)),""))</f>
        <v/>
      </c>
      <c r="S294" s="8" t="n"/>
      <c r="T294" s="8" t="n"/>
      <c r="U294" s="8" t="n"/>
      <c r="V294" s="8" t="n"/>
      <c r="W294" s="8" t="n"/>
    </row>
    <row r="295">
      <c r="C295" s="5">
        <f>IF($B295="","",TRIM(IF(INDEX('MOA role matrix'!$B$2:$D$13,1,MATCH($B295,'MOA role matrix'!$B$1:$D$1,0))="Fill","Project initiator, ","")IF(INDEX('MOA role matrix'!$B$2:$D$13,1,MATCH($B295,'MOA role matrix'!$B$1:$D$1,0))="If finance","Project initiator (if finance), ","")IF(INDEX('MOA role matrix'!$B$2:$D$13,1,MATCH($B295,'MOA role matrix'!$B$1:$D$1,0))="Auto","Project initiator (auto), ","")IF(INDEX('MOA role matrix'!$B$2:$D$13,2,MATCH($B295,'MOA role matrix'!$B$1:$D$1,0))="Fill","MOA signers (client), ","")IF(INDEX('MOA role matrix'!$B$2:$D$13,2,MATCH($B295,'MOA role matrix'!$B$1:$D$1,0))="If finance","MOA signers (client) (if finance), ","")IF(INDEX('MOA role matrix'!$B$2:$D$13,2,MATCH($B295,'MOA role matrix'!$B$1:$D$1,0))="Auto","MOA signers (client) (auto), ","")IF(INDEX('MOA role matrix'!$B$2:$D$13,3,MATCH($B295,'MOA role matrix'!$B$1:$D$1,0))="Fill","CFO / Head of Finance, ","")IF(INDEX('MOA role matrix'!$B$2:$D$13,3,MATCH($B295,'MOA role matrix'!$B$1:$D$1,0))="If finance","CFO / Head of Finance (if finance), ","")IF(INDEX('MOA role matrix'!$B$2:$D$13,3,MATCH($B295,'MOA role matrix'!$B$1:$D$1,0))="Auto","CFO / Head of Finance (auto), ","")IF(INDEX('MOA role matrix'!$B$2:$D$13,4,MATCH($B295,'MOA role matrix'!$B$1:$D$1,0))="Fill","CEO / COO / GM, ","")IF(INDEX('MOA role matrix'!$B$2:$D$13,4,MATCH($B295,'MOA role matrix'!$B$1:$D$1,0))="If finance","CEO / COO / GM (if finance), ","")IF(INDEX('MOA role matrix'!$B$2:$D$13,4,MATCH($B295,'MOA role matrix'!$B$1:$D$1,0))="Auto","CEO / COO / GM (auto), ","")IF(INDEX('MOA role matrix'!$B$2:$D$13,5,MATCH($B295,'MOA role matrix'!$B$1:$D$1,0))="Fill","Board member 1, ","")IF(INDEX('MOA role matrix'!$B$2:$D$13,5,MATCH($B295,'MOA role matrix'!$B$1:$D$1,0))="If finance","Board member 1 (if finance), ","")IF(INDEX('MOA role matrix'!$B$2:$D$13,5,MATCH($B295,'MOA role matrix'!$B$1:$D$1,0))="Auto","Board member 1 (auto), ","")IF(INDEX('MOA role matrix'!$B$2:$D$13,6,MATCH($B295,'MOA role matrix'!$B$1:$D$1,0))="Fill","Board member 2, ","")IF(INDEX('MOA role matrix'!$B$2:$D$13,6,MATCH($B295,'MOA role matrix'!$B$1:$D$1,0))="If finance","Board member 2 (if finance), ","")IF(INDEX('MOA role matrix'!$B$2:$D$13,6,MATCH($B295,'MOA role matrix'!$B$1:$D$1,0))="Auto","Board member 2 (auto), ","")IF(INDEX('MOA role matrix'!$B$2:$D$13,7,MATCH($B295,'MOA role matrix'!$B$1:$D$1,0))="Fill","LOA holder 1, ","")IF(INDEX('MOA role matrix'!$B$2:$D$13,7,MATCH($B295,'MOA role matrix'!$B$1:$D$1,0))="If finance","LOA holder 1 (if finance), ","")IF(INDEX('MOA role matrix'!$B$2:$D$13,7,MATCH($B295,'MOA role matrix'!$B$1:$D$1,0))="Auto","LOA holder 1 (auto), ","")IF(INDEX('MOA role matrix'!$B$2:$D$13,8,MATCH($B295,'MOA role matrix'!$B$1:$D$1,0))="Fill","LOA holder 2, ","")IF(INDEX('MOA role matrix'!$B$2:$D$13,8,MATCH($B295,'MOA role matrix'!$B$1:$D$1,0))="If finance","LOA holder 2 (if finance), ","")IF(INDEX('MOA role matrix'!$B$2:$D$13,8,MATCH($B295,'MOA role matrix'!$B$1:$D$1,0))="Auto","LOA holder 2 (auto), ","")IF(INDEX('MOA role matrix'!$B$2:$D$13,9,MATCH($B295,'MOA role matrix'!$B$1:$D$1,0))="Fill","Senior Manager CoSec, ","")IF(INDEX('MOA role matrix'!$B$2:$D$13,9,MATCH($B295,'MOA role matrix'!$B$1:$D$1,0))="If finance","Senior Manager CoSec (if finance), ","")IF(INDEX('MOA role matrix'!$B$2:$D$13,9,MATCH($B295,'MOA role matrix'!$B$1:$D$1,0))="Auto","Senior Manager CoSec (auto), ","")IF(INDEX('MOA role matrix'!$B$2:$D$13,10,MATCH($B295,'MOA role matrix'!$B$1:$D$1,0))="Fill","Division MOI managers, ","")IF(INDEX('MOA role matrix'!$B$2:$D$13,10,MATCH($B295,'MOA role matrix'!$B$1:$D$1,0))="If finance","Division MOI managers (if finance), ","")IF(INDEX('MOA role matrix'!$B$2:$D$13,10,MATCH($B295,'MOA role matrix'!$B$1:$D$1,0))="Auto","Division MOI managers (auto), ","")IF(INDEX('MOA role matrix'!$B$2:$D$13,11,MATCH($B295,'MOA role matrix'!$B$1:$D$1,0))="Fill","Ms Teh (bank), ","")IF(INDEX('MOA role matrix'!$B$2:$D$13,11,MATCH($B295,'MOA role matrix'!$B$1:$D$1,0))="If finance","Ms Teh (bank) (if finance), ","")IF(INDEX('MOA role matrix'!$B$2:$D$13,11,MATCH($B295,'MOA role matrix'!$B$1:$D$1,0))="Auto","Ms Teh (bank) (auto), ","")IF(INDEX('MOA role matrix'!$B$2:$D$13,12,MATCH($B295,'MOA role matrix'!$B$1:$D$1,0))="Fill","DLCM, ","")IF(INDEX('MOA role matrix'!$B$2:$D$13,12,MATCH($B295,'MOA role matrix'!$B$1:$D$1,0))="If finance","DLCM (if finance), ","")IF(INDEX('MOA role matrix'!$B$2:$D$13,12,MATCH($B295,'MOA role matrix'!$B$1:$D$1,0))="Auto","DLCM (auto), ","")))</f>
        <v/>
      </c>
      <c r="D295" s="5">
        <f>IF($A295="","",IFERROR(INDEX(FILTER('Client contacts'!$B$2:$B$500,('Client contacts'!$A$2:$A$500=$A295)*('Client contacts'!$H$2:$H$500="Y"),""),1),""))</f>
        <v/>
      </c>
      <c r="E295" s="5">
        <f>IF($A295="","",IFERROR(INDEX(FILTER('Client contacts'!$C$2:$C$500,('Client contacts'!$A$2:$A$500=$A295)*('Client contacts'!$H$2:$H$500="Y"),""),1),""))</f>
        <v/>
      </c>
      <c r="F295" s="5">
        <f>IF($A295="","",IFERROR(INDEX(FILTER('Client contacts'!$B$2:$B$500,('Client contacts'!$A$2:$A$500=$A295)*('Client contacts'!$G$2:$G$500="Y"),""),1),""))</f>
        <v/>
      </c>
      <c r="G295" s="5">
        <f>IF($A295="","",IFERROR(INDEX(FILTER('Client contacts'!$C$2:$C$500,('Client contacts'!$A$2:$A$500=$A295)*('Client contacts'!$G$2:$G$500="Y"),""),1),""))</f>
        <v/>
      </c>
      <c r="H295" s="5">
        <f>IF($A295="","",IFERROR(INDEX(FILTER('Client contacts'!$B$2:$B$500,('Client contacts'!$A$2:$A$500=$A295)*('Client contacts'!$G$2:$G$500="Y"),""),2),""))</f>
        <v/>
      </c>
      <c r="I295" s="5">
        <f>IF($A295="","",IFERROR(INDEX(FILTER('Client contacts'!$C$2:$C$500,('Client contacts'!$A$2:$A$500=$A295)*('Client contacts'!$G$2:$G$500="Y"),""),2),""))</f>
        <v/>
      </c>
      <c r="J295" s="8" t="n"/>
      <c r="K295" s="8" t="n"/>
      <c r="L295" s="8" t="n"/>
      <c r="M295" s="8" t="n"/>
      <c r="N295" s="8" t="n"/>
      <c r="O295" s="8" t="n"/>
      <c r="P295" s="8" t="n"/>
      <c r="Q295" s="8" t="n"/>
      <c r="R295" s="5">
        <f>IF($A295="","",IFERROR(INDEX(Companies!$I$2:$I$500,MATCH($A295,Companies!$A$2:$A$500,0)),""))</f>
        <v/>
      </c>
      <c r="S295" s="8" t="n"/>
      <c r="T295" s="8" t="n"/>
      <c r="U295" s="8" t="n"/>
      <c r="V295" s="8" t="n"/>
      <c r="W295" s="8" t="n"/>
    </row>
    <row r="296">
      <c r="C296" s="5">
        <f>IF($B296="","",TRIM(IF(INDEX('MOA role matrix'!$B$2:$D$13,1,MATCH($B296,'MOA role matrix'!$B$1:$D$1,0))="Fill","Project initiator, ","")IF(INDEX('MOA role matrix'!$B$2:$D$13,1,MATCH($B296,'MOA role matrix'!$B$1:$D$1,0))="If finance","Project initiator (if finance), ","")IF(INDEX('MOA role matrix'!$B$2:$D$13,1,MATCH($B296,'MOA role matrix'!$B$1:$D$1,0))="Auto","Project initiator (auto), ","")IF(INDEX('MOA role matrix'!$B$2:$D$13,2,MATCH($B296,'MOA role matrix'!$B$1:$D$1,0))="Fill","MOA signers (client), ","")IF(INDEX('MOA role matrix'!$B$2:$D$13,2,MATCH($B296,'MOA role matrix'!$B$1:$D$1,0))="If finance","MOA signers (client) (if finance), ","")IF(INDEX('MOA role matrix'!$B$2:$D$13,2,MATCH($B296,'MOA role matrix'!$B$1:$D$1,0))="Auto","MOA signers (client) (auto), ","")IF(INDEX('MOA role matrix'!$B$2:$D$13,3,MATCH($B296,'MOA role matrix'!$B$1:$D$1,0))="Fill","CFO / Head of Finance, ","")IF(INDEX('MOA role matrix'!$B$2:$D$13,3,MATCH($B296,'MOA role matrix'!$B$1:$D$1,0))="If finance","CFO / Head of Finance (if finance), ","")IF(INDEX('MOA role matrix'!$B$2:$D$13,3,MATCH($B296,'MOA role matrix'!$B$1:$D$1,0))="Auto","CFO / Head of Finance (auto), ","")IF(INDEX('MOA role matrix'!$B$2:$D$13,4,MATCH($B296,'MOA role matrix'!$B$1:$D$1,0))="Fill","CEO / COO / GM, ","")IF(INDEX('MOA role matrix'!$B$2:$D$13,4,MATCH($B296,'MOA role matrix'!$B$1:$D$1,0))="If finance","CEO / COO / GM (if finance), ","")IF(INDEX('MOA role matrix'!$B$2:$D$13,4,MATCH($B296,'MOA role matrix'!$B$1:$D$1,0))="Auto","CEO / COO / GM (auto), ","")IF(INDEX('MOA role matrix'!$B$2:$D$13,5,MATCH($B296,'MOA role matrix'!$B$1:$D$1,0))="Fill","Board member 1, ","")IF(INDEX('MOA role matrix'!$B$2:$D$13,5,MATCH($B296,'MOA role matrix'!$B$1:$D$1,0))="If finance","Board member 1 (if finance), ","")IF(INDEX('MOA role matrix'!$B$2:$D$13,5,MATCH($B296,'MOA role matrix'!$B$1:$D$1,0))="Auto","Board member 1 (auto), ","")IF(INDEX('MOA role matrix'!$B$2:$D$13,6,MATCH($B296,'MOA role matrix'!$B$1:$D$1,0))="Fill","Board member 2, ","")IF(INDEX('MOA role matrix'!$B$2:$D$13,6,MATCH($B296,'MOA role matrix'!$B$1:$D$1,0))="If finance","Board member 2 (if finance), ","")IF(INDEX('MOA role matrix'!$B$2:$D$13,6,MATCH($B296,'MOA role matrix'!$B$1:$D$1,0))="Auto","Board member 2 (auto), ","")IF(INDEX('MOA role matrix'!$B$2:$D$13,7,MATCH($B296,'MOA role matrix'!$B$1:$D$1,0))="Fill","LOA holder 1, ","")IF(INDEX('MOA role matrix'!$B$2:$D$13,7,MATCH($B296,'MOA role matrix'!$B$1:$D$1,0))="If finance","LOA holder 1 (if finance), ","")IF(INDEX('MOA role matrix'!$B$2:$D$13,7,MATCH($B296,'MOA role matrix'!$B$1:$D$1,0))="Auto","LOA holder 1 (auto), ","")IF(INDEX('MOA role matrix'!$B$2:$D$13,8,MATCH($B296,'MOA role matrix'!$B$1:$D$1,0))="Fill","LOA holder 2, ","")IF(INDEX('MOA role matrix'!$B$2:$D$13,8,MATCH($B296,'MOA role matrix'!$B$1:$D$1,0))="If finance","LOA holder 2 (if finance), ","")IF(INDEX('MOA role matrix'!$B$2:$D$13,8,MATCH($B296,'MOA role matrix'!$B$1:$D$1,0))="Auto","LOA holder 2 (auto), ","")IF(INDEX('MOA role matrix'!$B$2:$D$13,9,MATCH($B296,'MOA role matrix'!$B$1:$D$1,0))="Fill","Senior Manager CoSec, ","")IF(INDEX('MOA role matrix'!$B$2:$D$13,9,MATCH($B296,'MOA role matrix'!$B$1:$D$1,0))="If finance","Senior Manager CoSec (if finance), ","")IF(INDEX('MOA role matrix'!$B$2:$D$13,9,MATCH($B296,'MOA role matrix'!$B$1:$D$1,0))="Auto","Senior Manager CoSec (auto), ","")IF(INDEX('MOA role matrix'!$B$2:$D$13,10,MATCH($B296,'MOA role matrix'!$B$1:$D$1,0))="Fill","Division MOI managers, ","")IF(INDEX('MOA role matrix'!$B$2:$D$13,10,MATCH($B296,'MOA role matrix'!$B$1:$D$1,0))="If finance","Division MOI managers (if finance), ","")IF(INDEX('MOA role matrix'!$B$2:$D$13,10,MATCH($B296,'MOA role matrix'!$B$1:$D$1,0))="Auto","Division MOI managers (auto), ","")IF(INDEX('MOA role matrix'!$B$2:$D$13,11,MATCH($B296,'MOA role matrix'!$B$1:$D$1,0))="Fill","Ms Teh (bank), ","")IF(INDEX('MOA role matrix'!$B$2:$D$13,11,MATCH($B296,'MOA role matrix'!$B$1:$D$1,0))="If finance","Ms Teh (bank) (if finance), ","")IF(INDEX('MOA role matrix'!$B$2:$D$13,11,MATCH($B296,'MOA role matrix'!$B$1:$D$1,0))="Auto","Ms Teh (bank) (auto), ","")IF(INDEX('MOA role matrix'!$B$2:$D$13,12,MATCH($B296,'MOA role matrix'!$B$1:$D$1,0))="Fill","DLCM, ","")IF(INDEX('MOA role matrix'!$B$2:$D$13,12,MATCH($B296,'MOA role matrix'!$B$1:$D$1,0))="If finance","DLCM (if finance), ","")IF(INDEX('MOA role matrix'!$B$2:$D$13,12,MATCH($B296,'MOA role matrix'!$B$1:$D$1,0))="Auto","DLCM (auto), ","")))</f>
        <v/>
      </c>
      <c r="D296" s="5">
        <f>IF($A296="","",IFERROR(INDEX(FILTER('Client contacts'!$B$2:$B$500,('Client contacts'!$A$2:$A$500=$A296)*('Client contacts'!$H$2:$H$500="Y"),""),1),""))</f>
        <v/>
      </c>
      <c r="E296" s="5">
        <f>IF($A296="","",IFERROR(INDEX(FILTER('Client contacts'!$C$2:$C$500,('Client contacts'!$A$2:$A$500=$A296)*('Client contacts'!$H$2:$H$500="Y"),""),1),""))</f>
        <v/>
      </c>
      <c r="F296" s="5">
        <f>IF($A296="","",IFERROR(INDEX(FILTER('Client contacts'!$B$2:$B$500,('Client contacts'!$A$2:$A$500=$A296)*('Client contacts'!$G$2:$G$500="Y"),""),1),""))</f>
        <v/>
      </c>
      <c r="G296" s="5">
        <f>IF($A296="","",IFERROR(INDEX(FILTER('Client contacts'!$C$2:$C$500,('Client contacts'!$A$2:$A$500=$A296)*('Client contacts'!$G$2:$G$500="Y"),""),1),""))</f>
        <v/>
      </c>
      <c r="H296" s="5">
        <f>IF($A296="","",IFERROR(INDEX(FILTER('Client contacts'!$B$2:$B$500,('Client contacts'!$A$2:$A$500=$A296)*('Client contacts'!$G$2:$G$500="Y"),""),2),""))</f>
        <v/>
      </c>
      <c r="I296" s="5">
        <f>IF($A296="","",IFERROR(INDEX(FILTER('Client contacts'!$C$2:$C$500,('Client contacts'!$A$2:$A$500=$A296)*('Client contacts'!$G$2:$G$500="Y"),""),2),""))</f>
        <v/>
      </c>
      <c r="J296" s="8" t="n"/>
      <c r="K296" s="8" t="n"/>
      <c r="L296" s="8" t="n"/>
      <c r="M296" s="8" t="n"/>
      <c r="N296" s="8" t="n"/>
      <c r="O296" s="8" t="n"/>
      <c r="P296" s="8" t="n"/>
      <c r="Q296" s="8" t="n"/>
      <c r="R296" s="5">
        <f>IF($A296="","",IFERROR(INDEX(Companies!$I$2:$I$500,MATCH($A296,Companies!$A$2:$A$500,0)),""))</f>
        <v/>
      </c>
      <c r="S296" s="8" t="n"/>
      <c r="T296" s="8" t="n"/>
      <c r="U296" s="8" t="n"/>
      <c r="V296" s="8" t="n"/>
      <c r="W296" s="8" t="n"/>
    </row>
    <row r="297">
      <c r="C297" s="5">
        <f>IF($B297="","",TRIM(IF(INDEX('MOA role matrix'!$B$2:$D$13,1,MATCH($B297,'MOA role matrix'!$B$1:$D$1,0))="Fill","Project initiator, ","")IF(INDEX('MOA role matrix'!$B$2:$D$13,1,MATCH($B297,'MOA role matrix'!$B$1:$D$1,0))="If finance","Project initiator (if finance), ","")IF(INDEX('MOA role matrix'!$B$2:$D$13,1,MATCH($B297,'MOA role matrix'!$B$1:$D$1,0))="Auto","Project initiator (auto), ","")IF(INDEX('MOA role matrix'!$B$2:$D$13,2,MATCH($B297,'MOA role matrix'!$B$1:$D$1,0))="Fill","MOA signers (client), ","")IF(INDEX('MOA role matrix'!$B$2:$D$13,2,MATCH($B297,'MOA role matrix'!$B$1:$D$1,0))="If finance","MOA signers (client) (if finance), ","")IF(INDEX('MOA role matrix'!$B$2:$D$13,2,MATCH($B297,'MOA role matrix'!$B$1:$D$1,0))="Auto","MOA signers (client) (auto), ","")IF(INDEX('MOA role matrix'!$B$2:$D$13,3,MATCH($B297,'MOA role matrix'!$B$1:$D$1,0))="Fill","CFO / Head of Finance, ","")IF(INDEX('MOA role matrix'!$B$2:$D$13,3,MATCH($B297,'MOA role matrix'!$B$1:$D$1,0))="If finance","CFO / Head of Finance (if finance), ","")IF(INDEX('MOA role matrix'!$B$2:$D$13,3,MATCH($B297,'MOA role matrix'!$B$1:$D$1,0))="Auto","CFO / Head of Finance (auto), ","")IF(INDEX('MOA role matrix'!$B$2:$D$13,4,MATCH($B297,'MOA role matrix'!$B$1:$D$1,0))="Fill","CEO / COO / GM, ","")IF(INDEX('MOA role matrix'!$B$2:$D$13,4,MATCH($B297,'MOA role matrix'!$B$1:$D$1,0))="If finance","CEO / COO / GM (if finance), ","")IF(INDEX('MOA role matrix'!$B$2:$D$13,4,MATCH($B297,'MOA role matrix'!$B$1:$D$1,0))="Auto","CEO / COO / GM (auto), ","")IF(INDEX('MOA role matrix'!$B$2:$D$13,5,MATCH($B297,'MOA role matrix'!$B$1:$D$1,0))="Fill","Board member 1, ","")IF(INDEX('MOA role matrix'!$B$2:$D$13,5,MATCH($B297,'MOA role matrix'!$B$1:$D$1,0))="If finance","Board member 1 (if finance), ","")IF(INDEX('MOA role matrix'!$B$2:$D$13,5,MATCH($B297,'MOA role matrix'!$B$1:$D$1,0))="Auto","Board member 1 (auto), ","")IF(INDEX('MOA role matrix'!$B$2:$D$13,6,MATCH($B297,'MOA role matrix'!$B$1:$D$1,0))="Fill","Board member 2, ","")IF(INDEX('MOA role matrix'!$B$2:$D$13,6,MATCH($B297,'MOA role matrix'!$B$1:$D$1,0))="If finance","Board member 2 (if finance), ","")IF(INDEX('MOA role matrix'!$B$2:$D$13,6,MATCH($B297,'MOA role matrix'!$B$1:$D$1,0))="Auto","Board member 2 (auto), ","")IF(INDEX('MOA role matrix'!$B$2:$D$13,7,MATCH($B297,'MOA role matrix'!$B$1:$D$1,0))="Fill","LOA holder 1, ","")IF(INDEX('MOA role matrix'!$B$2:$D$13,7,MATCH($B297,'MOA role matrix'!$B$1:$D$1,0))="If finance","LOA holder 1 (if finance), ","")IF(INDEX('MOA role matrix'!$B$2:$D$13,7,MATCH($B297,'MOA role matrix'!$B$1:$D$1,0))="Auto","LOA holder 1 (auto), ","")IF(INDEX('MOA role matrix'!$B$2:$D$13,8,MATCH($B297,'MOA role matrix'!$B$1:$D$1,0))="Fill","LOA holder 2, ","")IF(INDEX('MOA role matrix'!$B$2:$D$13,8,MATCH($B297,'MOA role matrix'!$B$1:$D$1,0))="If finance","LOA holder 2 (if finance), ","")IF(INDEX('MOA role matrix'!$B$2:$D$13,8,MATCH($B297,'MOA role matrix'!$B$1:$D$1,0))="Auto","LOA holder 2 (auto), ","")IF(INDEX('MOA role matrix'!$B$2:$D$13,9,MATCH($B297,'MOA role matrix'!$B$1:$D$1,0))="Fill","Senior Manager CoSec, ","")IF(INDEX('MOA role matrix'!$B$2:$D$13,9,MATCH($B297,'MOA role matrix'!$B$1:$D$1,0))="If finance","Senior Manager CoSec (if finance), ","")IF(INDEX('MOA role matrix'!$B$2:$D$13,9,MATCH($B297,'MOA role matrix'!$B$1:$D$1,0))="Auto","Senior Manager CoSec (auto), ","")IF(INDEX('MOA role matrix'!$B$2:$D$13,10,MATCH($B297,'MOA role matrix'!$B$1:$D$1,0))="Fill","Division MOI managers, ","")IF(INDEX('MOA role matrix'!$B$2:$D$13,10,MATCH($B297,'MOA role matrix'!$B$1:$D$1,0))="If finance","Division MOI managers (if finance), ","")IF(INDEX('MOA role matrix'!$B$2:$D$13,10,MATCH($B297,'MOA role matrix'!$B$1:$D$1,0))="Auto","Division MOI managers (auto), ","")IF(INDEX('MOA role matrix'!$B$2:$D$13,11,MATCH($B297,'MOA role matrix'!$B$1:$D$1,0))="Fill","Ms Teh (bank), ","")IF(INDEX('MOA role matrix'!$B$2:$D$13,11,MATCH($B297,'MOA role matrix'!$B$1:$D$1,0))="If finance","Ms Teh (bank) (if finance), ","")IF(INDEX('MOA role matrix'!$B$2:$D$13,11,MATCH($B297,'MOA role matrix'!$B$1:$D$1,0))="Auto","Ms Teh (bank) (auto), ","")IF(INDEX('MOA role matrix'!$B$2:$D$13,12,MATCH($B297,'MOA role matrix'!$B$1:$D$1,0))="Fill","DLCM, ","")IF(INDEX('MOA role matrix'!$B$2:$D$13,12,MATCH($B297,'MOA role matrix'!$B$1:$D$1,0))="If finance","DLCM (if finance), ","")IF(INDEX('MOA role matrix'!$B$2:$D$13,12,MATCH($B297,'MOA role matrix'!$B$1:$D$1,0))="Auto","DLCM (auto), ","")))</f>
        <v/>
      </c>
      <c r="D297" s="5">
        <f>IF($A297="","",IFERROR(INDEX(FILTER('Client contacts'!$B$2:$B$500,('Client contacts'!$A$2:$A$500=$A297)*('Client contacts'!$H$2:$H$500="Y"),""),1),""))</f>
        <v/>
      </c>
      <c r="E297" s="5">
        <f>IF($A297="","",IFERROR(INDEX(FILTER('Client contacts'!$C$2:$C$500,('Client contacts'!$A$2:$A$500=$A297)*('Client contacts'!$H$2:$H$500="Y"),""),1),""))</f>
        <v/>
      </c>
      <c r="F297" s="5">
        <f>IF($A297="","",IFERROR(INDEX(FILTER('Client contacts'!$B$2:$B$500,('Client contacts'!$A$2:$A$500=$A297)*('Client contacts'!$G$2:$G$500="Y"),""),1),""))</f>
        <v/>
      </c>
      <c r="G297" s="5">
        <f>IF($A297="","",IFERROR(INDEX(FILTER('Client contacts'!$C$2:$C$500,('Client contacts'!$A$2:$A$500=$A297)*('Client contacts'!$G$2:$G$500="Y"),""),1),""))</f>
        <v/>
      </c>
      <c r="H297" s="5">
        <f>IF($A297="","",IFERROR(INDEX(FILTER('Client contacts'!$B$2:$B$500,('Client contacts'!$A$2:$A$500=$A297)*('Client contacts'!$G$2:$G$500="Y"),""),2),""))</f>
        <v/>
      </c>
      <c r="I297" s="5">
        <f>IF($A297="","",IFERROR(INDEX(FILTER('Client contacts'!$C$2:$C$500,('Client contacts'!$A$2:$A$500=$A297)*('Client contacts'!$G$2:$G$500="Y"),""),2),""))</f>
        <v/>
      </c>
      <c r="J297" s="8" t="n"/>
      <c r="K297" s="8" t="n"/>
      <c r="L297" s="8" t="n"/>
      <c r="M297" s="8" t="n"/>
      <c r="N297" s="8" t="n"/>
      <c r="O297" s="8" t="n"/>
      <c r="P297" s="8" t="n"/>
      <c r="Q297" s="8" t="n"/>
      <c r="R297" s="5">
        <f>IF($A297="","",IFERROR(INDEX(Companies!$I$2:$I$500,MATCH($A297,Companies!$A$2:$A$500,0)),""))</f>
        <v/>
      </c>
      <c r="S297" s="8" t="n"/>
      <c r="T297" s="8" t="n"/>
      <c r="U297" s="8" t="n"/>
      <c r="V297" s="8" t="n"/>
      <c r="W297" s="8" t="n"/>
    </row>
    <row r="298">
      <c r="C298" s="5">
        <f>IF($B298="","",TRIM(IF(INDEX('MOA role matrix'!$B$2:$D$13,1,MATCH($B298,'MOA role matrix'!$B$1:$D$1,0))="Fill","Project initiator, ","")IF(INDEX('MOA role matrix'!$B$2:$D$13,1,MATCH($B298,'MOA role matrix'!$B$1:$D$1,0))="If finance","Project initiator (if finance), ","")IF(INDEX('MOA role matrix'!$B$2:$D$13,1,MATCH($B298,'MOA role matrix'!$B$1:$D$1,0))="Auto","Project initiator (auto), ","")IF(INDEX('MOA role matrix'!$B$2:$D$13,2,MATCH($B298,'MOA role matrix'!$B$1:$D$1,0))="Fill","MOA signers (client), ","")IF(INDEX('MOA role matrix'!$B$2:$D$13,2,MATCH($B298,'MOA role matrix'!$B$1:$D$1,0))="If finance","MOA signers (client) (if finance), ","")IF(INDEX('MOA role matrix'!$B$2:$D$13,2,MATCH($B298,'MOA role matrix'!$B$1:$D$1,0))="Auto","MOA signers (client) (auto), ","")IF(INDEX('MOA role matrix'!$B$2:$D$13,3,MATCH($B298,'MOA role matrix'!$B$1:$D$1,0))="Fill","CFO / Head of Finance, ","")IF(INDEX('MOA role matrix'!$B$2:$D$13,3,MATCH($B298,'MOA role matrix'!$B$1:$D$1,0))="If finance","CFO / Head of Finance (if finance), ","")IF(INDEX('MOA role matrix'!$B$2:$D$13,3,MATCH($B298,'MOA role matrix'!$B$1:$D$1,0))="Auto","CFO / Head of Finance (auto), ","")IF(INDEX('MOA role matrix'!$B$2:$D$13,4,MATCH($B298,'MOA role matrix'!$B$1:$D$1,0))="Fill","CEO / COO / GM, ","")IF(INDEX('MOA role matrix'!$B$2:$D$13,4,MATCH($B298,'MOA role matrix'!$B$1:$D$1,0))="If finance","CEO / COO / GM (if finance), ","")IF(INDEX('MOA role matrix'!$B$2:$D$13,4,MATCH($B298,'MOA role matrix'!$B$1:$D$1,0))="Auto","CEO / COO / GM (auto), ","")IF(INDEX('MOA role matrix'!$B$2:$D$13,5,MATCH($B298,'MOA role matrix'!$B$1:$D$1,0))="Fill","Board member 1, ","")IF(INDEX('MOA role matrix'!$B$2:$D$13,5,MATCH($B298,'MOA role matrix'!$B$1:$D$1,0))="If finance","Board member 1 (if finance), ","")IF(INDEX('MOA role matrix'!$B$2:$D$13,5,MATCH($B298,'MOA role matrix'!$B$1:$D$1,0))="Auto","Board member 1 (auto), ","")IF(INDEX('MOA role matrix'!$B$2:$D$13,6,MATCH($B298,'MOA role matrix'!$B$1:$D$1,0))="Fill","Board member 2, ","")IF(INDEX('MOA role matrix'!$B$2:$D$13,6,MATCH($B298,'MOA role matrix'!$B$1:$D$1,0))="If finance","Board member 2 (if finance), ","")IF(INDEX('MOA role matrix'!$B$2:$D$13,6,MATCH($B298,'MOA role matrix'!$B$1:$D$1,0))="Auto","Board member 2 (auto), ","")IF(INDEX('MOA role matrix'!$B$2:$D$13,7,MATCH($B298,'MOA role matrix'!$B$1:$D$1,0))="Fill","LOA holder 1, ","")IF(INDEX('MOA role matrix'!$B$2:$D$13,7,MATCH($B298,'MOA role matrix'!$B$1:$D$1,0))="If finance","LOA holder 1 (if finance), ","")IF(INDEX('MOA role matrix'!$B$2:$D$13,7,MATCH($B298,'MOA role matrix'!$B$1:$D$1,0))="Auto","LOA holder 1 (auto), ","")IF(INDEX('MOA role matrix'!$B$2:$D$13,8,MATCH($B298,'MOA role matrix'!$B$1:$D$1,0))="Fill","LOA holder 2, ","")IF(INDEX('MOA role matrix'!$B$2:$D$13,8,MATCH($B298,'MOA role matrix'!$B$1:$D$1,0))="If finance","LOA holder 2 (if finance), ","")IF(INDEX('MOA role matrix'!$B$2:$D$13,8,MATCH($B298,'MOA role matrix'!$B$1:$D$1,0))="Auto","LOA holder 2 (auto), ","")IF(INDEX('MOA role matrix'!$B$2:$D$13,9,MATCH($B298,'MOA role matrix'!$B$1:$D$1,0))="Fill","Senior Manager CoSec, ","")IF(INDEX('MOA role matrix'!$B$2:$D$13,9,MATCH($B298,'MOA role matrix'!$B$1:$D$1,0))="If finance","Senior Manager CoSec (if finance), ","")IF(INDEX('MOA role matrix'!$B$2:$D$13,9,MATCH($B298,'MOA role matrix'!$B$1:$D$1,0))="Auto","Senior Manager CoSec (auto), ","")IF(INDEX('MOA role matrix'!$B$2:$D$13,10,MATCH($B298,'MOA role matrix'!$B$1:$D$1,0))="Fill","Division MOI managers, ","")IF(INDEX('MOA role matrix'!$B$2:$D$13,10,MATCH($B298,'MOA role matrix'!$B$1:$D$1,0))="If finance","Division MOI managers (if finance), ","")IF(INDEX('MOA role matrix'!$B$2:$D$13,10,MATCH($B298,'MOA role matrix'!$B$1:$D$1,0))="Auto","Division MOI managers (auto), ","")IF(INDEX('MOA role matrix'!$B$2:$D$13,11,MATCH($B298,'MOA role matrix'!$B$1:$D$1,0))="Fill","Ms Teh (bank), ","")IF(INDEX('MOA role matrix'!$B$2:$D$13,11,MATCH($B298,'MOA role matrix'!$B$1:$D$1,0))="If finance","Ms Teh (bank) (if finance), ","")IF(INDEX('MOA role matrix'!$B$2:$D$13,11,MATCH($B298,'MOA role matrix'!$B$1:$D$1,0))="Auto","Ms Teh (bank) (auto), ","")IF(INDEX('MOA role matrix'!$B$2:$D$13,12,MATCH($B298,'MOA role matrix'!$B$1:$D$1,0))="Fill","DLCM, ","")IF(INDEX('MOA role matrix'!$B$2:$D$13,12,MATCH($B298,'MOA role matrix'!$B$1:$D$1,0))="If finance","DLCM (if finance), ","")IF(INDEX('MOA role matrix'!$B$2:$D$13,12,MATCH($B298,'MOA role matrix'!$B$1:$D$1,0))="Auto","DLCM (auto), ","")))</f>
        <v/>
      </c>
      <c r="D298" s="5">
        <f>IF($A298="","",IFERROR(INDEX(FILTER('Client contacts'!$B$2:$B$500,('Client contacts'!$A$2:$A$500=$A298)*('Client contacts'!$H$2:$H$500="Y"),""),1),""))</f>
        <v/>
      </c>
      <c r="E298" s="5">
        <f>IF($A298="","",IFERROR(INDEX(FILTER('Client contacts'!$C$2:$C$500,('Client contacts'!$A$2:$A$500=$A298)*('Client contacts'!$H$2:$H$500="Y"),""),1),""))</f>
        <v/>
      </c>
      <c r="F298" s="5">
        <f>IF($A298="","",IFERROR(INDEX(FILTER('Client contacts'!$B$2:$B$500,('Client contacts'!$A$2:$A$500=$A298)*('Client contacts'!$G$2:$G$500="Y"),""),1),""))</f>
        <v/>
      </c>
      <c r="G298" s="5">
        <f>IF($A298="","",IFERROR(INDEX(FILTER('Client contacts'!$C$2:$C$500,('Client contacts'!$A$2:$A$500=$A298)*('Client contacts'!$G$2:$G$500="Y"),""),1),""))</f>
        <v/>
      </c>
      <c r="H298" s="5">
        <f>IF($A298="","",IFERROR(INDEX(FILTER('Client contacts'!$B$2:$B$500,('Client contacts'!$A$2:$A$500=$A298)*('Client contacts'!$G$2:$G$500="Y"),""),2),""))</f>
        <v/>
      </c>
      <c r="I298" s="5">
        <f>IF($A298="","",IFERROR(INDEX(FILTER('Client contacts'!$C$2:$C$500,('Client contacts'!$A$2:$A$500=$A298)*('Client contacts'!$G$2:$G$500="Y"),""),2),""))</f>
        <v/>
      </c>
      <c r="J298" s="8" t="n"/>
      <c r="K298" s="8" t="n"/>
      <c r="L298" s="8" t="n"/>
      <c r="M298" s="8" t="n"/>
      <c r="N298" s="8" t="n"/>
      <c r="O298" s="8" t="n"/>
      <c r="P298" s="8" t="n"/>
      <c r="Q298" s="8" t="n"/>
      <c r="R298" s="5">
        <f>IF($A298="","",IFERROR(INDEX(Companies!$I$2:$I$500,MATCH($A298,Companies!$A$2:$A$500,0)),""))</f>
        <v/>
      </c>
      <c r="S298" s="8" t="n"/>
      <c r="T298" s="8" t="n"/>
      <c r="U298" s="8" t="n"/>
      <c r="V298" s="8" t="n"/>
      <c r="W298" s="8" t="n"/>
    </row>
    <row r="299">
      <c r="C299" s="5">
        <f>IF($B299="","",TRIM(IF(INDEX('MOA role matrix'!$B$2:$D$13,1,MATCH($B299,'MOA role matrix'!$B$1:$D$1,0))="Fill","Project initiator, ","")IF(INDEX('MOA role matrix'!$B$2:$D$13,1,MATCH($B299,'MOA role matrix'!$B$1:$D$1,0))="If finance","Project initiator (if finance), ","")IF(INDEX('MOA role matrix'!$B$2:$D$13,1,MATCH($B299,'MOA role matrix'!$B$1:$D$1,0))="Auto","Project initiator (auto), ","")IF(INDEX('MOA role matrix'!$B$2:$D$13,2,MATCH($B299,'MOA role matrix'!$B$1:$D$1,0))="Fill","MOA signers (client), ","")IF(INDEX('MOA role matrix'!$B$2:$D$13,2,MATCH($B299,'MOA role matrix'!$B$1:$D$1,0))="If finance","MOA signers (client) (if finance), ","")IF(INDEX('MOA role matrix'!$B$2:$D$13,2,MATCH($B299,'MOA role matrix'!$B$1:$D$1,0))="Auto","MOA signers (client) (auto), ","")IF(INDEX('MOA role matrix'!$B$2:$D$13,3,MATCH($B299,'MOA role matrix'!$B$1:$D$1,0))="Fill","CFO / Head of Finance, ","")IF(INDEX('MOA role matrix'!$B$2:$D$13,3,MATCH($B299,'MOA role matrix'!$B$1:$D$1,0))="If finance","CFO / Head of Finance (if finance), ","")IF(INDEX('MOA role matrix'!$B$2:$D$13,3,MATCH($B299,'MOA role matrix'!$B$1:$D$1,0))="Auto","CFO / Head of Finance (auto), ","")IF(INDEX('MOA role matrix'!$B$2:$D$13,4,MATCH($B299,'MOA role matrix'!$B$1:$D$1,0))="Fill","CEO / COO / GM, ","")IF(INDEX('MOA role matrix'!$B$2:$D$13,4,MATCH($B299,'MOA role matrix'!$B$1:$D$1,0))="If finance","CEO / COO / GM (if finance), ","")IF(INDEX('MOA role matrix'!$B$2:$D$13,4,MATCH($B299,'MOA role matrix'!$B$1:$D$1,0))="Auto","CEO / COO / GM (auto), ","")IF(INDEX('MOA role matrix'!$B$2:$D$13,5,MATCH($B299,'MOA role matrix'!$B$1:$D$1,0))="Fill","Board member 1, ","")IF(INDEX('MOA role matrix'!$B$2:$D$13,5,MATCH($B299,'MOA role matrix'!$B$1:$D$1,0))="If finance","Board member 1 (if finance), ","")IF(INDEX('MOA role matrix'!$B$2:$D$13,5,MATCH($B299,'MOA role matrix'!$B$1:$D$1,0))="Auto","Board member 1 (auto), ","")IF(INDEX('MOA role matrix'!$B$2:$D$13,6,MATCH($B299,'MOA role matrix'!$B$1:$D$1,0))="Fill","Board member 2, ","")IF(INDEX('MOA role matrix'!$B$2:$D$13,6,MATCH($B299,'MOA role matrix'!$B$1:$D$1,0))="If finance","Board member 2 (if finance), ","")IF(INDEX('MOA role matrix'!$B$2:$D$13,6,MATCH($B299,'MOA role matrix'!$B$1:$D$1,0))="Auto","Board member 2 (auto), ","")IF(INDEX('MOA role matrix'!$B$2:$D$13,7,MATCH($B299,'MOA role matrix'!$B$1:$D$1,0))="Fill","LOA holder 1, ","")IF(INDEX('MOA role matrix'!$B$2:$D$13,7,MATCH($B299,'MOA role matrix'!$B$1:$D$1,0))="If finance","LOA holder 1 (if finance), ","")IF(INDEX('MOA role matrix'!$B$2:$D$13,7,MATCH($B299,'MOA role matrix'!$B$1:$D$1,0))="Auto","LOA holder 1 (auto), ","")IF(INDEX('MOA role matrix'!$B$2:$D$13,8,MATCH($B299,'MOA role matrix'!$B$1:$D$1,0))="Fill","LOA holder 2, ","")IF(INDEX('MOA role matrix'!$B$2:$D$13,8,MATCH($B299,'MOA role matrix'!$B$1:$D$1,0))="If finance","LOA holder 2 (if finance), ","")IF(INDEX('MOA role matrix'!$B$2:$D$13,8,MATCH($B299,'MOA role matrix'!$B$1:$D$1,0))="Auto","LOA holder 2 (auto), ","")IF(INDEX('MOA role matrix'!$B$2:$D$13,9,MATCH($B299,'MOA role matrix'!$B$1:$D$1,0))="Fill","Senior Manager CoSec, ","")IF(INDEX('MOA role matrix'!$B$2:$D$13,9,MATCH($B299,'MOA role matrix'!$B$1:$D$1,0))="If finance","Senior Manager CoSec (if finance), ","")IF(INDEX('MOA role matrix'!$B$2:$D$13,9,MATCH($B299,'MOA role matrix'!$B$1:$D$1,0))="Auto","Senior Manager CoSec (auto), ","")IF(INDEX('MOA role matrix'!$B$2:$D$13,10,MATCH($B299,'MOA role matrix'!$B$1:$D$1,0))="Fill","Division MOI managers, ","")IF(INDEX('MOA role matrix'!$B$2:$D$13,10,MATCH($B299,'MOA role matrix'!$B$1:$D$1,0))="If finance","Division MOI managers (if finance), ","")IF(INDEX('MOA role matrix'!$B$2:$D$13,10,MATCH($B299,'MOA role matrix'!$B$1:$D$1,0))="Auto","Division MOI managers (auto), ","")IF(INDEX('MOA role matrix'!$B$2:$D$13,11,MATCH($B299,'MOA role matrix'!$B$1:$D$1,0))="Fill","Ms Teh (bank), ","")IF(INDEX('MOA role matrix'!$B$2:$D$13,11,MATCH($B299,'MOA role matrix'!$B$1:$D$1,0))="If finance","Ms Teh (bank) (if finance), ","")IF(INDEX('MOA role matrix'!$B$2:$D$13,11,MATCH($B299,'MOA role matrix'!$B$1:$D$1,0))="Auto","Ms Teh (bank) (auto), ","")IF(INDEX('MOA role matrix'!$B$2:$D$13,12,MATCH($B299,'MOA role matrix'!$B$1:$D$1,0))="Fill","DLCM, ","")IF(INDEX('MOA role matrix'!$B$2:$D$13,12,MATCH($B299,'MOA role matrix'!$B$1:$D$1,0))="If finance","DLCM (if finance), ","")IF(INDEX('MOA role matrix'!$B$2:$D$13,12,MATCH($B299,'MOA role matrix'!$B$1:$D$1,0))="Auto","DLCM (auto), ","")))</f>
        <v/>
      </c>
      <c r="D299" s="5">
        <f>IF($A299="","",IFERROR(INDEX(FILTER('Client contacts'!$B$2:$B$500,('Client contacts'!$A$2:$A$500=$A299)*('Client contacts'!$H$2:$H$500="Y"),""),1),""))</f>
        <v/>
      </c>
      <c r="E299" s="5">
        <f>IF($A299="","",IFERROR(INDEX(FILTER('Client contacts'!$C$2:$C$500,('Client contacts'!$A$2:$A$500=$A299)*('Client contacts'!$H$2:$H$500="Y"),""),1),""))</f>
        <v/>
      </c>
      <c r="F299" s="5">
        <f>IF($A299="","",IFERROR(INDEX(FILTER('Client contacts'!$B$2:$B$500,('Client contacts'!$A$2:$A$500=$A299)*('Client contacts'!$G$2:$G$500="Y"),""),1),""))</f>
        <v/>
      </c>
      <c r="G299" s="5">
        <f>IF($A299="","",IFERROR(INDEX(FILTER('Client contacts'!$C$2:$C$500,('Client contacts'!$A$2:$A$500=$A299)*('Client contacts'!$G$2:$G$500="Y"),""),1),""))</f>
        <v/>
      </c>
      <c r="H299" s="5">
        <f>IF($A299="","",IFERROR(INDEX(FILTER('Client contacts'!$B$2:$B$500,('Client contacts'!$A$2:$A$500=$A299)*('Client contacts'!$G$2:$G$500="Y"),""),2),""))</f>
        <v/>
      </c>
      <c r="I299" s="5">
        <f>IF($A299="","",IFERROR(INDEX(FILTER('Client contacts'!$C$2:$C$500,('Client contacts'!$A$2:$A$500=$A299)*('Client contacts'!$G$2:$G$500="Y"),""),2),""))</f>
        <v/>
      </c>
      <c r="J299" s="8" t="n"/>
      <c r="K299" s="8" t="n"/>
      <c r="L299" s="8" t="n"/>
      <c r="M299" s="8" t="n"/>
      <c r="N299" s="8" t="n"/>
      <c r="O299" s="8" t="n"/>
      <c r="P299" s="8" t="n"/>
      <c r="Q299" s="8" t="n"/>
      <c r="R299" s="5">
        <f>IF($A299="","",IFERROR(INDEX(Companies!$I$2:$I$500,MATCH($A299,Companies!$A$2:$A$500,0)),""))</f>
        <v/>
      </c>
      <c r="S299" s="8" t="n"/>
      <c r="T299" s="8" t="n"/>
      <c r="U299" s="8" t="n"/>
      <c r="V299" s="8" t="n"/>
      <c r="W299" s="8" t="n"/>
    </row>
    <row r="300">
      <c r="C300" s="5">
        <f>IF($B300="","",TRIM(IF(INDEX('MOA role matrix'!$B$2:$D$13,1,MATCH($B300,'MOA role matrix'!$B$1:$D$1,0))="Fill","Project initiator, ","")IF(INDEX('MOA role matrix'!$B$2:$D$13,1,MATCH($B300,'MOA role matrix'!$B$1:$D$1,0))="If finance","Project initiator (if finance), ","")IF(INDEX('MOA role matrix'!$B$2:$D$13,1,MATCH($B300,'MOA role matrix'!$B$1:$D$1,0))="Auto","Project initiator (auto), ","")IF(INDEX('MOA role matrix'!$B$2:$D$13,2,MATCH($B300,'MOA role matrix'!$B$1:$D$1,0))="Fill","MOA signers (client), ","")IF(INDEX('MOA role matrix'!$B$2:$D$13,2,MATCH($B300,'MOA role matrix'!$B$1:$D$1,0))="If finance","MOA signers (client) (if finance), ","")IF(INDEX('MOA role matrix'!$B$2:$D$13,2,MATCH($B300,'MOA role matrix'!$B$1:$D$1,0))="Auto","MOA signers (client) (auto), ","")IF(INDEX('MOA role matrix'!$B$2:$D$13,3,MATCH($B300,'MOA role matrix'!$B$1:$D$1,0))="Fill","CFO / Head of Finance, ","")IF(INDEX('MOA role matrix'!$B$2:$D$13,3,MATCH($B300,'MOA role matrix'!$B$1:$D$1,0))="If finance","CFO / Head of Finance (if finance), ","")IF(INDEX('MOA role matrix'!$B$2:$D$13,3,MATCH($B300,'MOA role matrix'!$B$1:$D$1,0))="Auto","CFO / Head of Finance (auto), ","")IF(INDEX('MOA role matrix'!$B$2:$D$13,4,MATCH($B300,'MOA role matrix'!$B$1:$D$1,0))="Fill","CEO / COO / GM, ","")IF(INDEX('MOA role matrix'!$B$2:$D$13,4,MATCH($B300,'MOA role matrix'!$B$1:$D$1,0))="If finance","CEO / COO / GM (if finance), ","")IF(INDEX('MOA role matrix'!$B$2:$D$13,4,MATCH($B300,'MOA role matrix'!$B$1:$D$1,0))="Auto","CEO / COO / GM (auto), ","")IF(INDEX('MOA role matrix'!$B$2:$D$13,5,MATCH($B300,'MOA role matrix'!$B$1:$D$1,0))="Fill","Board member 1, ","")IF(INDEX('MOA role matrix'!$B$2:$D$13,5,MATCH($B300,'MOA role matrix'!$B$1:$D$1,0))="If finance","Board member 1 (if finance), ","")IF(INDEX('MOA role matrix'!$B$2:$D$13,5,MATCH($B300,'MOA role matrix'!$B$1:$D$1,0))="Auto","Board member 1 (auto), ","")IF(INDEX('MOA role matrix'!$B$2:$D$13,6,MATCH($B300,'MOA role matrix'!$B$1:$D$1,0))="Fill","Board member 2, ","")IF(INDEX('MOA role matrix'!$B$2:$D$13,6,MATCH($B300,'MOA role matrix'!$B$1:$D$1,0))="If finance","Board member 2 (if finance), ","")IF(INDEX('MOA role matrix'!$B$2:$D$13,6,MATCH($B300,'MOA role matrix'!$B$1:$D$1,0))="Auto","Board member 2 (auto), ","")IF(INDEX('MOA role matrix'!$B$2:$D$13,7,MATCH($B300,'MOA role matrix'!$B$1:$D$1,0))="Fill","LOA holder 1, ","")IF(INDEX('MOA role matrix'!$B$2:$D$13,7,MATCH($B300,'MOA role matrix'!$B$1:$D$1,0))="If finance","LOA holder 1 (if finance), ","")IF(INDEX('MOA role matrix'!$B$2:$D$13,7,MATCH($B300,'MOA role matrix'!$B$1:$D$1,0))="Auto","LOA holder 1 (auto), ","")IF(INDEX('MOA role matrix'!$B$2:$D$13,8,MATCH($B300,'MOA role matrix'!$B$1:$D$1,0))="Fill","LOA holder 2, ","")IF(INDEX('MOA role matrix'!$B$2:$D$13,8,MATCH($B300,'MOA role matrix'!$B$1:$D$1,0))="If finance","LOA holder 2 (if finance), ","")IF(INDEX('MOA role matrix'!$B$2:$D$13,8,MATCH($B300,'MOA role matrix'!$B$1:$D$1,0))="Auto","LOA holder 2 (auto), ","")IF(INDEX('MOA role matrix'!$B$2:$D$13,9,MATCH($B300,'MOA role matrix'!$B$1:$D$1,0))="Fill","Senior Manager CoSec, ","")IF(INDEX('MOA role matrix'!$B$2:$D$13,9,MATCH($B300,'MOA role matrix'!$B$1:$D$1,0))="If finance","Senior Manager CoSec (if finance), ","")IF(INDEX('MOA role matrix'!$B$2:$D$13,9,MATCH($B300,'MOA role matrix'!$B$1:$D$1,0))="Auto","Senior Manager CoSec (auto), ","")IF(INDEX('MOA role matrix'!$B$2:$D$13,10,MATCH($B300,'MOA role matrix'!$B$1:$D$1,0))="Fill","Division MOI managers, ","")IF(INDEX('MOA role matrix'!$B$2:$D$13,10,MATCH($B300,'MOA role matrix'!$B$1:$D$1,0))="If finance","Division MOI managers (if finance), ","")IF(INDEX('MOA role matrix'!$B$2:$D$13,10,MATCH($B300,'MOA role matrix'!$B$1:$D$1,0))="Auto","Division MOI managers (auto), ","")IF(INDEX('MOA role matrix'!$B$2:$D$13,11,MATCH($B300,'MOA role matrix'!$B$1:$D$1,0))="Fill","Ms Teh (bank), ","")IF(INDEX('MOA role matrix'!$B$2:$D$13,11,MATCH($B300,'MOA role matrix'!$B$1:$D$1,0))="If finance","Ms Teh (bank) (if finance), ","")IF(INDEX('MOA role matrix'!$B$2:$D$13,11,MATCH($B300,'MOA role matrix'!$B$1:$D$1,0))="Auto","Ms Teh (bank) (auto), ","")IF(INDEX('MOA role matrix'!$B$2:$D$13,12,MATCH($B300,'MOA role matrix'!$B$1:$D$1,0))="Fill","DLCM, ","")IF(INDEX('MOA role matrix'!$B$2:$D$13,12,MATCH($B300,'MOA role matrix'!$B$1:$D$1,0))="If finance","DLCM (if finance), ","")IF(INDEX('MOA role matrix'!$B$2:$D$13,12,MATCH($B300,'MOA role matrix'!$B$1:$D$1,0))="Auto","DLCM (auto), ","")))</f>
        <v/>
      </c>
      <c r="D300" s="5">
        <f>IF($A300="","",IFERROR(INDEX(FILTER('Client contacts'!$B$2:$B$500,('Client contacts'!$A$2:$A$500=$A300)*('Client contacts'!$H$2:$H$500="Y"),""),1),""))</f>
        <v/>
      </c>
      <c r="E300" s="5">
        <f>IF($A300="","",IFERROR(INDEX(FILTER('Client contacts'!$C$2:$C$500,('Client contacts'!$A$2:$A$500=$A300)*('Client contacts'!$H$2:$H$500="Y"),""),1),""))</f>
        <v/>
      </c>
      <c r="F300" s="5">
        <f>IF($A300="","",IFERROR(INDEX(FILTER('Client contacts'!$B$2:$B$500,('Client contacts'!$A$2:$A$500=$A300)*('Client contacts'!$G$2:$G$500="Y"),""),1),""))</f>
        <v/>
      </c>
      <c r="G300" s="5">
        <f>IF($A300="","",IFERROR(INDEX(FILTER('Client contacts'!$C$2:$C$500,('Client contacts'!$A$2:$A$500=$A300)*('Client contacts'!$G$2:$G$500="Y"),""),1),""))</f>
        <v/>
      </c>
      <c r="H300" s="5">
        <f>IF($A300="","",IFERROR(INDEX(FILTER('Client contacts'!$B$2:$B$500,('Client contacts'!$A$2:$A$500=$A300)*('Client contacts'!$G$2:$G$500="Y"),""),2),""))</f>
        <v/>
      </c>
      <c r="I300" s="5">
        <f>IF($A300="","",IFERROR(INDEX(FILTER('Client contacts'!$C$2:$C$500,('Client contacts'!$A$2:$A$500=$A300)*('Client contacts'!$G$2:$G$500="Y"),""),2),""))</f>
        <v/>
      </c>
      <c r="J300" s="8" t="n"/>
      <c r="K300" s="8" t="n"/>
      <c r="L300" s="8" t="n"/>
      <c r="M300" s="8" t="n"/>
      <c r="N300" s="8" t="n"/>
      <c r="O300" s="8" t="n"/>
      <c r="P300" s="8" t="n"/>
      <c r="Q300" s="8" t="n"/>
      <c r="R300" s="5">
        <f>IF($A300="","",IFERROR(INDEX(Companies!$I$2:$I$500,MATCH($A300,Companies!$A$2:$A$500,0)),""))</f>
        <v/>
      </c>
      <c r="S300" s="8" t="n"/>
      <c r="T300" s="8" t="n"/>
      <c r="U300" s="8" t="n"/>
      <c r="V300" s="8" t="n"/>
      <c r="W300" s="8" t="n"/>
    </row>
    <row r="301">
      <c r="C301" s="5">
        <f>IF($B301="","",TRIM(IF(INDEX('MOA role matrix'!$B$2:$D$13,1,MATCH($B301,'MOA role matrix'!$B$1:$D$1,0))="Fill","Project initiator, ","")IF(INDEX('MOA role matrix'!$B$2:$D$13,1,MATCH($B301,'MOA role matrix'!$B$1:$D$1,0))="If finance","Project initiator (if finance), ","")IF(INDEX('MOA role matrix'!$B$2:$D$13,1,MATCH($B301,'MOA role matrix'!$B$1:$D$1,0))="Auto","Project initiator (auto), ","")IF(INDEX('MOA role matrix'!$B$2:$D$13,2,MATCH($B301,'MOA role matrix'!$B$1:$D$1,0))="Fill","MOA signers (client), ","")IF(INDEX('MOA role matrix'!$B$2:$D$13,2,MATCH($B301,'MOA role matrix'!$B$1:$D$1,0))="If finance","MOA signers (client) (if finance), ","")IF(INDEX('MOA role matrix'!$B$2:$D$13,2,MATCH($B301,'MOA role matrix'!$B$1:$D$1,0))="Auto","MOA signers (client) (auto), ","")IF(INDEX('MOA role matrix'!$B$2:$D$13,3,MATCH($B301,'MOA role matrix'!$B$1:$D$1,0))="Fill","CFO / Head of Finance, ","")IF(INDEX('MOA role matrix'!$B$2:$D$13,3,MATCH($B301,'MOA role matrix'!$B$1:$D$1,0))="If finance","CFO / Head of Finance (if finance), ","")IF(INDEX('MOA role matrix'!$B$2:$D$13,3,MATCH($B301,'MOA role matrix'!$B$1:$D$1,0))="Auto","CFO / Head of Finance (auto), ","")IF(INDEX('MOA role matrix'!$B$2:$D$13,4,MATCH($B301,'MOA role matrix'!$B$1:$D$1,0))="Fill","CEO / COO / GM, ","")IF(INDEX('MOA role matrix'!$B$2:$D$13,4,MATCH($B301,'MOA role matrix'!$B$1:$D$1,0))="If finance","CEO / COO / GM (if finance), ","")IF(INDEX('MOA role matrix'!$B$2:$D$13,4,MATCH($B301,'MOA role matrix'!$B$1:$D$1,0))="Auto","CEO / COO / GM (auto), ","")IF(INDEX('MOA role matrix'!$B$2:$D$13,5,MATCH($B301,'MOA role matrix'!$B$1:$D$1,0))="Fill","Board member 1, ","")IF(INDEX('MOA role matrix'!$B$2:$D$13,5,MATCH($B301,'MOA role matrix'!$B$1:$D$1,0))="If finance","Board member 1 (if finance), ","")IF(INDEX('MOA role matrix'!$B$2:$D$13,5,MATCH($B301,'MOA role matrix'!$B$1:$D$1,0))="Auto","Board member 1 (auto), ","")IF(INDEX('MOA role matrix'!$B$2:$D$13,6,MATCH($B301,'MOA role matrix'!$B$1:$D$1,0))="Fill","Board member 2, ","")IF(INDEX('MOA role matrix'!$B$2:$D$13,6,MATCH($B301,'MOA role matrix'!$B$1:$D$1,0))="If finance","Board member 2 (if finance), ","")IF(INDEX('MOA role matrix'!$B$2:$D$13,6,MATCH($B301,'MOA role matrix'!$B$1:$D$1,0))="Auto","Board member 2 (auto), ","")IF(INDEX('MOA role matrix'!$B$2:$D$13,7,MATCH($B301,'MOA role matrix'!$B$1:$D$1,0))="Fill","LOA holder 1, ","")IF(INDEX('MOA role matrix'!$B$2:$D$13,7,MATCH($B301,'MOA role matrix'!$B$1:$D$1,0))="If finance","LOA holder 1 (if finance), ","")IF(INDEX('MOA role matrix'!$B$2:$D$13,7,MATCH($B301,'MOA role matrix'!$B$1:$D$1,0))="Auto","LOA holder 1 (auto), ","")IF(INDEX('MOA role matrix'!$B$2:$D$13,8,MATCH($B301,'MOA role matrix'!$B$1:$D$1,0))="Fill","LOA holder 2, ","")IF(INDEX('MOA role matrix'!$B$2:$D$13,8,MATCH($B301,'MOA role matrix'!$B$1:$D$1,0))="If finance","LOA holder 2 (if finance), ","")IF(INDEX('MOA role matrix'!$B$2:$D$13,8,MATCH($B301,'MOA role matrix'!$B$1:$D$1,0))="Auto","LOA holder 2 (auto), ","")IF(INDEX('MOA role matrix'!$B$2:$D$13,9,MATCH($B301,'MOA role matrix'!$B$1:$D$1,0))="Fill","Senior Manager CoSec, ","")IF(INDEX('MOA role matrix'!$B$2:$D$13,9,MATCH($B301,'MOA role matrix'!$B$1:$D$1,0))="If finance","Senior Manager CoSec (if finance), ","")IF(INDEX('MOA role matrix'!$B$2:$D$13,9,MATCH($B301,'MOA role matrix'!$B$1:$D$1,0))="Auto","Senior Manager CoSec (auto), ","")IF(INDEX('MOA role matrix'!$B$2:$D$13,10,MATCH($B301,'MOA role matrix'!$B$1:$D$1,0))="Fill","Division MOI managers, ","")IF(INDEX('MOA role matrix'!$B$2:$D$13,10,MATCH($B301,'MOA role matrix'!$B$1:$D$1,0))="If finance","Division MOI managers (if finance), ","")IF(INDEX('MOA role matrix'!$B$2:$D$13,10,MATCH($B301,'MOA role matrix'!$B$1:$D$1,0))="Auto","Division MOI managers (auto), ","")IF(INDEX('MOA role matrix'!$B$2:$D$13,11,MATCH($B301,'MOA role matrix'!$B$1:$D$1,0))="Fill","Ms Teh (bank), ","")IF(INDEX('MOA role matrix'!$B$2:$D$13,11,MATCH($B301,'MOA role matrix'!$B$1:$D$1,0))="If finance","Ms Teh (bank) (if finance), ","")IF(INDEX('MOA role matrix'!$B$2:$D$13,11,MATCH($B301,'MOA role matrix'!$B$1:$D$1,0))="Auto","Ms Teh (bank) (auto), ","")IF(INDEX('MOA role matrix'!$B$2:$D$13,12,MATCH($B301,'MOA role matrix'!$B$1:$D$1,0))="Fill","DLCM, ","")IF(INDEX('MOA role matrix'!$B$2:$D$13,12,MATCH($B301,'MOA role matrix'!$B$1:$D$1,0))="If finance","DLCM (if finance), ","")IF(INDEX('MOA role matrix'!$B$2:$D$13,12,MATCH($B301,'MOA role matrix'!$B$1:$D$1,0))="Auto","DLCM (auto), ","")))</f>
        <v/>
      </c>
      <c r="D301" s="5">
        <f>IF($A301="","",IFERROR(INDEX(FILTER('Client contacts'!$B$2:$B$500,('Client contacts'!$A$2:$A$500=$A301)*('Client contacts'!$H$2:$H$500="Y"),""),1),""))</f>
        <v/>
      </c>
      <c r="E301" s="5">
        <f>IF($A301="","",IFERROR(INDEX(FILTER('Client contacts'!$C$2:$C$500,('Client contacts'!$A$2:$A$500=$A301)*('Client contacts'!$H$2:$H$500="Y"),""),1),""))</f>
        <v/>
      </c>
      <c r="F301" s="5">
        <f>IF($A301="","",IFERROR(INDEX(FILTER('Client contacts'!$B$2:$B$500,('Client contacts'!$A$2:$A$500=$A301)*('Client contacts'!$G$2:$G$500="Y"),""),1),""))</f>
        <v/>
      </c>
      <c r="G301" s="5">
        <f>IF($A301="","",IFERROR(INDEX(FILTER('Client contacts'!$C$2:$C$500,('Client contacts'!$A$2:$A$500=$A301)*('Client contacts'!$G$2:$G$500="Y"),""),1),""))</f>
        <v/>
      </c>
      <c r="H301" s="5">
        <f>IF($A301="","",IFERROR(INDEX(FILTER('Client contacts'!$B$2:$B$500,('Client contacts'!$A$2:$A$500=$A301)*('Client contacts'!$G$2:$G$500="Y"),""),2),""))</f>
        <v/>
      </c>
      <c r="I301" s="5">
        <f>IF($A301="","",IFERROR(INDEX(FILTER('Client contacts'!$C$2:$C$500,('Client contacts'!$A$2:$A$500=$A301)*('Client contacts'!$G$2:$G$500="Y"),""),2),""))</f>
        <v/>
      </c>
      <c r="J301" s="8" t="n"/>
      <c r="K301" s="8" t="n"/>
      <c r="L301" s="8" t="n"/>
      <c r="M301" s="8" t="n"/>
      <c r="N301" s="8" t="n"/>
      <c r="O301" s="8" t="n"/>
      <c r="P301" s="8" t="n"/>
      <c r="Q301" s="8" t="n"/>
      <c r="R301" s="5">
        <f>IF($A301="","",IFERROR(INDEX(Companies!$I$2:$I$500,MATCH($A301,Companies!$A$2:$A$500,0)),""))</f>
        <v/>
      </c>
      <c r="S301" s="8" t="n"/>
      <c r="T301" s="8" t="n"/>
      <c r="U301" s="8" t="n"/>
      <c r="V301" s="8" t="n"/>
      <c r="W301" s="8" t="n"/>
    </row>
    <row r="302">
      <c r="C302" s="5">
        <f>IF($B302="","",TRIM(IF(INDEX('MOA role matrix'!$B$2:$D$13,1,MATCH($B302,'MOA role matrix'!$B$1:$D$1,0))="Fill","Project initiator, ","")IF(INDEX('MOA role matrix'!$B$2:$D$13,1,MATCH($B302,'MOA role matrix'!$B$1:$D$1,0))="If finance","Project initiator (if finance), ","")IF(INDEX('MOA role matrix'!$B$2:$D$13,1,MATCH($B302,'MOA role matrix'!$B$1:$D$1,0))="Auto","Project initiator (auto), ","")IF(INDEX('MOA role matrix'!$B$2:$D$13,2,MATCH($B302,'MOA role matrix'!$B$1:$D$1,0))="Fill","MOA signers (client), ","")IF(INDEX('MOA role matrix'!$B$2:$D$13,2,MATCH($B302,'MOA role matrix'!$B$1:$D$1,0))="If finance","MOA signers (client) (if finance), ","")IF(INDEX('MOA role matrix'!$B$2:$D$13,2,MATCH($B302,'MOA role matrix'!$B$1:$D$1,0))="Auto","MOA signers (client) (auto), ","")IF(INDEX('MOA role matrix'!$B$2:$D$13,3,MATCH($B302,'MOA role matrix'!$B$1:$D$1,0))="Fill","CFO / Head of Finance, ","")IF(INDEX('MOA role matrix'!$B$2:$D$13,3,MATCH($B302,'MOA role matrix'!$B$1:$D$1,0))="If finance","CFO / Head of Finance (if finance), ","")IF(INDEX('MOA role matrix'!$B$2:$D$13,3,MATCH($B302,'MOA role matrix'!$B$1:$D$1,0))="Auto","CFO / Head of Finance (auto), ","")IF(INDEX('MOA role matrix'!$B$2:$D$13,4,MATCH($B302,'MOA role matrix'!$B$1:$D$1,0))="Fill","CEO / COO / GM, ","")IF(INDEX('MOA role matrix'!$B$2:$D$13,4,MATCH($B302,'MOA role matrix'!$B$1:$D$1,0))="If finance","CEO / COO / GM (if finance), ","")IF(INDEX('MOA role matrix'!$B$2:$D$13,4,MATCH($B302,'MOA role matrix'!$B$1:$D$1,0))="Auto","CEO / COO / GM (auto), ","")IF(INDEX('MOA role matrix'!$B$2:$D$13,5,MATCH($B302,'MOA role matrix'!$B$1:$D$1,0))="Fill","Board member 1, ","")IF(INDEX('MOA role matrix'!$B$2:$D$13,5,MATCH($B302,'MOA role matrix'!$B$1:$D$1,0))="If finance","Board member 1 (if finance), ","")IF(INDEX('MOA role matrix'!$B$2:$D$13,5,MATCH($B302,'MOA role matrix'!$B$1:$D$1,0))="Auto","Board member 1 (auto), ","")IF(INDEX('MOA role matrix'!$B$2:$D$13,6,MATCH($B302,'MOA role matrix'!$B$1:$D$1,0))="Fill","Board member 2, ","")IF(INDEX('MOA role matrix'!$B$2:$D$13,6,MATCH($B302,'MOA role matrix'!$B$1:$D$1,0))="If finance","Board member 2 (if finance), ","")IF(INDEX('MOA role matrix'!$B$2:$D$13,6,MATCH($B302,'MOA role matrix'!$B$1:$D$1,0))="Auto","Board member 2 (auto), ","")IF(INDEX('MOA role matrix'!$B$2:$D$13,7,MATCH($B302,'MOA role matrix'!$B$1:$D$1,0))="Fill","LOA holder 1, ","")IF(INDEX('MOA role matrix'!$B$2:$D$13,7,MATCH($B302,'MOA role matrix'!$B$1:$D$1,0))="If finance","LOA holder 1 (if finance), ","")IF(INDEX('MOA role matrix'!$B$2:$D$13,7,MATCH($B302,'MOA role matrix'!$B$1:$D$1,0))="Auto","LOA holder 1 (auto), ","")IF(INDEX('MOA role matrix'!$B$2:$D$13,8,MATCH($B302,'MOA role matrix'!$B$1:$D$1,0))="Fill","LOA holder 2, ","")IF(INDEX('MOA role matrix'!$B$2:$D$13,8,MATCH($B302,'MOA role matrix'!$B$1:$D$1,0))="If finance","LOA holder 2 (if finance), ","")IF(INDEX('MOA role matrix'!$B$2:$D$13,8,MATCH($B302,'MOA role matrix'!$B$1:$D$1,0))="Auto","LOA holder 2 (auto), ","")IF(INDEX('MOA role matrix'!$B$2:$D$13,9,MATCH($B302,'MOA role matrix'!$B$1:$D$1,0))="Fill","Senior Manager CoSec, ","")IF(INDEX('MOA role matrix'!$B$2:$D$13,9,MATCH($B302,'MOA role matrix'!$B$1:$D$1,0))="If finance","Senior Manager CoSec (if finance), ","")IF(INDEX('MOA role matrix'!$B$2:$D$13,9,MATCH($B302,'MOA role matrix'!$B$1:$D$1,0))="Auto","Senior Manager CoSec (auto), ","")IF(INDEX('MOA role matrix'!$B$2:$D$13,10,MATCH($B302,'MOA role matrix'!$B$1:$D$1,0))="Fill","Division MOI managers, ","")IF(INDEX('MOA role matrix'!$B$2:$D$13,10,MATCH($B302,'MOA role matrix'!$B$1:$D$1,0))="If finance","Division MOI managers (if finance), ","")IF(INDEX('MOA role matrix'!$B$2:$D$13,10,MATCH($B302,'MOA role matrix'!$B$1:$D$1,0))="Auto","Division MOI managers (auto), ","")IF(INDEX('MOA role matrix'!$B$2:$D$13,11,MATCH($B302,'MOA role matrix'!$B$1:$D$1,0))="Fill","Ms Teh (bank), ","")IF(INDEX('MOA role matrix'!$B$2:$D$13,11,MATCH($B302,'MOA role matrix'!$B$1:$D$1,0))="If finance","Ms Teh (bank) (if finance), ","")IF(INDEX('MOA role matrix'!$B$2:$D$13,11,MATCH($B302,'MOA role matrix'!$B$1:$D$1,0))="Auto","Ms Teh (bank) (auto), ","")IF(INDEX('MOA role matrix'!$B$2:$D$13,12,MATCH($B302,'MOA role matrix'!$B$1:$D$1,0))="Fill","DLCM, ","")IF(INDEX('MOA role matrix'!$B$2:$D$13,12,MATCH($B302,'MOA role matrix'!$B$1:$D$1,0))="If finance","DLCM (if finance), ","")IF(INDEX('MOA role matrix'!$B$2:$D$13,12,MATCH($B302,'MOA role matrix'!$B$1:$D$1,0))="Auto","DLCM (auto), ","")))</f>
        <v/>
      </c>
      <c r="D302" s="5">
        <f>IF($A302="","",IFERROR(INDEX(FILTER('Client contacts'!$B$2:$B$500,('Client contacts'!$A$2:$A$500=$A302)*('Client contacts'!$H$2:$H$500="Y"),""),1),""))</f>
        <v/>
      </c>
      <c r="E302" s="5">
        <f>IF($A302="","",IFERROR(INDEX(FILTER('Client contacts'!$C$2:$C$500,('Client contacts'!$A$2:$A$500=$A302)*('Client contacts'!$H$2:$H$500="Y"),""),1),""))</f>
        <v/>
      </c>
      <c r="F302" s="5">
        <f>IF($A302="","",IFERROR(INDEX(FILTER('Client contacts'!$B$2:$B$500,('Client contacts'!$A$2:$A$500=$A302)*('Client contacts'!$G$2:$G$500="Y"),""),1),""))</f>
        <v/>
      </c>
      <c r="G302" s="5">
        <f>IF($A302="","",IFERROR(INDEX(FILTER('Client contacts'!$C$2:$C$500,('Client contacts'!$A$2:$A$500=$A302)*('Client contacts'!$G$2:$G$500="Y"),""),1),""))</f>
        <v/>
      </c>
      <c r="H302" s="5">
        <f>IF($A302="","",IFERROR(INDEX(FILTER('Client contacts'!$B$2:$B$500,('Client contacts'!$A$2:$A$500=$A302)*('Client contacts'!$G$2:$G$500="Y"),""),2),""))</f>
        <v/>
      </c>
      <c r="I302" s="5">
        <f>IF($A302="","",IFERROR(INDEX(FILTER('Client contacts'!$C$2:$C$500,('Client contacts'!$A$2:$A$500=$A302)*('Client contacts'!$G$2:$G$500="Y"),""),2),""))</f>
        <v/>
      </c>
      <c r="J302" s="8" t="n"/>
      <c r="K302" s="8" t="n"/>
      <c r="L302" s="8" t="n"/>
      <c r="M302" s="8" t="n"/>
      <c r="N302" s="8" t="n"/>
      <c r="O302" s="8" t="n"/>
      <c r="P302" s="8" t="n"/>
      <c r="Q302" s="8" t="n"/>
      <c r="R302" s="5">
        <f>IF($A302="","",IFERROR(INDEX(Companies!$I$2:$I$500,MATCH($A302,Companies!$A$2:$A$500,0)),""))</f>
        <v/>
      </c>
      <c r="S302" s="8" t="n"/>
      <c r="T302" s="8" t="n"/>
      <c r="U302" s="8" t="n"/>
      <c r="V302" s="8" t="n"/>
      <c r="W302" s="8" t="n"/>
    </row>
    <row r="303">
      <c r="C303" s="5">
        <f>IF($B303="","",TRIM(IF(INDEX('MOA role matrix'!$B$2:$D$13,1,MATCH($B303,'MOA role matrix'!$B$1:$D$1,0))="Fill","Project initiator, ","")IF(INDEX('MOA role matrix'!$B$2:$D$13,1,MATCH($B303,'MOA role matrix'!$B$1:$D$1,0))="If finance","Project initiator (if finance), ","")IF(INDEX('MOA role matrix'!$B$2:$D$13,1,MATCH($B303,'MOA role matrix'!$B$1:$D$1,0))="Auto","Project initiator (auto), ","")IF(INDEX('MOA role matrix'!$B$2:$D$13,2,MATCH($B303,'MOA role matrix'!$B$1:$D$1,0))="Fill","MOA signers (client), ","")IF(INDEX('MOA role matrix'!$B$2:$D$13,2,MATCH($B303,'MOA role matrix'!$B$1:$D$1,0))="If finance","MOA signers (client) (if finance), ","")IF(INDEX('MOA role matrix'!$B$2:$D$13,2,MATCH($B303,'MOA role matrix'!$B$1:$D$1,0))="Auto","MOA signers (client) (auto), ","")IF(INDEX('MOA role matrix'!$B$2:$D$13,3,MATCH($B303,'MOA role matrix'!$B$1:$D$1,0))="Fill","CFO / Head of Finance, ","")IF(INDEX('MOA role matrix'!$B$2:$D$13,3,MATCH($B303,'MOA role matrix'!$B$1:$D$1,0))="If finance","CFO / Head of Finance (if finance), ","")IF(INDEX('MOA role matrix'!$B$2:$D$13,3,MATCH($B303,'MOA role matrix'!$B$1:$D$1,0))="Auto","CFO / Head of Finance (auto), ","")IF(INDEX('MOA role matrix'!$B$2:$D$13,4,MATCH($B303,'MOA role matrix'!$B$1:$D$1,0))="Fill","CEO / COO / GM, ","")IF(INDEX('MOA role matrix'!$B$2:$D$13,4,MATCH($B303,'MOA role matrix'!$B$1:$D$1,0))="If finance","CEO / COO / GM (if finance), ","")IF(INDEX('MOA role matrix'!$B$2:$D$13,4,MATCH($B303,'MOA role matrix'!$B$1:$D$1,0))="Auto","CEO / COO / GM (auto), ","")IF(INDEX('MOA role matrix'!$B$2:$D$13,5,MATCH($B303,'MOA role matrix'!$B$1:$D$1,0))="Fill","Board member 1, ","")IF(INDEX('MOA role matrix'!$B$2:$D$13,5,MATCH($B303,'MOA role matrix'!$B$1:$D$1,0))="If finance","Board member 1 (if finance), ","")IF(INDEX('MOA role matrix'!$B$2:$D$13,5,MATCH($B303,'MOA role matrix'!$B$1:$D$1,0))="Auto","Board member 1 (auto), ","")IF(INDEX('MOA role matrix'!$B$2:$D$13,6,MATCH($B303,'MOA role matrix'!$B$1:$D$1,0))="Fill","Board member 2, ","")IF(INDEX('MOA role matrix'!$B$2:$D$13,6,MATCH($B303,'MOA role matrix'!$B$1:$D$1,0))="If finance","Board member 2 (if finance), ","")IF(INDEX('MOA role matrix'!$B$2:$D$13,6,MATCH($B303,'MOA role matrix'!$B$1:$D$1,0))="Auto","Board member 2 (auto), ","")IF(INDEX('MOA role matrix'!$B$2:$D$13,7,MATCH($B303,'MOA role matrix'!$B$1:$D$1,0))="Fill","LOA holder 1, ","")IF(INDEX('MOA role matrix'!$B$2:$D$13,7,MATCH($B303,'MOA role matrix'!$B$1:$D$1,0))="If finance","LOA holder 1 (if finance), ","")IF(INDEX('MOA role matrix'!$B$2:$D$13,7,MATCH($B303,'MOA role matrix'!$B$1:$D$1,0))="Auto","LOA holder 1 (auto), ","")IF(INDEX('MOA role matrix'!$B$2:$D$13,8,MATCH($B303,'MOA role matrix'!$B$1:$D$1,0))="Fill","LOA holder 2, ","")IF(INDEX('MOA role matrix'!$B$2:$D$13,8,MATCH($B303,'MOA role matrix'!$B$1:$D$1,0))="If finance","LOA holder 2 (if finance), ","")IF(INDEX('MOA role matrix'!$B$2:$D$13,8,MATCH($B303,'MOA role matrix'!$B$1:$D$1,0))="Auto","LOA holder 2 (auto), ","")IF(INDEX('MOA role matrix'!$B$2:$D$13,9,MATCH($B303,'MOA role matrix'!$B$1:$D$1,0))="Fill","Senior Manager CoSec, ","")IF(INDEX('MOA role matrix'!$B$2:$D$13,9,MATCH($B303,'MOA role matrix'!$B$1:$D$1,0))="If finance","Senior Manager CoSec (if finance), ","")IF(INDEX('MOA role matrix'!$B$2:$D$13,9,MATCH($B303,'MOA role matrix'!$B$1:$D$1,0))="Auto","Senior Manager CoSec (auto), ","")IF(INDEX('MOA role matrix'!$B$2:$D$13,10,MATCH($B303,'MOA role matrix'!$B$1:$D$1,0))="Fill","Division MOI managers, ","")IF(INDEX('MOA role matrix'!$B$2:$D$13,10,MATCH($B303,'MOA role matrix'!$B$1:$D$1,0))="If finance","Division MOI managers (if finance), ","")IF(INDEX('MOA role matrix'!$B$2:$D$13,10,MATCH($B303,'MOA role matrix'!$B$1:$D$1,0))="Auto","Division MOI managers (auto), ","")IF(INDEX('MOA role matrix'!$B$2:$D$13,11,MATCH($B303,'MOA role matrix'!$B$1:$D$1,0))="Fill","Ms Teh (bank), ","")IF(INDEX('MOA role matrix'!$B$2:$D$13,11,MATCH($B303,'MOA role matrix'!$B$1:$D$1,0))="If finance","Ms Teh (bank) (if finance), ","")IF(INDEX('MOA role matrix'!$B$2:$D$13,11,MATCH($B303,'MOA role matrix'!$B$1:$D$1,0))="Auto","Ms Teh (bank) (auto), ","")IF(INDEX('MOA role matrix'!$B$2:$D$13,12,MATCH($B303,'MOA role matrix'!$B$1:$D$1,0))="Fill","DLCM, ","")IF(INDEX('MOA role matrix'!$B$2:$D$13,12,MATCH($B303,'MOA role matrix'!$B$1:$D$1,0))="If finance","DLCM (if finance), ","")IF(INDEX('MOA role matrix'!$B$2:$D$13,12,MATCH($B303,'MOA role matrix'!$B$1:$D$1,0))="Auto","DLCM (auto), ","")))</f>
        <v/>
      </c>
      <c r="D303" s="5">
        <f>IF($A303="","",IFERROR(INDEX(FILTER('Client contacts'!$B$2:$B$500,('Client contacts'!$A$2:$A$500=$A303)*('Client contacts'!$H$2:$H$500="Y"),""),1),""))</f>
        <v/>
      </c>
      <c r="E303" s="5">
        <f>IF($A303="","",IFERROR(INDEX(FILTER('Client contacts'!$C$2:$C$500,('Client contacts'!$A$2:$A$500=$A303)*('Client contacts'!$H$2:$H$500="Y"),""),1),""))</f>
        <v/>
      </c>
      <c r="F303" s="5">
        <f>IF($A303="","",IFERROR(INDEX(FILTER('Client contacts'!$B$2:$B$500,('Client contacts'!$A$2:$A$500=$A303)*('Client contacts'!$G$2:$G$500="Y"),""),1),""))</f>
        <v/>
      </c>
      <c r="G303" s="5">
        <f>IF($A303="","",IFERROR(INDEX(FILTER('Client contacts'!$C$2:$C$500,('Client contacts'!$A$2:$A$500=$A303)*('Client contacts'!$G$2:$G$500="Y"),""),1),""))</f>
        <v/>
      </c>
      <c r="H303" s="5">
        <f>IF($A303="","",IFERROR(INDEX(FILTER('Client contacts'!$B$2:$B$500,('Client contacts'!$A$2:$A$500=$A303)*('Client contacts'!$G$2:$G$500="Y"),""),2),""))</f>
        <v/>
      </c>
      <c r="I303" s="5">
        <f>IF($A303="","",IFERROR(INDEX(FILTER('Client contacts'!$C$2:$C$500,('Client contacts'!$A$2:$A$500=$A303)*('Client contacts'!$G$2:$G$500="Y"),""),2),""))</f>
        <v/>
      </c>
      <c r="J303" s="8" t="n"/>
      <c r="K303" s="8" t="n"/>
      <c r="L303" s="8" t="n"/>
      <c r="M303" s="8" t="n"/>
      <c r="N303" s="8" t="n"/>
      <c r="O303" s="8" t="n"/>
      <c r="P303" s="8" t="n"/>
      <c r="Q303" s="8" t="n"/>
      <c r="R303" s="5">
        <f>IF($A303="","",IFERROR(INDEX(Companies!$I$2:$I$500,MATCH($A303,Companies!$A$2:$A$500,0)),""))</f>
        <v/>
      </c>
      <c r="S303" s="8" t="n"/>
      <c r="T303" s="8" t="n"/>
      <c r="U303" s="8" t="n"/>
      <c r="V303" s="8" t="n"/>
      <c r="W303" s="8" t="n"/>
    </row>
    <row r="304">
      <c r="C304" s="5">
        <f>IF($B304="","",TRIM(IF(INDEX('MOA role matrix'!$B$2:$D$13,1,MATCH($B304,'MOA role matrix'!$B$1:$D$1,0))="Fill","Project initiator, ","")IF(INDEX('MOA role matrix'!$B$2:$D$13,1,MATCH($B304,'MOA role matrix'!$B$1:$D$1,0))="If finance","Project initiator (if finance), ","")IF(INDEX('MOA role matrix'!$B$2:$D$13,1,MATCH($B304,'MOA role matrix'!$B$1:$D$1,0))="Auto","Project initiator (auto), ","")IF(INDEX('MOA role matrix'!$B$2:$D$13,2,MATCH($B304,'MOA role matrix'!$B$1:$D$1,0))="Fill","MOA signers (client), ","")IF(INDEX('MOA role matrix'!$B$2:$D$13,2,MATCH($B304,'MOA role matrix'!$B$1:$D$1,0))="If finance","MOA signers (client) (if finance), ","")IF(INDEX('MOA role matrix'!$B$2:$D$13,2,MATCH($B304,'MOA role matrix'!$B$1:$D$1,0))="Auto","MOA signers (client) (auto), ","")IF(INDEX('MOA role matrix'!$B$2:$D$13,3,MATCH($B304,'MOA role matrix'!$B$1:$D$1,0))="Fill","CFO / Head of Finance, ","")IF(INDEX('MOA role matrix'!$B$2:$D$13,3,MATCH($B304,'MOA role matrix'!$B$1:$D$1,0))="If finance","CFO / Head of Finance (if finance), ","")IF(INDEX('MOA role matrix'!$B$2:$D$13,3,MATCH($B304,'MOA role matrix'!$B$1:$D$1,0))="Auto","CFO / Head of Finance (auto), ","")IF(INDEX('MOA role matrix'!$B$2:$D$13,4,MATCH($B304,'MOA role matrix'!$B$1:$D$1,0))="Fill","CEO / COO / GM, ","")IF(INDEX('MOA role matrix'!$B$2:$D$13,4,MATCH($B304,'MOA role matrix'!$B$1:$D$1,0))="If finance","CEO / COO / GM (if finance), ","")IF(INDEX('MOA role matrix'!$B$2:$D$13,4,MATCH($B304,'MOA role matrix'!$B$1:$D$1,0))="Auto","CEO / COO / GM (auto), ","")IF(INDEX('MOA role matrix'!$B$2:$D$13,5,MATCH($B304,'MOA role matrix'!$B$1:$D$1,0))="Fill","Board member 1, ","")IF(INDEX('MOA role matrix'!$B$2:$D$13,5,MATCH($B304,'MOA role matrix'!$B$1:$D$1,0))="If finance","Board member 1 (if finance), ","")IF(INDEX('MOA role matrix'!$B$2:$D$13,5,MATCH($B304,'MOA role matrix'!$B$1:$D$1,0))="Auto","Board member 1 (auto), ","")IF(INDEX('MOA role matrix'!$B$2:$D$13,6,MATCH($B304,'MOA role matrix'!$B$1:$D$1,0))="Fill","Board member 2, ","")IF(INDEX('MOA role matrix'!$B$2:$D$13,6,MATCH($B304,'MOA role matrix'!$B$1:$D$1,0))="If finance","Board member 2 (if finance), ","")IF(INDEX('MOA role matrix'!$B$2:$D$13,6,MATCH($B304,'MOA role matrix'!$B$1:$D$1,0))="Auto","Board member 2 (auto), ","")IF(INDEX('MOA role matrix'!$B$2:$D$13,7,MATCH($B304,'MOA role matrix'!$B$1:$D$1,0))="Fill","LOA holder 1, ","")IF(INDEX('MOA role matrix'!$B$2:$D$13,7,MATCH($B304,'MOA role matrix'!$B$1:$D$1,0))="If finance","LOA holder 1 (if finance), ","")IF(INDEX('MOA role matrix'!$B$2:$D$13,7,MATCH($B304,'MOA role matrix'!$B$1:$D$1,0))="Auto","LOA holder 1 (auto), ","")IF(INDEX('MOA role matrix'!$B$2:$D$13,8,MATCH($B304,'MOA role matrix'!$B$1:$D$1,0))="Fill","LOA holder 2, ","")IF(INDEX('MOA role matrix'!$B$2:$D$13,8,MATCH($B304,'MOA role matrix'!$B$1:$D$1,0))="If finance","LOA holder 2 (if finance), ","")IF(INDEX('MOA role matrix'!$B$2:$D$13,8,MATCH($B304,'MOA role matrix'!$B$1:$D$1,0))="Auto","LOA holder 2 (auto), ","")IF(INDEX('MOA role matrix'!$B$2:$D$13,9,MATCH($B304,'MOA role matrix'!$B$1:$D$1,0))="Fill","Senior Manager CoSec, ","")IF(INDEX('MOA role matrix'!$B$2:$D$13,9,MATCH($B304,'MOA role matrix'!$B$1:$D$1,0))="If finance","Senior Manager CoSec (if finance), ","")IF(INDEX('MOA role matrix'!$B$2:$D$13,9,MATCH($B304,'MOA role matrix'!$B$1:$D$1,0))="Auto","Senior Manager CoSec (auto), ","")IF(INDEX('MOA role matrix'!$B$2:$D$13,10,MATCH($B304,'MOA role matrix'!$B$1:$D$1,0))="Fill","Division MOI managers, ","")IF(INDEX('MOA role matrix'!$B$2:$D$13,10,MATCH($B304,'MOA role matrix'!$B$1:$D$1,0))="If finance","Division MOI managers (if finance), ","")IF(INDEX('MOA role matrix'!$B$2:$D$13,10,MATCH($B304,'MOA role matrix'!$B$1:$D$1,0))="Auto","Division MOI managers (auto), ","")IF(INDEX('MOA role matrix'!$B$2:$D$13,11,MATCH($B304,'MOA role matrix'!$B$1:$D$1,0))="Fill","Ms Teh (bank), ","")IF(INDEX('MOA role matrix'!$B$2:$D$13,11,MATCH($B304,'MOA role matrix'!$B$1:$D$1,0))="If finance","Ms Teh (bank) (if finance), ","")IF(INDEX('MOA role matrix'!$B$2:$D$13,11,MATCH($B304,'MOA role matrix'!$B$1:$D$1,0))="Auto","Ms Teh (bank) (auto), ","")IF(INDEX('MOA role matrix'!$B$2:$D$13,12,MATCH($B304,'MOA role matrix'!$B$1:$D$1,0))="Fill","DLCM, ","")IF(INDEX('MOA role matrix'!$B$2:$D$13,12,MATCH($B304,'MOA role matrix'!$B$1:$D$1,0))="If finance","DLCM (if finance), ","")IF(INDEX('MOA role matrix'!$B$2:$D$13,12,MATCH($B304,'MOA role matrix'!$B$1:$D$1,0))="Auto","DLCM (auto), ","")))</f>
        <v/>
      </c>
      <c r="D304" s="5">
        <f>IF($A304="","",IFERROR(INDEX(FILTER('Client contacts'!$B$2:$B$500,('Client contacts'!$A$2:$A$500=$A304)*('Client contacts'!$H$2:$H$500="Y"),""),1),""))</f>
        <v/>
      </c>
      <c r="E304" s="5">
        <f>IF($A304="","",IFERROR(INDEX(FILTER('Client contacts'!$C$2:$C$500,('Client contacts'!$A$2:$A$500=$A304)*('Client contacts'!$H$2:$H$500="Y"),""),1),""))</f>
        <v/>
      </c>
      <c r="F304" s="5">
        <f>IF($A304="","",IFERROR(INDEX(FILTER('Client contacts'!$B$2:$B$500,('Client contacts'!$A$2:$A$500=$A304)*('Client contacts'!$G$2:$G$500="Y"),""),1),""))</f>
        <v/>
      </c>
      <c r="G304" s="5">
        <f>IF($A304="","",IFERROR(INDEX(FILTER('Client contacts'!$C$2:$C$500,('Client contacts'!$A$2:$A$500=$A304)*('Client contacts'!$G$2:$G$500="Y"),""),1),""))</f>
        <v/>
      </c>
      <c r="H304" s="5">
        <f>IF($A304="","",IFERROR(INDEX(FILTER('Client contacts'!$B$2:$B$500,('Client contacts'!$A$2:$A$500=$A304)*('Client contacts'!$G$2:$G$500="Y"),""),2),""))</f>
        <v/>
      </c>
      <c r="I304" s="5">
        <f>IF($A304="","",IFERROR(INDEX(FILTER('Client contacts'!$C$2:$C$500,('Client contacts'!$A$2:$A$500=$A304)*('Client contacts'!$G$2:$G$500="Y"),""),2),""))</f>
        <v/>
      </c>
      <c r="J304" s="8" t="n"/>
      <c r="K304" s="8" t="n"/>
      <c r="L304" s="8" t="n"/>
      <c r="M304" s="8" t="n"/>
      <c r="N304" s="8" t="n"/>
      <c r="O304" s="8" t="n"/>
      <c r="P304" s="8" t="n"/>
      <c r="Q304" s="8" t="n"/>
      <c r="R304" s="5">
        <f>IF($A304="","",IFERROR(INDEX(Companies!$I$2:$I$500,MATCH($A304,Companies!$A$2:$A$500,0)),""))</f>
        <v/>
      </c>
      <c r="S304" s="8" t="n"/>
      <c r="T304" s="8" t="n"/>
      <c r="U304" s="8" t="n"/>
      <c r="V304" s="8" t="n"/>
      <c r="W304" s="8" t="n"/>
    </row>
    <row r="305">
      <c r="C305" s="5">
        <f>IF($B305="","",TRIM(IF(INDEX('MOA role matrix'!$B$2:$D$13,1,MATCH($B305,'MOA role matrix'!$B$1:$D$1,0))="Fill","Project initiator, ","")IF(INDEX('MOA role matrix'!$B$2:$D$13,1,MATCH($B305,'MOA role matrix'!$B$1:$D$1,0))="If finance","Project initiator (if finance), ","")IF(INDEX('MOA role matrix'!$B$2:$D$13,1,MATCH($B305,'MOA role matrix'!$B$1:$D$1,0))="Auto","Project initiator (auto), ","")IF(INDEX('MOA role matrix'!$B$2:$D$13,2,MATCH($B305,'MOA role matrix'!$B$1:$D$1,0))="Fill","MOA signers (client), ","")IF(INDEX('MOA role matrix'!$B$2:$D$13,2,MATCH($B305,'MOA role matrix'!$B$1:$D$1,0))="If finance","MOA signers (client) (if finance), ","")IF(INDEX('MOA role matrix'!$B$2:$D$13,2,MATCH($B305,'MOA role matrix'!$B$1:$D$1,0))="Auto","MOA signers (client) (auto), ","")IF(INDEX('MOA role matrix'!$B$2:$D$13,3,MATCH($B305,'MOA role matrix'!$B$1:$D$1,0))="Fill","CFO / Head of Finance, ","")IF(INDEX('MOA role matrix'!$B$2:$D$13,3,MATCH($B305,'MOA role matrix'!$B$1:$D$1,0))="If finance","CFO / Head of Finance (if finance), ","")IF(INDEX('MOA role matrix'!$B$2:$D$13,3,MATCH($B305,'MOA role matrix'!$B$1:$D$1,0))="Auto","CFO / Head of Finance (auto), ","")IF(INDEX('MOA role matrix'!$B$2:$D$13,4,MATCH($B305,'MOA role matrix'!$B$1:$D$1,0))="Fill","CEO / COO / GM, ","")IF(INDEX('MOA role matrix'!$B$2:$D$13,4,MATCH($B305,'MOA role matrix'!$B$1:$D$1,0))="If finance","CEO / COO / GM (if finance), ","")IF(INDEX('MOA role matrix'!$B$2:$D$13,4,MATCH($B305,'MOA role matrix'!$B$1:$D$1,0))="Auto","CEO / COO / GM (auto), ","")IF(INDEX('MOA role matrix'!$B$2:$D$13,5,MATCH($B305,'MOA role matrix'!$B$1:$D$1,0))="Fill","Board member 1, ","")IF(INDEX('MOA role matrix'!$B$2:$D$13,5,MATCH($B305,'MOA role matrix'!$B$1:$D$1,0))="If finance","Board member 1 (if finance), ","")IF(INDEX('MOA role matrix'!$B$2:$D$13,5,MATCH($B305,'MOA role matrix'!$B$1:$D$1,0))="Auto","Board member 1 (auto), ","")IF(INDEX('MOA role matrix'!$B$2:$D$13,6,MATCH($B305,'MOA role matrix'!$B$1:$D$1,0))="Fill","Board member 2, ","")IF(INDEX('MOA role matrix'!$B$2:$D$13,6,MATCH($B305,'MOA role matrix'!$B$1:$D$1,0))="If finance","Board member 2 (if finance), ","")IF(INDEX('MOA role matrix'!$B$2:$D$13,6,MATCH($B305,'MOA role matrix'!$B$1:$D$1,0))="Auto","Board member 2 (auto), ","")IF(INDEX('MOA role matrix'!$B$2:$D$13,7,MATCH($B305,'MOA role matrix'!$B$1:$D$1,0))="Fill","LOA holder 1, ","")IF(INDEX('MOA role matrix'!$B$2:$D$13,7,MATCH($B305,'MOA role matrix'!$B$1:$D$1,0))="If finance","LOA holder 1 (if finance), ","")IF(INDEX('MOA role matrix'!$B$2:$D$13,7,MATCH($B305,'MOA role matrix'!$B$1:$D$1,0))="Auto","LOA holder 1 (auto), ","")IF(INDEX('MOA role matrix'!$B$2:$D$13,8,MATCH($B305,'MOA role matrix'!$B$1:$D$1,0))="Fill","LOA holder 2, ","")IF(INDEX('MOA role matrix'!$B$2:$D$13,8,MATCH($B305,'MOA role matrix'!$B$1:$D$1,0))="If finance","LOA holder 2 (if finance), ","")IF(INDEX('MOA role matrix'!$B$2:$D$13,8,MATCH($B305,'MOA role matrix'!$B$1:$D$1,0))="Auto","LOA holder 2 (auto), ","")IF(INDEX('MOA role matrix'!$B$2:$D$13,9,MATCH($B305,'MOA role matrix'!$B$1:$D$1,0))="Fill","Senior Manager CoSec, ","")IF(INDEX('MOA role matrix'!$B$2:$D$13,9,MATCH($B305,'MOA role matrix'!$B$1:$D$1,0))="If finance","Senior Manager CoSec (if finance), ","")IF(INDEX('MOA role matrix'!$B$2:$D$13,9,MATCH($B305,'MOA role matrix'!$B$1:$D$1,0))="Auto","Senior Manager CoSec (auto), ","")IF(INDEX('MOA role matrix'!$B$2:$D$13,10,MATCH($B305,'MOA role matrix'!$B$1:$D$1,0))="Fill","Division MOI managers, ","")IF(INDEX('MOA role matrix'!$B$2:$D$13,10,MATCH($B305,'MOA role matrix'!$B$1:$D$1,0))="If finance","Division MOI managers (if finance), ","")IF(INDEX('MOA role matrix'!$B$2:$D$13,10,MATCH($B305,'MOA role matrix'!$B$1:$D$1,0))="Auto","Division MOI managers (auto), ","")IF(INDEX('MOA role matrix'!$B$2:$D$13,11,MATCH($B305,'MOA role matrix'!$B$1:$D$1,0))="Fill","Ms Teh (bank), ","")IF(INDEX('MOA role matrix'!$B$2:$D$13,11,MATCH($B305,'MOA role matrix'!$B$1:$D$1,0))="If finance","Ms Teh (bank) (if finance), ","")IF(INDEX('MOA role matrix'!$B$2:$D$13,11,MATCH($B305,'MOA role matrix'!$B$1:$D$1,0))="Auto","Ms Teh (bank) (auto), ","")IF(INDEX('MOA role matrix'!$B$2:$D$13,12,MATCH($B305,'MOA role matrix'!$B$1:$D$1,0))="Fill","DLCM, ","")IF(INDEX('MOA role matrix'!$B$2:$D$13,12,MATCH($B305,'MOA role matrix'!$B$1:$D$1,0))="If finance","DLCM (if finance), ","")IF(INDEX('MOA role matrix'!$B$2:$D$13,12,MATCH($B305,'MOA role matrix'!$B$1:$D$1,0))="Auto","DLCM (auto), ","")))</f>
        <v/>
      </c>
      <c r="D305" s="5">
        <f>IF($A305="","",IFERROR(INDEX(FILTER('Client contacts'!$B$2:$B$500,('Client contacts'!$A$2:$A$500=$A305)*('Client contacts'!$H$2:$H$500="Y"),""),1),""))</f>
        <v/>
      </c>
      <c r="E305" s="5">
        <f>IF($A305="","",IFERROR(INDEX(FILTER('Client contacts'!$C$2:$C$500,('Client contacts'!$A$2:$A$500=$A305)*('Client contacts'!$H$2:$H$500="Y"),""),1),""))</f>
        <v/>
      </c>
      <c r="F305" s="5">
        <f>IF($A305="","",IFERROR(INDEX(FILTER('Client contacts'!$B$2:$B$500,('Client contacts'!$A$2:$A$500=$A305)*('Client contacts'!$G$2:$G$500="Y"),""),1),""))</f>
        <v/>
      </c>
      <c r="G305" s="5">
        <f>IF($A305="","",IFERROR(INDEX(FILTER('Client contacts'!$C$2:$C$500,('Client contacts'!$A$2:$A$500=$A305)*('Client contacts'!$G$2:$G$500="Y"),""),1),""))</f>
        <v/>
      </c>
      <c r="H305" s="5">
        <f>IF($A305="","",IFERROR(INDEX(FILTER('Client contacts'!$B$2:$B$500,('Client contacts'!$A$2:$A$500=$A305)*('Client contacts'!$G$2:$G$500="Y"),""),2),""))</f>
        <v/>
      </c>
      <c r="I305" s="5">
        <f>IF($A305="","",IFERROR(INDEX(FILTER('Client contacts'!$C$2:$C$500,('Client contacts'!$A$2:$A$500=$A305)*('Client contacts'!$G$2:$G$500="Y"),""),2),""))</f>
        <v/>
      </c>
      <c r="J305" s="8" t="n"/>
      <c r="K305" s="8" t="n"/>
      <c r="L305" s="8" t="n"/>
      <c r="M305" s="8" t="n"/>
      <c r="N305" s="8" t="n"/>
      <c r="O305" s="8" t="n"/>
      <c r="P305" s="8" t="n"/>
      <c r="Q305" s="8" t="n"/>
      <c r="R305" s="5">
        <f>IF($A305="","",IFERROR(INDEX(Companies!$I$2:$I$500,MATCH($A305,Companies!$A$2:$A$500,0)),""))</f>
        <v/>
      </c>
      <c r="S305" s="8" t="n"/>
      <c r="T305" s="8" t="n"/>
      <c r="U305" s="8" t="n"/>
      <c r="V305" s="8" t="n"/>
      <c r="W305" s="8" t="n"/>
    </row>
    <row r="306">
      <c r="C306" s="5">
        <f>IF($B306="","",TRIM(IF(INDEX('MOA role matrix'!$B$2:$D$13,1,MATCH($B306,'MOA role matrix'!$B$1:$D$1,0))="Fill","Project initiator, ","")IF(INDEX('MOA role matrix'!$B$2:$D$13,1,MATCH($B306,'MOA role matrix'!$B$1:$D$1,0))="If finance","Project initiator (if finance), ","")IF(INDEX('MOA role matrix'!$B$2:$D$13,1,MATCH($B306,'MOA role matrix'!$B$1:$D$1,0))="Auto","Project initiator (auto), ","")IF(INDEX('MOA role matrix'!$B$2:$D$13,2,MATCH($B306,'MOA role matrix'!$B$1:$D$1,0))="Fill","MOA signers (client), ","")IF(INDEX('MOA role matrix'!$B$2:$D$13,2,MATCH($B306,'MOA role matrix'!$B$1:$D$1,0))="If finance","MOA signers (client) (if finance), ","")IF(INDEX('MOA role matrix'!$B$2:$D$13,2,MATCH($B306,'MOA role matrix'!$B$1:$D$1,0))="Auto","MOA signers (client) (auto), ","")IF(INDEX('MOA role matrix'!$B$2:$D$13,3,MATCH($B306,'MOA role matrix'!$B$1:$D$1,0))="Fill","CFO / Head of Finance, ","")IF(INDEX('MOA role matrix'!$B$2:$D$13,3,MATCH($B306,'MOA role matrix'!$B$1:$D$1,0))="If finance","CFO / Head of Finance (if finance), ","")IF(INDEX('MOA role matrix'!$B$2:$D$13,3,MATCH($B306,'MOA role matrix'!$B$1:$D$1,0))="Auto","CFO / Head of Finance (auto), ","")IF(INDEX('MOA role matrix'!$B$2:$D$13,4,MATCH($B306,'MOA role matrix'!$B$1:$D$1,0))="Fill","CEO / COO / GM, ","")IF(INDEX('MOA role matrix'!$B$2:$D$13,4,MATCH($B306,'MOA role matrix'!$B$1:$D$1,0))="If finance","CEO / COO / GM (if finance), ","")IF(INDEX('MOA role matrix'!$B$2:$D$13,4,MATCH($B306,'MOA role matrix'!$B$1:$D$1,0))="Auto","CEO / COO / GM (auto), ","")IF(INDEX('MOA role matrix'!$B$2:$D$13,5,MATCH($B306,'MOA role matrix'!$B$1:$D$1,0))="Fill","Board member 1, ","")IF(INDEX('MOA role matrix'!$B$2:$D$13,5,MATCH($B306,'MOA role matrix'!$B$1:$D$1,0))="If finance","Board member 1 (if finance), ","")IF(INDEX('MOA role matrix'!$B$2:$D$13,5,MATCH($B306,'MOA role matrix'!$B$1:$D$1,0))="Auto","Board member 1 (auto), ","")IF(INDEX('MOA role matrix'!$B$2:$D$13,6,MATCH($B306,'MOA role matrix'!$B$1:$D$1,0))="Fill","Board member 2, ","")IF(INDEX('MOA role matrix'!$B$2:$D$13,6,MATCH($B306,'MOA role matrix'!$B$1:$D$1,0))="If finance","Board member 2 (if finance), ","")IF(INDEX('MOA role matrix'!$B$2:$D$13,6,MATCH($B306,'MOA role matrix'!$B$1:$D$1,0))="Auto","Board member 2 (auto), ","")IF(INDEX('MOA role matrix'!$B$2:$D$13,7,MATCH($B306,'MOA role matrix'!$B$1:$D$1,0))="Fill","LOA holder 1, ","")IF(INDEX('MOA role matrix'!$B$2:$D$13,7,MATCH($B306,'MOA role matrix'!$B$1:$D$1,0))="If finance","LOA holder 1 (if finance), ","")IF(INDEX('MOA role matrix'!$B$2:$D$13,7,MATCH($B306,'MOA role matrix'!$B$1:$D$1,0))="Auto","LOA holder 1 (auto), ","")IF(INDEX('MOA role matrix'!$B$2:$D$13,8,MATCH($B306,'MOA role matrix'!$B$1:$D$1,0))="Fill","LOA holder 2, ","")IF(INDEX('MOA role matrix'!$B$2:$D$13,8,MATCH($B306,'MOA role matrix'!$B$1:$D$1,0))="If finance","LOA holder 2 (if finance), ","")IF(INDEX('MOA role matrix'!$B$2:$D$13,8,MATCH($B306,'MOA role matrix'!$B$1:$D$1,0))="Auto","LOA holder 2 (auto), ","")IF(INDEX('MOA role matrix'!$B$2:$D$13,9,MATCH($B306,'MOA role matrix'!$B$1:$D$1,0))="Fill","Senior Manager CoSec, ","")IF(INDEX('MOA role matrix'!$B$2:$D$13,9,MATCH($B306,'MOA role matrix'!$B$1:$D$1,0))="If finance","Senior Manager CoSec (if finance), ","")IF(INDEX('MOA role matrix'!$B$2:$D$13,9,MATCH($B306,'MOA role matrix'!$B$1:$D$1,0))="Auto","Senior Manager CoSec (auto), ","")IF(INDEX('MOA role matrix'!$B$2:$D$13,10,MATCH($B306,'MOA role matrix'!$B$1:$D$1,0))="Fill","Division MOI managers, ","")IF(INDEX('MOA role matrix'!$B$2:$D$13,10,MATCH($B306,'MOA role matrix'!$B$1:$D$1,0))="If finance","Division MOI managers (if finance), ","")IF(INDEX('MOA role matrix'!$B$2:$D$13,10,MATCH($B306,'MOA role matrix'!$B$1:$D$1,0))="Auto","Division MOI managers (auto), ","")IF(INDEX('MOA role matrix'!$B$2:$D$13,11,MATCH($B306,'MOA role matrix'!$B$1:$D$1,0))="Fill","Ms Teh (bank), ","")IF(INDEX('MOA role matrix'!$B$2:$D$13,11,MATCH($B306,'MOA role matrix'!$B$1:$D$1,0))="If finance","Ms Teh (bank) (if finance), ","")IF(INDEX('MOA role matrix'!$B$2:$D$13,11,MATCH($B306,'MOA role matrix'!$B$1:$D$1,0))="Auto","Ms Teh (bank) (auto), ","")IF(INDEX('MOA role matrix'!$B$2:$D$13,12,MATCH($B306,'MOA role matrix'!$B$1:$D$1,0))="Fill","DLCM, ","")IF(INDEX('MOA role matrix'!$B$2:$D$13,12,MATCH($B306,'MOA role matrix'!$B$1:$D$1,0))="If finance","DLCM (if finance), ","")IF(INDEX('MOA role matrix'!$B$2:$D$13,12,MATCH($B306,'MOA role matrix'!$B$1:$D$1,0))="Auto","DLCM (auto), ","")))</f>
        <v/>
      </c>
      <c r="D306" s="5">
        <f>IF($A306="","",IFERROR(INDEX(FILTER('Client contacts'!$B$2:$B$500,('Client contacts'!$A$2:$A$500=$A306)*('Client contacts'!$H$2:$H$500="Y"),""),1),""))</f>
        <v/>
      </c>
      <c r="E306" s="5">
        <f>IF($A306="","",IFERROR(INDEX(FILTER('Client contacts'!$C$2:$C$500,('Client contacts'!$A$2:$A$500=$A306)*('Client contacts'!$H$2:$H$500="Y"),""),1),""))</f>
        <v/>
      </c>
      <c r="F306" s="5">
        <f>IF($A306="","",IFERROR(INDEX(FILTER('Client contacts'!$B$2:$B$500,('Client contacts'!$A$2:$A$500=$A306)*('Client contacts'!$G$2:$G$500="Y"),""),1),""))</f>
        <v/>
      </c>
      <c r="G306" s="5">
        <f>IF($A306="","",IFERROR(INDEX(FILTER('Client contacts'!$C$2:$C$500,('Client contacts'!$A$2:$A$500=$A306)*('Client contacts'!$G$2:$G$500="Y"),""),1),""))</f>
        <v/>
      </c>
      <c r="H306" s="5">
        <f>IF($A306="","",IFERROR(INDEX(FILTER('Client contacts'!$B$2:$B$500,('Client contacts'!$A$2:$A$500=$A306)*('Client contacts'!$G$2:$G$500="Y"),""),2),""))</f>
        <v/>
      </c>
      <c r="I306" s="5">
        <f>IF($A306="","",IFERROR(INDEX(FILTER('Client contacts'!$C$2:$C$500,('Client contacts'!$A$2:$A$500=$A306)*('Client contacts'!$G$2:$G$500="Y"),""),2),""))</f>
        <v/>
      </c>
      <c r="J306" s="8" t="n"/>
      <c r="K306" s="8" t="n"/>
      <c r="L306" s="8" t="n"/>
      <c r="M306" s="8" t="n"/>
      <c r="N306" s="8" t="n"/>
      <c r="O306" s="8" t="n"/>
      <c r="P306" s="8" t="n"/>
      <c r="Q306" s="8" t="n"/>
      <c r="R306" s="5">
        <f>IF($A306="","",IFERROR(INDEX(Companies!$I$2:$I$500,MATCH($A306,Companies!$A$2:$A$500,0)),""))</f>
        <v/>
      </c>
      <c r="S306" s="8" t="n"/>
      <c r="T306" s="8" t="n"/>
      <c r="U306" s="8" t="n"/>
      <c r="V306" s="8" t="n"/>
      <c r="W306" s="8" t="n"/>
    </row>
    <row r="307">
      <c r="C307" s="5">
        <f>IF($B307="","",TRIM(IF(INDEX('MOA role matrix'!$B$2:$D$13,1,MATCH($B307,'MOA role matrix'!$B$1:$D$1,0))="Fill","Project initiator, ","")IF(INDEX('MOA role matrix'!$B$2:$D$13,1,MATCH($B307,'MOA role matrix'!$B$1:$D$1,0))="If finance","Project initiator (if finance), ","")IF(INDEX('MOA role matrix'!$B$2:$D$13,1,MATCH($B307,'MOA role matrix'!$B$1:$D$1,0))="Auto","Project initiator (auto), ","")IF(INDEX('MOA role matrix'!$B$2:$D$13,2,MATCH($B307,'MOA role matrix'!$B$1:$D$1,0))="Fill","MOA signers (client), ","")IF(INDEX('MOA role matrix'!$B$2:$D$13,2,MATCH($B307,'MOA role matrix'!$B$1:$D$1,0))="If finance","MOA signers (client) (if finance), ","")IF(INDEX('MOA role matrix'!$B$2:$D$13,2,MATCH($B307,'MOA role matrix'!$B$1:$D$1,0))="Auto","MOA signers (client) (auto), ","")IF(INDEX('MOA role matrix'!$B$2:$D$13,3,MATCH($B307,'MOA role matrix'!$B$1:$D$1,0))="Fill","CFO / Head of Finance, ","")IF(INDEX('MOA role matrix'!$B$2:$D$13,3,MATCH($B307,'MOA role matrix'!$B$1:$D$1,0))="If finance","CFO / Head of Finance (if finance), ","")IF(INDEX('MOA role matrix'!$B$2:$D$13,3,MATCH($B307,'MOA role matrix'!$B$1:$D$1,0))="Auto","CFO / Head of Finance (auto), ","")IF(INDEX('MOA role matrix'!$B$2:$D$13,4,MATCH($B307,'MOA role matrix'!$B$1:$D$1,0))="Fill","CEO / COO / GM, ","")IF(INDEX('MOA role matrix'!$B$2:$D$13,4,MATCH($B307,'MOA role matrix'!$B$1:$D$1,0))="If finance","CEO / COO / GM (if finance), ","")IF(INDEX('MOA role matrix'!$B$2:$D$13,4,MATCH($B307,'MOA role matrix'!$B$1:$D$1,0))="Auto","CEO / COO / GM (auto), ","")IF(INDEX('MOA role matrix'!$B$2:$D$13,5,MATCH($B307,'MOA role matrix'!$B$1:$D$1,0))="Fill","Board member 1, ","")IF(INDEX('MOA role matrix'!$B$2:$D$13,5,MATCH($B307,'MOA role matrix'!$B$1:$D$1,0))="If finance","Board member 1 (if finance), ","")IF(INDEX('MOA role matrix'!$B$2:$D$13,5,MATCH($B307,'MOA role matrix'!$B$1:$D$1,0))="Auto","Board member 1 (auto), ","")IF(INDEX('MOA role matrix'!$B$2:$D$13,6,MATCH($B307,'MOA role matrix'!$B$1:$D$1,0))="Fill","Board member 2, ","")IF(INDEX('MOA role matrix'!$B$2:$D$13,6,MATCH($B307,'MOA role matrix'!$B$1:$D$1,0))="If finance","Board member 2 (if finance), ","")IF(INDEX('MOA role matrix'!$B$2:$D$13,6,MATCH($B307,'MOA role matrix'!$B$1:$D$1,0))="Auto","Board member 2 (auto), ","")IF(INDEX('MOA role matrix'!$B$2:$D$13,7,MATCH($B307,'MOA role matrix'!$B$1:$D$1,0))="Fill","LOA holder 1, ","")IF(INDEX('MOA role matrix'!$B$2:$D$13,7,MATCH($B307,'MOA role matrix'!$B$1:$D$1,0))="If finance","LOA holder 1 (if finance), ","")IF(INDEX('MOA role matrix'!$B$2:$D$13,7,MATCH($B307,'MOA role matrix'!$B$1:$D$1,0))="Auto","LOA holder 1 (auto), ","")IF(INDEX('MOA role matrix'!$B$2:$D$13,8,MATCH($B307,'MOA role matrix'!$B$1:$D$1,0))="Fill","LOA holder 2, ","")IF(INDEX('MOA role matrix'!$B$2:$D$13,8,MATCH($B307,'MOA role matrix'!$B$1:$D$1,0))="If finance","LOA holder 2 (if finance), ","")IF(INDEX('MOA role matrix'!$B$2:$D$13,8,MATCH($B307,'MOA role matrix'!$B$1:$D$1,0))="Auto","LOA holder 2 (auto), ","")IF(INDEX('MOA role matrix'!$B$2:$D$13,9,MATCH($B307,'MOA role matrix'!$B$1:$D$1,0))="Fill","Senior Manager CoSec, ","")IF(INDEX('MOA role matrix'!$B$2:$D$13,9,MATCH($B307,'MOA role matrix'!$B$1:$D$1,0))="If finance","Senior Manager CoSec (if finance), ","")IF(INDEX('MOA role matrix'!$B$2:$D$13,9,MATCH($B307,'MOA role matrix'!$B$1:$D$1,0))="Auto","Senior Manager CoSec (auto), ","")IF(INDEX('MOA role matrix'!$B$2:$D$13,10,MATCH($B307,'MOA role matrix'!$B$1:$D$1,0))="Fill","Division MOI managers, ","")IF(INDEX('MOA role matrix'!$B$2:$D$13,10,MATCH($B307,'MOA role matrix'!$B$1:$D$1,0))="If finance","Division MOI managers (if finance), ","")IF(INDEX('MOA role matrix'!$B$2:$D$13,10,MATCH($B307,'MOA role matrix'!$B$1:$D$1,0))="Auto","Division MOI managers (auto), ","")IF(INDEX('MOA role matrix'!$B$2:$D$13,11,MATCH($B307,'MOA role matrix'!$B$1:$D$1,0))="Fill","Ms Teh (bank), ","")IF(INDEX('MOA role matrix'!$B$2:$D$13,11,MATCH($B307,'MOA role matrix'!$B$1:$D$1,0))="If finance","Ms Teh (bank) (if finance), ","")IF(INDEX('MOA role matrix'!$B$2:$D$13,11,MATCH($B307,'MOA role matrix'!$B$1:$D$1,0))="Auto","Ms Teh (bank) (auto), ","")IF(INDEX('MOA role matrix'!$B$2:$D$13,12,MATCH($B307,'MOA role matrix'!$B$1:$D$1,0))="Fill","DLCM, ","")IF(INDEX('MOA role matrix'!$B$2:$D$13,12,MATCH($B307,'MOA role matrix'!$B$1:$D$1,0))="If finance","DLCM (if finance), ","")IF(INDEX('MOA role matrix'!$B$2:$D$13,12,MATCH($B307,'MOA role matrix'!$B$1:$D$1,0))="Auto","DLCM (auto), ","")))</f>
        <v/>
      </c>
      <c r="D307" s="5">
        <f>IF($A307="","",IFERROR(INDEX(FILTER('Client contacts'!$B$2:$B$500,('Client contacts'!$A$2:$A$500=$A307)*('Client contacts'!$H$2:$H$500="Y"),""),1),""))</f>
        <v/>
      </c>
      <c r="E307" s="5">
        <f>IF($A307="","",IFERROR(INDEX(FILTER('Client contacts'!$C$2:$C$500,('Client contacts'!$A$2:$A$500=$A307)*('Client contacts'!$H$2:$H$500="Y"),""),1),""))</f>
        <v/>
      </c>
      <c r="F307" s="5">
        <f>IF($A307="","",IFERROR(INDEX(FILTER('Client contacts'!$B$2:$B$500,('Client contacts'!$A$2:$A$500=$A307)*('Client contacts'!$G$2:$G$500="Y"),""),1),""))</f>
        <v/>
      </c>
      <c r="G307" s="5">
        <f>IF($A307="","",IFERROR(INDEX(FILTER('Client contacts'!$C$2:$C$500,('Client contacts'!$A$2:$A$500=$A307)*('Client contacts'!$G$2:$G$500="Y"),""),1),""))</f>
        <v/>
      </c>
      <c r="H307" s="5">
        <f>IF($A307="","",IFERROR(INDEX(FILTER('Client contacts'!$B$2:$B$500,('Client contacts'!$A$2:$A$500=$A307)*('Client contacts'!$G$2:$G$500="Y"),""),2),""))</f>
        <v/>
      </c>
      <c r="I307" s="5">
        <f>IF($A307="","",IFERROR(INDEX(FILTER('Client contacts'!$C$2:$C$500,('Client contacts'!$A$2:$A$500=$A307)*('Client contacts'!$G$2:$G$500="Y"),""),2),""))</f>
        <v/>
      </c>
      <c r="J307" s="8" t="n"/>
      <c r="K307" s="8" t="n"/>
      <c r="L307" s="8" t="n"/>
      <c r="M307" s="8" t="n"/>
      <c r="N307" s="8" t="n"/>
      <c r="O307" s="8" t="n"/>
      <c r="P307" s="8" t="n"/>
      <c r="Q307" s="8" t="n"/>
      <c r="R307" s="5">
        <f>IF($A307="","",IFERROR(INDEX(Companies!$I$2:$I$500,MATCH($A307,Companies!$A$2:$A$500,0)),""))</f>
        <v/>
      </c>
      <c r="S307" s="8" t="n"/>
      <c r="T307" s="8" t="n"/>
      <c r="U307" s="8" t="n"/>
      <c r="V307" s="8" t="n"/>
      <c r="W307" s="8" t="n"/>
    </row>
    <row r="308">
      <c r="C308" s="5">
        <f>IF($B308="","",TRIM(IF(INDEX('MOA role matrix'!$B$2:$D$13,1,MATCH($B308,'MOA role matrix'!$B$1:$D$1,0))="Fill","Project initiator, ","")IF(INDEX('MOA role matrix'!$B$2:$D$13,1,MATCH($B308,'MOA role matrix'!$B$1:$D$1,0))="If finance","Project initiator (if finance), ","")IF(INDEX('MOA role matrix'!$B$2:$D$13,1,MATCH($B308,'MOA role matrix'!$B$1:$D$1,0))="Auto","Project initiator (auto), ","")IF(INDEX('MOA role matrix'!$B$2:$D$13,2,MATCH($B308,'MOA role matrix'!$B$1:$D$1,0))="Fill","MOA signers (client), ","")IF(INDEX('MOA role matrix'!$B$2:$D$13,2,MATCH($B308,'MOA role matrix'!$B$1:$D$1,0))="If finance","MOA signers (client) (if finance), ","")IF(INDEX('MOA role matrix'!$B$2:$D$13,2,MATCH($B308,'MOA role matrix'!$B$1:$D$1,0))="Auto","MOA signers (client) (auto), ","")IF(INDEX('MOA role matrix'!$B$2:$D$13,3,MATCH($B308,'MOA role matrix'!$B$1:$D$1,0))="Fill","CFO / Head of Finance, ","")IF(INDEX('MOA role matrix'!$B$2:$D$13,3,MATCH($B308,'MOA role matrix'!$B$1:$D$1,0))="If finance","CFO / Head of Finance (if finance), ","")IF(INDEX('MOA role matrix'!$B$2:$D$13,3,MATCH($B308,'MOA role matrix'!$B$1:$D$1,0))="Auto","CFO / Head of Finance (auto), ","")IF(INDEX('MOA role matrix'!$B$2:$D$13,4,MATCH($B308,'MOA role matrix'!$B$1:$D$1,0))="Fill","CEO / COO / GM, ","")IF(INDEX('MOA role matrix'!$B$2:$D$13,4,MATCH($B308,'MOA role matrix'!$B$1:$D$1,0))="If finance","CEO / COO / GM (if finance), ","")IF(INDEX('MOA role matrix'!$B$2:$D$13,4,MATCH($B308,'MOA role matrix'!$B$1:$D$1,0))="Auto","CEO / COO / GM (auto), ","")IF(INDEX('MOA role matrix'!$B$2:$D$13,5,MATCH($B308,'MOA role matrix'!$B$1:$D$1,0))="Fill","Board member 1, ","")IF(INDEX('MOA role matrix'!$B$2:$D$13,5,MATCH($B308,'MOA role matrix'!$B$1:$D$1,0))="If finance","Board member 1 (if finance), ","")IF(INDEX('MOA role matrix'!$B$2:$D$13,5,MATCH($B308,'MOA role matrix'!$B$1:$D$1,0))="Auto","Board member 1 (auto), ","")IF(INDEX('MOA role matrix'!$B$2:$D$13,6,MATCH($B308,'MOA role matrix'!$B$1:$D$1,0))="Fill","Board member 2, ","")IF(INDEX('MOA role matrix'!$B$2:$D$13,6,MATCH($B308,'MOA role matrix'!$B$1:$D$1,0))="If finance","Board member 2 (if finance), ","")IF(INDEX('MOA role matrix'!$B$2:$D$13,6,MATCH($B308,'MOA role matrix'!$B$1:$D$1,0))="Auto","Board member 2 (auto), ","")IF(INDEX('MOA role matrix'!$B$2:$D$13,7,MATCH($B308,'MOA role matrix'!$B$1:$D$1,0))="Fill","LOA holder 1, ","")IF(INDEX('MOA role matrix'!$B$2:$D$13,7,MATCH($B308,'MOA role matrix'!$B$1:$D$1,0))="If finance","LOA holder 1 (if finance), ","")IF(INDEX('MOA role matrix'!$B$2:$D$13,7,MATCH($B308,'MOA role matrix'!$B$1:$D$1,0))="Auto","LOA holder 1 (auto), ","")IF(INDEX('MOA role matrix'!$B$2:$D$13,8,MATCH($B308,'MOA role matrix'!$B$1:$D$1,0))="Fill","LOA holder 2, ","")IF(INDEX('MOA role matrix'!$B$2:$D$13,8,MATCH($B308,'MOA role matrix'!$B$1:$D$1,0))="If finance","LOA holder 2 (if finance), ","")IF(INDEX('MOA role matrix'!$B$2:$D$13,8,MATCH($B308,'MOA role matrix'!$B$1:$D$1,0))="Auto","LOA holder 2 (auto), ","")IF(INDEX('MOA role matrix'!$B$2:$D$13,9,MATCH($B308,'MOA role matrix'!$B$1:$D$1,0))="Fill","Senior Manager CoSec, ","")IF(INDEX('MOA role matrix'!$B$2:$D$13,9,MATCH($B308,'MOA role matrix'!$B$1:$D$1,0))="If finance","Senior Manager CoSec (if finance), ","")IF(INDEX('MOA role matrix'!$B$2:$D$13,9,MATCH($B308,'MOA role matrix'!$B$1:$D$1,0))="Auto","Senior Manager CoSec (auto), ","")IF(INDEX('MOA role matrix'!$B$2:$D$13,10,MATCH($B308,'MOA role matrix'!$B$1:$D$1,0))="Fill","Division MOI managers, ","")IF(INDEX('MOA role matrix'!$B$2:$D$13,10,MATCH($B308,'MOA role matrix'!$B$1:$D$1,0))="If finance","Division MOI managers (if finance), ","")IF(INDEX('MOA role matrix'!$B$2:$D$13,10,MATCH($B308,'MOA role matrix'!$B$1:$D$1,0))="Auto","Division MOI managers (auto), ","")IF(INDEX('MOA role matrix'!$B$2:$D$13,11,MATCH($B308,'MOA role matrix'!$B$1:$D$1,0))="Fill","Ms Teh (bank), ","")IF(INDEX('MOA role matrix'!$B$2:$D$13,11,MATCH($B308,'MOA role matrix'!$B$1:$D$1,0))="If finance","Ms Teh (bank) (if finance), ","")IF(INDEX('MOA role matrix'!$B$2:$D$13,11,MATCH($B308,'MOA role matrix'!$B$1:$D$1,0))="Auto","Ms Teh (bank) (auto), ","")IF(INDEX('MOA role matrix'!$B$2:$D$13,12,MATCH($B308,'MOA role matrix'!$B$1:$D$1,0))="Fill","DLCM, ","")IF(INDEX('MOA role matrix'!$B$2:$D$13,12,MATCH($B308,'MOA role matrix'!$B$1:$D$1,0))="If finance","DLCM (if finance), ","")IF(INDEX('MOA role matrix'!$B$2:$D$13,12,MATCH($B308,'MOA role matrix'!$B$1:$D$1,0))="Auto","DLCM (auto), ","")))</f>
        <v/>
      </c>
      <c r="D308" s="5">
        <f>IF($A308="","",IFERROR(INDEX(FILTER('Client contacts'!$B$2:$B$500,('Client contacts'!$A$2:$A$500=$A308)*('Client contacts'!$H$2:$H$500="Y"),""),1),""))</f>
        <v/>
      </c>
      <c r="E308" s="5">
        <f>IF($A308="","",IFERROR(INDEX(FILTER('Client contacts'!$C$2:$C$500,('Client contacts'!$A$2:$A$500=$A308)*('Client contacts'!$H$2:$H$500="Y"),""),1),""))</f>
        <v/>
      </c>
      <c r="F308" s="5">
        <f>IF($A308="","",IFERROR(INDEX(FILTER('Client contacts'!$B$2:$B$500,('Client contacts'!$A$2:$A$500=$A308)*('Client contacts'!$G$2:$G$500="Y"),""),1),""))</f>
        <v/>
      </c>
      <c r="G308" s="5">
        <f>IF($A308="","",IFERROR(INDEX(FILTER('Client contacts'!$C$2:$C$500,('Client contacts'!$A$2:$A$500=$A308)*('Client contacts'!$G$2:$G$500="Y"),""),1),""))</f>
        <v/>
      </c>
      <c r="H308" s="5">
        <f>IF($A308="","",IFERROR(INDEX(FILTER('Client contacts'!$B$2:$B$500,('Client contacts'!$A$2:$A$500=$A308)*('Client contacts'!$G$2:$G$500="Y"),""),2),""))</f>
        <v/>
      </c>
      <c r="I308" s="5">
        <f>IF($A308="","",IFERROR(INDEX(FILTER('Client contacts'!$C$2:$C$500,('Client contacts'!$A$2:$A$500=$A308)*('Client contacts'!$G$2:$G$500="Y"),""),2),""))</f>
        <v/>
      </c>
      <c r="J308" s="8" t="n"/>
      <c r="K308" s="8" t="n"/>
      <c r="L308" s="8" t="n"/>
      <c r="M308" s="8" t="n"/>
      <c r="N308" s="8" t="n"/>
      <c r="O308" s="8" t="n"/>
      <c r="P308" s="8" t="n"/>
      <c r="Q308" s="8" t="n"/>
      <c r="R308" s="5">
        <f>IF($A308="","",IFERROR(INDEX(Companies!$I$2:$I$500,MATCH($A308,Companies!$A$2:$A$500,0)),""))</f>
        <v/>
      </c>
      <c r="S308" s="8" t="n"/>
      <c r="T308" s="8" t="n"/>
      <c r="U308" s="8" t="n"/>
      <c r="V308" s="8" t="n"/>
      <c r="W308" s="8" t="n"/>
    </row>
    <row r="309">
      <c r="C309" s="5">
        <f>IF($B309="","",TRIM(IF(INDEX('MOA role matrix'!$B$2:$D$13,1,MATCH($B309,'MOA role matrix'!$B$1:$D$1,0))="Fill","Project initiator, ","")IF(INDEX('MOA role matrix'!$B$2:$D$13,1,MATCH($B309,'MOA role matrix'!$B$1:$D$1,0))="If finance","Project initiator (if finance), ","")IF(INDEX('MOA role matrix'!$B$2:$D$13,1,MATCH($B309,'MOA role matrix'!$B$1:$D$1,0))="Auto","Project initiator (auto), ","")IF(INDEX('MOA role matrix'!$B$2:$D$13,2,MATCH($B309,'MOA role matrix'!$B$1:$D$1,0))="Fill","MOA signers (client), ","")IF(INDEX('MOA role matrix'!$B$2:$D$13,2,MATCH($B309,'MOA role matrix'!$B$1:$D$1,0))="If finance","MOA signers (client) (if finance), ","")IF(INDEX('MOA role matrix'!$B$2:$D$13,2,MATCH($B309,'MOA role matrix'!$B$1:$D$1,0))="Auto","MOA signers (client) (auto), ","")IF(INDEX('MOA role matrix'!$B$2:$D$13,3,MATCH($B309,'MOA role matrix'!$B$1:$D$1,0))="Fill","CFO / Head of Finance, ","")IF(INDEX('MOA role matrix'!$B$2:$D$13,3,MATCH($B309,'MOA role matrix'!$B$1:$D$1,0))="If finance","CFO / Head of Finance (if finance), ","")IF(INDEX('MOA role matrix'!$B$2:$D$13,3,MATCH($B309,'MOA role matrix'!$B$1:$D$1,0))="Auto","CFO / Head of Finance (auto), ","")IF(INDEX('MOA role matrix'!$B$2:$D$13,4,MATCH($B309,'MOA role matrix'!$B$1:$D$1,0))="Fill","CEO / COO / GM, ","")IF(INDEX('MOA role matrix'!$B$2:$D$13,4,MATCH($B309,'MOA role matrix'!$B$1:$D$1,0))="If finance","CEO / COO / GM (if finance), ","")IF(INDEX('MOA role matrix'!$B$2:$D$13,4,MATCH($B309,'MOA role matrix'!$B$1:$D$1,0))="Auto","CEO / COO / GM (auto), ","")IF(INDEX('MOA role matrix'!$B$2:$D$13,5,MATCH($B309,'MOA role matrix'!$B$1:$D$1,0))="Fill","Board member 1, ","")IF(INDEX('MOA role matrix'!$B$2:$D$13,5,MATCH($B309,'MOA role matrix'!$B$1:$D$1,0))="If finance","Board member 1 (if finance), ","")IF(INDEX('MOA role matrix'!$B$2:$D$13,5,MATCH($B309,'MOA role matrix'!$B$1:$D$1,0))="Auto","Board member 1 (auto), ","")IF(INDEX('MOA role matrix'!$B$2:$D$13,6,MATCH($B309,'MOA role matrix'!$B$1:$D$1,0))="Fill","Board member 2, ","")IF(INDEX('MOA role matrix'!$B$2:$D$13,6,MATCH($B309,'MOA role matrix'!$B$1:$D$1,0))="If finance","Board member 2 (if finance), ","")IF(INDEX('MOA role matrix'!$B$2:$D$13,6,MATCH($B309,'MOA role matrix'!$B$1:$D$1,0))="Auto","Board member 2 (auto), ","")IF(INDEX('MOA role matrix'!$B$2:$D$13,7,MATCH($B309,'MOA role matrix'!$B$1:$D$1,0))="Fill","LOA holder 1, ","")IF(INDEX('MOA role matrix'!$B$2:$D$13,7,MATCH($B309,'MOA role matrix'!$B$1:$D$1,0))="If finance","LOA holder 1 (if finance), ","")IF(INDEX('MOA role matrix'!$B$2:$D$13,7,MATCH($B309,'MOA role matrix'!$B$1:$D$1,0))="Auto","LOA holder 1 (auto), ","")IF(INDEX('MOA role matrix'!$B$2:$D$13,8,MATCH($B309,'MOA role matrix'!$B$1:$D$1,0))="Fill","LOA holder 2, ","")IF(INDEX('MOA role matrix'!$B$2:$D$13,8,MATCH($B309,'MOA role matrix'!$B$1:$D$1,0))="If finance","LOA holder 2 (if finance), ","")IF(INDEX('MOA role matrix'!$B$2:$D$13,8,MATCH($B309,'MOA role matrix'!$B$1:$D$1,0))="Auto","LOA holder 2 (auto), ","")IF(INDEX('MOA role matrix'!$B$2:$D$13,9,MATCH($B309,'MOA role matrix'!$B$1:$D$1,0))="Fill","Senior Manager CoSec, ","")IF(INDEX('MOA role matrix'!$B$2:$D$13,9,MATCH($B309,'MOA role matrix'!$B$1:$D$1,0))="If finance","Senior Manager CoSec (if finance), ","")IF(INDEX('MOA role matrix'!$B$2:$D$13,9,MATCH($B309,'MOA role matrix'!$B$1:$D$1,0))="Auto","Senior Manager CoSec (auto), ","")IF(INDEX('MOA role matrix'!$B$2:$D$13,10,MATCH($B309,'MOA role matrix'!$B$1:$D$1,0))="Fill","Division MOI managers, ","")IF(INDEX('MOA role matrix'!$B$2:$D$13,10,MATCH($B309,'MOA role matrix'!$B$1:$D$1,0))="If finance","Division MOI managers (if finance), ","")IF(INDEX('MOA role matrix'!$B$2:$D$13,10,MATCH($B309,'MOA role matrix'!$B$1:$D$1,0))="Auto","Division MOI managers (auto), ","")IF(INDEX('MOA role matrix'!$B$2:$D$13,11,MATCH($B309,'MOA role matrix'!$B$1:$D$1,0))="Fill","Ms Teh (bank), ","")IF(INDEX('MOA role matrix'!$B$2:$D$13,11,MATCH($B309,'MOA role matrix'!$B$1:$D$1,0))="If finance","Ms Teh (bank) (if finance), ","")IF(INDEX('MOA role matrix'!$B$2:$D$13,11,MATCH($B309,'MOA role matrix'!$B$1:$D$1,0))="Auto","Ms Teh (bank) (auto), ","")IF(INDEX('MOA role matrix'!$B$2:$D$13,12,MATCH($B309,'MOA role matrix'!$B$1:$D$1,0))="Fill","DLCM, ","")IF(INDEX('MOA role matrix'!$B$2:$D$13,12,MATCH($B309,'MOA role matrix'!$B$1:$D$1,0))="If finance","DLCM (if finance), ","")IF(INDEX('MOA role matrix'!$B$2:$D$13,12,MATCH($B309,'MOA role matrix'!$B$1:$D$1,0))="Auto","DLCM (auto), ","")))</f>
        <v/>
      </c>
      <c r="D309" s="5">
        <f>IF($A309="","",IFERROR(INDEX(FILTER('Client contacts'!$B$2:$B$500,('Client contacts'!$A$2:$A$500=$A309)*('Client contacts'!$H$2:$H$500="Y"),""),1),""))</f>
        <v/>
      </c>
      <c r="E309" s="5">
        <f>IF($A309="","",IFERROR(INDEX(FILTER('Client contacts'!$C$2:$C$500,('Client contacts'!$A$2:$A$500=$A309)*('Client contacts'!$H$2:$H$500="Y"),""),1),""))</f>
        <v/>
      </c>
      <c r="F309" s="5">
        <f>IF($A309="","",IFERROR(INDEX(FILTER('Client contacts'!$B$2:$B$500,('Client contacts'!$A$2:$A$500=$A309)*('Client contacts'!$G$2:$G$500="Y"),""),1),""))</f>
        <v/>
      </c>
      <c r="G309" s="5">
        <f>IF($A309="","",IFERROR(INDEX(FILTER('Client contacts'!$C$2:$C$500,('Client contacts'!$A$2:$A$500=$A309)*('Client contacts'!$G$2:$G$500="Y"),""),1),""))</f>
        <v/>
      </c>
      <c r="H309" s="5">
        <f>IF($A309="","",IFERROR(INDEX(FILTER('Client contacts'!$B$2:$B$500,('Client contacts'!$A$2:$A$500=$A309)*('Client contacts'!$G$2:$G$500="Y"),""),2),""))</f>
        <v/>
      </c>
      <c r="I309" s="5">
        <f>IF($A309="","",IFERROR(INDEX(FILTER('Client contacts'!$C$2:$C$500,('Client contacts'!$A$2:$A$500=$A309)*('Client contacts'!$G$2:$G$500="Y"),""),2),""))</f>
        <v/>
      </c>
      <c r="J309" s="8" t="n"/>
      <c r="K309" s="8" t="n"/>
      <c r="L309" s="8" t="n"/>
      <c r="M309" s="8" t="n"/>
      <c r="N309" s="8" t="n"/>
      <c r="O309" s="8" t="n"/>
      <c r="P309" s="8" t="n"/>
      <c r="Q309" s="8" t="n"/>
      <c r="R309" s="5">
        <f>IF($A309="","",IFERROR(INDEX(Companies!$I$2:$I$500,MATCH($A309,Companies!$A$2:$A$500,0)),""))</f>
        <v/>
      </c>
      <c r="S309" s="8" t="n"/>
      <c r="T309" s="8" t="n"/>
      <c r="U309" s="8" t="n"/>
      <c r="V309" s="8" t="n"/>
      <c r="W309" s="8" t="n"/>
    </row>
    <row r="310">
      <c r="C310" s="5">
        <f>IF($B310="","",TRIM(IF(INDEX('MOA role matrix'!$B$2:$D$13,1,MATCH($B310,'MOA role matrix'!$B$1:$D$1,0))="Fill","Project initiator, ","")IF(INDEX('MOA role matrix'!$B$2:$D$13,1,MATCH($B310,'MOA role matrix'!$B$1:$D$1,0))="If finance","Project initiator (if finance), ","")IF(INDEX('MOA role matrix'!$B$2:$D$13,1,MATCH($B310,'MOA role matrix'!$B$1:$D$1,0))="Auto","Project initiator (auto), ","")IF(INDEX('MOA role matrix'!$B$2:$D$13,2,MATCH($B310,'MOA role matrix'!$B$1:$D$1,0))="Fill","MOA signers (client), ","")IF(INDEX('MOA role matrix'!$B$2:$D$13,2,MATCH($B310,'MOA role matrix'!$B$1:$D$1,0))="If finance","MOA signers (client) (if finance), ","")IF(INDEX('MOA role matrix'!$B$2:$D$13,2,MATCH($B310,'MOA role matrix'!$B$1:$D$1,0))="Auto","MOA signers (client) (auto), ","")IF(INDEX('MOA role matrix'!$B$2:$D$13,3,MATCH($B310,'MOA role matrix'!$B$1:$D$1,0))="Fill","CFO / Head of Finance, ","")IF(INDEX('MOA role matrix'!$B$2:$D$13,3,MATCH($B310,'MOA role matrix'!$B$1:$D$1,0))="If finance","CFO / Head of Finance (if finance), ","")IF(INDEX('MOA role matrix'!$B$2:$D$13,3,MATCH($B310,'MOA role matrix'!$B$1:$D$1,0))="Auto","CFO / Head of Finance (auto), ","")IF(INDEX('MOA role matrix'!$B$2:$D$13,4,MATCH($B310,'MOA role matrix'!$B$1:$D$1,0))="Fill","CEO / COO / GM, ","")IF(INDEX('MOA role matrix'!$B$2:$D$13,4,MATCH($B310,'MOA role matrix'!$B$1:$D$1,0))="If finance","CEO / COO / GM (if finance), ","")IF(INDEX('MOA role matrix'!$B$2:$D$13,4,MATCH($B310,'MOA role matrix'!$B$1:$D$1,0))="Auto","CEO / COO / GM (auto), ","")IF(INDEX('MOA role matrix'!$B$2:$D$13,5,MATCH($B310,'MOA role matrix'!$B$1:$D$1,0))="Fill","Board member 1, ","")IF(INDEX('MOA role matrix'!$B$2:$D$13,5,MATCH($B310,'MOA role matrix'!$B$1:$D$1,0))="If finance","Board member 1 (if finance), ","")IF(INDEX('MOA role matrix'!$B$2:$D$13,5,MATCH($B310,'MOA role matrix'!$B$1:$D$1,0))="Auto","Board member 1 (auto), ","")IF(INDEX('MOA role matrix'!$B$2:$D$13,6,MATCH($B310,'MOA role matrix'!$B$1:$D$1,0))="Fill","Board member 2, ","")IF(INDEX('MOA role matrix'!$B$2:$D$13,6,MATCH($B310,'MOA role matrix'!$B$1:$D$1,0))="If finance","Board member 2 (if finance), ","")IF(INDEX('MOA role matrix'!$B$2:$D$13,6,MATCH($B310,'MOA role matrix'!$B$1:$D$1,0))="Auto","Board member 2 (auto), ","")IF(INDEX('MOA role matrix'!$B$2:$D$13,7,MATCH($B310,'MOA role matrix'!$B$1:$D$1,0))="Fill","LOA holder 1, ","")IF(INDEX('MOA role matrix'!$B$2:$D$13,7,MATCH($B310,'MOA role matrix'!$B$1:$D$1,0))="If finance","LOA holder 1 (if finance), ","")IF(INDEX('MOA role matrix'!$B$2:$D$13,7,MATCH($B310,'MOA role matrix'!$B$1:$D$1,0))="Auto","LOA holder 1 (auto), ","")IF(INDEX('MOA role matrix'!$B$2:$D$13,8,MATCH($B310,'MOA role matrix'!$B$1:$D$1,0))="Fill","LOA holder 2, ","")IF(INDEX('MOA role matrix'!$B$2:$D$13,8,MATCH($B310,'MOA role matrix'!$B$1:$D$1,0))="If finance","LOA holder 2 (if finance), ","")IF(INDEX('MOA role matrix'!$B$2:$D$13,8,MATCH($B310,'MOA role matrix'!$B$1:$D$1,0))="Auto","LOA holder 2 (auto), ","")IF(INDEX('MOA role matrix'!$B$2:$D$13,9,MATCH($B310,'MOA role matrix'!$B$1:$D$1,0))="Fill","Senior Manager CoSec, ","")IF(INDEX('MOA role matrix'!$B$2:$D$13,9,MATCH($B310,'MOA role matrix'!$B$1:$D$1,0))="If finance","Senior Manager CoSec (if finance), ","")IF(INDEX('MOA role matrix'!$B$2:$D$13,9,MATCH($B310,'MOA role matrix'!$B$1:$D$1,0))="Auto","Senior Manager CoSec (auto), ","")IF(INDEX('MOA role matrix'!$B$2:$D$13,10,MATCH($B310,'MOA role matrix'!$B$1:$D$1,0))="Fill","Division MOI managers, ","")IF(INDEX('MOA role matrix'!$B$2:$D$13,10,MATCH($B310,'MOA role matrix'!$B$1:$D$1,0))="If finance","Division MOI managers (if finance), ","")IF(INDEX('MOA role matrix'!$B$2:$D$13,10,MATCH($B310,'MOA role matrix'!$B$1:$D$1,0))="Auto","Division MOI managers (auto), ","")IF(INDEX('MOA role matrix'!$B$2:$D$13,11,MATCH($B310,'MOA role matrix'!$B$1:$D$1,0))="Fill","Ms Teh (bank), ","")IF(INDEX('MOA role matrix'!$B$2:$D$13,11,MATCH($B310,'MOA role matrix'!$B$1:$D$1,0))="If finance","Ms Teh (bank) (if finance), ","")IF(INDEX('MOA role matrix'!$B$2:$D$13,11,MATCH($B310,'MOA role matrix'!$B$1:$D$1,0))="Auto","Ms Teh (bank) (auto), ","")IF(INDEX('MOA role matrix'!$B$2:$D$13,12,MATCH($B310,'MOA role matrix'!$B$1:$D$1,0))="Fill","DLCM, ","")IF(INDEX('MOA role matrix'!$B$2:$D$13,12,MATCH($B310,'MOA role matrix'!$B$1:$D$1,0))="If finance","DLCM (if finance), ","")IF(INDEX('MOA role matrix'!$B$2:$D$13,12,MATCH($B310,'MOA role matrix'!$B$1:$D$1,0))="Auto","DLCM (auto), ","")))</f>
        <v/>
      </c>
      <c r="D310" s="5">
        <f>IF($A310="","",IFERROR(INDEX(FILTER('Client contacts'!$B$2:$B$500,('Client contacts'!$A$2:$A$500=$A310)*('Client contacts'!$H$2:$H$500="Y"),""),1),""))</f>
        <v/>
      </c>
      <c r="E310" s="5">
        <f>IF($A310="","",IFERROR(INDEX(FILTER('Client contacts'!$C$2:$C$500,('Client contacts'!$A$2:$A$500=$A310)*('Client contacts'!$H$2:$H$500="Y"),""),1),""))</f>
        <v/>
      </c>
      <c r="F310" s="5">
        <f>IF($A310="","",IFERROR(INDEX(FILTER('Client contacts'!$B$2:$B$500,('Client contacts'!$A$2:$A$500=$A310)*('Client contacts'!$G$2:$G$500="Y"),""),1),""))</f>
        <v/>
      </c>
      <c r="G310" s="5">
        <f>IF($A310="","",IFERROR(INDEX(FILTER('Client contacts'!$C$2:$C$500,('Client contacts'!$A$2:$A$500=$A310)*('Client contacts'!$G$2:$G$500="Y"),""),1),""))</f>
        <v/>
      </c>
      <c r="H310" s="5">
        <f>IF($A310="","",IFERROR(INDEX(FILTER('Client contacts'!$B$2:$B$500,('Client contacts'!$A$2:$A$500=$A310)*('Client contacts'!$G$2:$G$500="Y"),""),2),""))</f>
        <v/>
      </c>
      <c r="I310" s="5">
        <f>IF($A310="","",IFERROR(INDEX(FILTER('Client contacts'!$C$2:$C$500,('Client contacts'!$A$2:$A$500=$A310)*('Client contacts'!$G$2:$G$500="Y"),""),2),""))</f>
        <v/>
      </c>
      <c r="J310" s="8" t="n"/>
      <c r="K310" s="8" t="n"/>
      <c r="L310" s="8" t="n"/>
      <c r="M310" s="8" t="n"/>
      <c r="N310" s="8" t="n"/>
      <c r="O310" s="8" t="n"/>
      <c r="P310" s="8" t="n"/>
      <c r="Q310" s="8" t="n"/>
      <c r="R310" s="5">
        <f>IF($A310="","",IFERROR(INDEX(Companies!$I$2:$I$500,MATCH($A310,Companies!$A$2:$A$500,0)),""))</f>
        <v/>
      </c>
      <c r="S310" s="8" t="n"/>
      <c r="T310" s="8" t="n"/>
      <c r="U310" s="8" t="n"/>
      <c r="V310" s="8" t="n"/>
      <c r="W310" s="8" t="n"/>
    </row>
    <row r="311">
      <c r="C311" s="5">
        <f>IF($B311="","",TRIM(IF(INDEX('MOA role matrix'!$B$2:$D$13,1,MATCH($B311,'MOA role matrix'!$B$1:$D$1,0))="Fill","Project initiator, ","")IF(INDEX('MOA role matrix'!$B$2:$D$13,1,MATCH($B311,'MOA role matrix'!$B$1:$D$1,0))="If finance","Project initiator (if finance), ","")IF(INDEX('MOA role matrix'!$B$2:$D$13,1,MATCH($B311,'MOA role matrix'!$B$1:$D$1,0))="Auto","Project initiator (auto), ","")IF(INDEX('MOA role matrix'!$B$2:$D$13,2,MATCH($B311,'MOA role matrix'!$B$1:$D$1,0))="Fill","MOA signers (client), ","")IF(INDEX('MOA role matrix'!$B$2:$D$13,2,MATCH($B311,'MOA role matrix'!$B$1:$D$1,0))="If finance","MOA signers (client) (if finance), ","")IF(INDEX('MOA role matrix'!$B$2:$D$13,2,MATCH($B311,'MOA role matrix'!$B$1:$D$1,0))="Auto","MOA signers (client) (auto), ","")IF(INDEX('MOA role matrix'!$B$2:$D$13,3,MATCH($B311,'MOA role matrix'!$B$1:$D$1,0))="Fill","CFO / Head of Finance, ","")IF(INDEX('MOA role matrix'!$B$2:$D$13,3,MATCH($B311,'MOA role matrix'!$B$1:$D$1,0))="If finance","CFO / Head of Finance (if finance), ","")IF(INDEX('MOA role matrix'!$B$2:$D$13,3,MATCH($B311,'MOA role matrix'!$B$1:$D$1,0))="Auto","CFO / Head of Finance (auto), ","")IF(INDEX('MOA role matrix'!$B$2:$D$13,4,MATCH($B311,'MOA role matrix'!$B$1:$D$1,0))="Fill","CEO / COO / GM, ","")IF(INDEX('MOA role matrix'!$B$2:$D$13,4,MATCH($B311,'MOA role matrix'!$B$1:$D$1,0))="If finance","CEO / COO / GM (if finance), ","")IF(INDEX('MOA role matrix'!$B$2:$D$13,4,MATCH($B311,'MOA role matrix'!$B$1:$D$1,0))="Auto","CEO / COO / GM (auto), ","")IF(INDEX('MOA role matrix'!$B$2:$D$13,5,MATCH($B311,'MOA role matrix'!$B$1:$D$1,0))="Fill","Board member 1, ","")IF(INDEX('MOA role matrix'!$B$2:$D$13,5,MATCH($B311,'MOA role matrix'!$B$1:$D$1,0))="If finance","Board member 1 (if finance), ","")IF(INDEX('MOA role matrix'!$B$2:$D$13,5,MATCH($B311,'MOA role matrix'!$B$1:$D$1,0))="Auto","Board member 1 (auto), ","")IF(INDEX('MOA role matrix'!$B$2:$D$13,6,MATCH($B311,'MOA role matrix'!$B$1:$D$1,0))="Fill","Board member 2, ","")IF(INDEX('MOA role matrix'!$B$2:$D$13,6,MATCH($B311,'MOA role matrix'!$B$1:$D$1,0))="If finance","Board member 2 (if finance), ","")IF(INDEX('MOA role matrix'!$B$2:$D$13,6,MATCH($B311,'MOA role matrix'!$B$1:$D$1,0))="Auto","Board member 2 (auto), ","")IF(INDEX('MOA role matrix'!$B$2:$D$13,7,MATCH($B311,'MOA role matrix'!$B$1:$D$1,0))="Fill","LOA holder 1, ","")IF(INDEX('MOA role matrix'!$B$2:$D$13,7,MATCH($B311,'MOA role matrix'!$B$1:$D$1,0))="If finance","LOA holder 1 (if finance), ","")IF(INDEX('MOA role matrix'!$B$2:$D$13,7,MATCH($B311,'MOA role matrix'!$B$1:$D$1,0))="Auto","LOA holder 1 (auto), ","")IF(INDEX('MOA role matrix'!$B$2:$D$13,8,MATCH($B311,'MOA role matrix'!$B$1:$D$1,0))="Fill","LOA holder 2, ","")IF(INDEX('MOA role matrix'!$B$2:$D$13,8,MATCH($B311,'MOA role matrix'!$B$1:$D$1,0))="If finance","LOA holder 2 (if finance), ","")IF(INDEX('MOA role matrix'!$B$2:$D$13,8,MATCH($B311,'MOA role matrix'!$B$1:$D$1,0))="Auto","LOA holder 2 (auto), ","")IF(INDEX('MOA role matrix'!$B$2:$D$13,9,MATCH($B311,'MOA role matrix'!$B$1:$D$1,0))="Fill","Senior Manager CoSec, ","")IF(INDEX('MOA role matrix'!$B$2:$D$13,9,MATCH($B311,'MOA role matrix'!$B$1:$D$1,0))="If finance","Senior Manager CoSec (if finance), ","")IF(INDEX('MOA role matrix'!$B$2:$D$13,9,MATCH($B311,'MOA role matrix'!$B$1:$D$1,0))="Auto","Senior Manager CoSec (auto), ","")IF(INDEX('MOA role matrix'!$B$2:$D$13,10,MATCH($B311,'MOA role matrix'!$B$1:$D$1,0))="Fill","Division MOI managers, ","")IF(INDEX('MOA role matrix'!$B$2:$D$13,10,MATCH($B311,'MOA role matrix'!$B$1:$D$1,0))="If finance","Division MOI managers (if finance), ","")IF(INDEX('MOA role matrix'!$B$2:$D$13,10,MATCH($B311,'MOA role matrix'!$B$1:$D$1,0))="Auto","Division MOI managers (auto), ","")IF(INDEX('MOA role matrix'!$B$2:$D$13,11,MATCH($B311,'MOA role matrix'!$B$1:$D$1,0))="Fill","Ms Teh (bank), ","")IF(INDEX('MOA role matrix'!$B$2:$D$13,11,MATCH($B311,'MOA role matrix'!$B$1:$D$1,0))="If finance","Ms Teh (bank) (if finance), ","")IF(INDEX('MOA role matrix'!$B$2:$D$13,11,MATCH($B311,'MOA role matrix'!$B$1:$D$1,0))="Auto","Ms Teh (bank) (auto), ","")IF(INDEX('MOA role matrix'!$B$2:$D$13,12,MATCH($B311,'MOA role matrix'!$B$1:$D$1,0))="Fill","DLCM, ","")IF(INDEX('MOA role matrix'!$B$2:$D$13,12,MATCH($B311,'MOA role matrix'!$B$1:$D$1,0))="If finance","DLCM (if finance), ","")IF(INDEX('MOA role matrix'!$B$2:$D$13,12,MATCH($B311,'MOA role matrix'!$B$1:$D$1,0))="Auto","DLCM (auto), ","")))</f>
        <v/>
      </c>
      <c r="D311" s="5">
        <f>IF($A311="","",IFERROR(INDEX(FILTER('Client contacts'!$B$2:$B$500,('Client contacts'!$A$2:$A$500=$A311)*('Client contacts'!$H$2:$H$500="Y"),""),1),""))</f>
        <v/>
      </c>
      <c r="E311" s="5">
        <f>IF($A311="","",IFERROR(INDEX(FILTER('Client contacts'!$C$2:$C$500,('Client contacts'!$A$2:$A$500=$A311)*('Client contacts'!$H$2:$H$500="Y"),""),1),""))</f>
        <v/>
      </c>
      <c r="F311" s="5">
        <f>IF($A311="","",IFERROR(INDEX(FILTER('Client contacts'!$B$2:$B$500,('Client contacts'!$A$2:$A$500=$A311)*('Client contacts'!$G$2:$G$500="Y"),""),1),""))</f>
        <v/>
      </c>
      <c r="G311" s="5">
        <f>IF($A311="","",IFERROR(INDEX(FILTER('Client contacts'!$C$2:$C$500,('Client contacts'!$A$2:$A$500=$A311)*('Client contacts'!$G$2:$G$500="Y"),""),1),""))</f>
        <v/>
      </c>
      <c r="H311" s="5">
        <f>IF($A311="","",IFERROR(INDEX(FILTER('Client contacts'!$B$2:$B$500,('Client contacts'!$A$2:$A$500=$A311)*('Client contacts'!$G$2:$G$500="Y"),""),2),""))</f>
        <v/>
      </c>
      <c r="I311" s="5">
        <f>IF($A311="","",IFERROR(INDEX(FILTER('Client contacts'!$C$2:$C$500,('Client contacts'!$A$2:$A$500=$A311)*('Client contacts'!$G$2:$G$500="Y"),""),2),""))</f>
        <v/>
      </c>
      <c r="J311" s="8" t="n"/>
      <c r="K311" s="8" t="n"/>
      <c r="L311" s="8" t="n"/>
      <c r="M311" s="8" t="n"/>
      <c r="N311" s="8" t="n"/>
      <c r="O311" s="8" t="n"/>
      <c r="P311" s="8" t="n"/>
      <c r="Q311" s="8" t="n"/>
      <c r="R311" s="5">
        <f>IF($A311="","",IFERROR(INDEX(Companies!$I$2:$I$500,MATCH($A311,Companies!$A$2:$A$500,0)),""))</f>
        <v/>
      </c>
      <c r="S311" s="8" t="n"/>
      <c r="T311" s="8" t="n"/>
      <c r="U311" s="8" t="n"/>
      <c r="V311" s="8" t="n"/>
      <c r="W311" s="8" t="n"/>
    </row>
    <row r="312">
      <c r="C312" s="5">
        <f>IF($B312="","",TRIM(IF(INDEX('MOA role matrix'!$B$2:$D$13,1,MATCH($B312,'MOA role matrix'!$B$1:$D$1,0))="Fill","Project initiator, ","")IF(INDEX('MOA role matrix'!$B$2:$D$13,1,MATCH($B312,'MOA role matrix'!$B$1:$D$1,0))="If finance","Project initiator (if finance), ","")IF(INDEX('MOA role matrix'!$B$2:$D$13,1,MATCH($B312,'MOA role matrix'!$B$1:$D$1,0))="Auto","Project initiator (auto), ","")IF(INDEX('MOA role matrix'!$B$2:$D$13,2,MATCH($B312,'MOA role matrix'!$B$1:$D$1,0))="Fill","MOA signers (client), ","")IF(INDEX('MOA role matrix'!$B$2:$D$13,2,MATCH($B312,'MOA role matrix'!$B$1:$D$1,0))="If finance","MOA signers (client) (if finance), ","")IF(INDEX('MOA role matrix'!$B$2:$D$13,2,MATCH($B312,'MOA role matrix'!$B$1:$D$1,0))="Auto","MOA signers (client) (auto), ","")IF(INDEX('MOA role matrix'!$B$2:$D$13,3,MATCH($B312,'MOA role matrix'!$B$1:$D$1,0))="Fill","CFO / Head of Finance, ","")IF(INDEX('MOA role matrix'!$B$2:$D$13,3,MATCH($B312,'MOA role matrix'!$B$1:$D$1,0))="If finance","CFO / Head of Finance (if finance), ","")IF(INDEX('MOA role matrix'!$B$2:$D$13,3,MATCH($B312,'MOA role matrix'!$B$1:$D$1,0))="Auto","CFO / Head of Finance (auto), ","")IF(INDEX('MOA role matrix'!$B$2:$D$13,4,MATCH($B312,'MOA role matrix'!$B$1:$D$1,0))="Fill","CEO / COO / GM, ","")IF(INDEX('MOA role matrix'!$B$2:$D$13,4,MATCH($B312,'MOA role matrix'!$B$1:$D$1,0))="If finance","CEO / COO / GM (if finance), ","")IF(INDEX('MOA role matrix'!$B$2:$D$13,4,MATCH($B312,'MOA role matrix'!$B$1:$D$1,0))="Auto","CEO / COO / GM (auto), ","")IF(INDEX('MOA role matrix'!$B$2:$D$13,5,MATCH($B312,'MOA role matrix'!$B$1:$D$1,0))="Fill","Board member 1, ","")IF(INDEX('MOA role matrix'!$B$2:$D$13,5,MATCH($B312,'MOA role matrix'!$B$1:$D$1,0))="If finance","Board member 1 (if finance), ","")IF(INDEX('MOA role matrix'!$B$2:$D$13,5,MATCH($B312,'MOA role matrix'!$B$1:$D$1,0))="Auto","Board member 1 (auto), ","")IF(INDEX('MOA role matrix'!$B$2:$D$13,6,MATCH($B312,'MOA role matrix'!$B$1:$D$1,0))="Fill","Board member 2, ","")IF(INDEX('MOA role matrix'!$B$2:$D$13,6,MATCH($B312,'MOA role matrix'!$B$1:$D$1,0))="If finance","Board member 2 (if finance), ","")IF(INDEX('MOA role matrix'!$B$2:$D$13,6,MATCH($B312,'MOA role matrix'!$B$1:$D$1,0))="Auto","Board member 2 (auto), ","")IF(INDEX('MOA role matrix'!$B$2:$D$13,7,MATCH($B312,'MOA role matrix'!$B$1:$D$1,0))="Fill","LOA holder 1, ","")IF(INDEX('MOA role matrix'!$B$2:$D$13,7,MATCH($B312,'MOA role matrix'!$B$1:$D$1,0))="If finance","LOA holder 1 (if finance), ","")IF(INDEX('MOA role matrix'!$B$2:$D$13,7,MATCH($B312,'MOA role matrix'!$B$1:$D$1,0))="Auto","LOA holder 1 (auto), ","")IF(INDEX('MOA role matrix'!$B$2:$D$13,8,MATCH($B312,'MOA role matrix'!$B$1:$D$1,0))="Fill","LOA holder 2, ","")IF(INDEX('MOA role matrix'!$B$2:$D$13,8,MATCH($B312,'MOA role matrix'!$B$1:$D$1,0))="If finance","LOA holder 2 (if finance), ","")IF(INDEX('MOA role matrix'!$B$2:$D$13,8,MATCH($B312,'MOA role matrix'!$B$1:$D$1,0))="Auto","LOA holder 2 (auto), ","")IF(INDEX('MOA role matrix'!$B$2:$D$13,9,MATCH($B312,'MOA role matrix'!$B$1:$D$1,0))="Fill","Senior Manager CoSec, ","")IF(INDEX('MOA role matrix'!$B$2:$D$13,9,MATCH($B312,'MOA role matrix'!$B$1:$D$1,0))="If finance","Senior Manager CoSec (if finance), ","")IF(INDEX('MOA role matrix'!$B$2:$D$13,9,MATCH($B312,'MOA role matrix'!$B$1:$D$1,0))="Auto","Senior Manager CoSec (auto), ","")IF(INDEX('MOA role matrix'!$B$2:$D$13,10,MATCH($B312,'MOA role matrix'!$B$1:$D$1,0))="Fill","Division MOI managers, ","")IF(INDEX('MOA role matrix'!$B$2:$D$13,10,MATCH($B312,'MOA role matrix'!$B$1:$D$1,0))="If finance","Division MOI managers (if finance), ","")IF(INDEX('MOA role matrix'!$B$2:$D$13,10,MATCH($B312,'MOA role matrix'!$B$1:$D$1,0))="Auto","Division MOI managers (auto), ","")IF(INDEX('MOA role matrix'!$B$2:$D$13,11,MATCH($B312,'MOA role matrix'!$B$1:$D$1,0))="Fill","Ms Teh (bank), ","")IF(INDEX('MOA role matrix'!$B$2:$D$13,11,MATCH($B312,'MOA role matrix'!$B$1:$D$1,0))="If finance","Ms Teh (bank) (if finance), ","")IF(INDEX('MOA role matrix'!$B$2:$D$13,11,MATCH($B312,'MOA role matrix'!$B$1:$D$1,0))="Auto","Ms Teh (bank) (auto), ","")IF(INDEX('MOA role matrix'!$B$2:$D$13,12,MATCH($B312,'MOA role matrix'!$B$1:$D$1,0))="Fill","DLCM, ","")IF(INDEX('MOA role matrix'!$B$2:$D$13,12,MATCH($B312,'MOA role matrix'!$B$1:$D$1,0))="If finance","DLCM (if finance), ","")IF(INDEX('MOA role matrix'!$B$2:$D$13,12,MATCH($B312,'MOA role matrix'!$B$1:$D$1,0))="Auto","DLCM (auto), ","")))</f>
        <v/>
      </c>
      <c r="D312" s="5">
        <f>IF($A312="","",IFERROR(INDEX(FILTER('Client contacts'!$B$2:$B$500,('Client contacts'!$A$2:$A$500=$A312)*('Client contacts'!$H$2:$H$500="Y"),""),1),""))</f>
        <v/>
      </c>
      <c r="E312" s="5">
        <f>IF($A312="","",IFERROR(INDEX(FILTER('Client contacts'!$C$2:$C$500,('Client contacts'!$A$2:$A$500=$A312)*('Client contacts'!$H$2:$H$500="Y"),""),1),""))</f>
        <v/>
      </c>
      <c r="F312" s="5">
        <f>IF($A312="","",IFERROR(INDEX(FILTER('Client contacts'!$B$2:$B$500,('Client contacts'!$A$2:$A$500=$A312)*('Client contacts'!$G$2:$G$500="Y"),""),1),""))</f>
        <v/>
      </c>
      <c r="G312" s="5">
        <f>IF($A312="","",IFERROR(INDEX(FILTER('Client contacts'!$C$2:$C$500,('Client contacts'!$A$2:$A$500=$A312)*('Client contacts'!$G$2:$G$500="Y"),""),1),""))</f>
        <v/>
      </c>
      <c r="H312" s="5">
        <f>IF($A312="","",IFERROR(INDEX(FILTER('Client contacts'!$B$2:$B$500,('Client contacts'!$A$2:$A$500=$A312)*('Client contacts'!$G$2:$G$500="Y"),""),2),""))</f>
        <v/>
      </c>
      <c r="I312" s="5">
        <f>IF($A312="","",IFERROR(INDEX(FILTER('Client contacts'!$C$2:$C$500,('Client contacts'!$A$2:$A$500=$A312)*('Client contacts'!$G$2:$G$500="Y"),""),2),""))</f>
        <v/>
      </c>
      <c r="J312" s="8" t="n"/>
      <c r="K312" s="8" t="n"/>
      <c r="L312" s="8" t="n"/>
      <c r="M312" s="8" t="n"/>
      <c r="N312" s="8" t="n"/>
      <c r="O312" s="8" t="n"/>
      <c r="P312" s="8" t="n"/>
      <c r="Q312" s="8" t="n"/>
      <c r="R312" s="5">
        <f>IF($A312="","",IFERROR(INDEX(Companies!$I$2:$I$500,MATCH($A312,Companies!$A$2:$A$500,0)),""))</f>
        <v/>
      </c>
      <c r="S312" s="8" t="n"/>
      <c r="T312" s="8" t="n"/>
      <c r="U312" s="8" t="n"/>
      <c r="V312" s="8" t="n"/>
      <c r="W312" s="8" t="n"/>
    </row>
    <row r="313">
      <c r="C313" s="5">
        <f>IF($B313="","",TRIM(IF(INDEX('MOA role matrix'!$B$2:$D$13,1,MATCH($B313,'MOA role matrix'!$B$1:$D$1,0))="Fill","Project initiator, ","")IF(INDEX('MOA role matrix'!$B$2:$D$13,1,MATCH($B313,'MOA role matrix'!$B$1:$D$1,0))="If finance","Project initiator (if finance), ","")IF(INDEX('MOA role matrix'!$B$2:$D$13,1,MATCH($B313,'MOA role matrix'!$B$1:$D$1,0))="Auto","Project initiator (auto), ","")IF(INDEX('MOA role matrix'!$B$2:$D$13,2,MATCH($B313,'MOA role matrix'!$B$1:$D$1,0))="Fill","MOA signers (client), ","")IF(INDEX('MOA role matrix'!$B$2:$D$13,2,MATCH($B313,'MOA role matrix'!$B$1:$D$1,0))="If finance","MOA signers (client) (if finance), ","")IF(INDEX('MOA role matrix'!$B$2:$D$13,2,MATCH($B313,'MOA role matrix'!$B$1:$D$1,0))="Auto","MOA signers (client) (auto), ","")IF(INDEX('MOA role matrix'!$B$2:$D$13,3,MATCH($B313,'MOA role matrix'!$B$1:$D$1,0))="Fill","CFO / Head of Finance, ","")IF(INDEX('MOA role matrix'!$B$2:$D$13,3,MATCH($B313,'MOA role matrix'!$B$1:$D$1,0))="If finance","CFO / Head of Finance (if finance), ","")IF(INDEX('MOA role matrix'!$B$2:$D$13,3,MATCH($B313,'MOA role matrix'!$B$1:$D$1,0))="Auto","CFO / Head of Finance (auto), ","")IF(INDEX('MOA role matrix'!$B$2:$D$13,4,MATCH($B313,'MOA role matrix'!$B$1:$D$1,0))="Fill","CEO / COO / GM, ","")IF(INDEX('MOA role matrix'!$B$2:$D$13,4,MATCH($B313,'MOA role matrix'!$B$1:$D$1,0))="If finance","CEO / COO / GM (if finance), ","")IF(INDEX('MOA role matrix'!$B$2:$D$13,4,MATCH($B313,'MOA role matrix'!$B$1:$D$1,0))="Auto","CEO / COO / GM (auto), ","")IF(INDEX('MOA role matrix'!$B$2:$D$13,5,MATCH($B313,'MOA role matrix'!$B$1:$D$1,0))="Fill","Board member 1, ","")IF(INDEX('MOA role matrix'!$B$2:$D$13,5,MATCH($B313,'MOA role matrix'!$B$1:$D$1,0))="If finance","Board member 1 (if finance), ","")IF(INDEX('MOA role matrix'!$B$2:$D$13,5,MATCH($B313,'MOA role matrix'!$B$1:$D$1,0))="Auto","Board member 1 (auto), ","")IF(INDEX('MOA role matrix'!$B$2:$D$13,6,MATCH($B313,'MOA role matrix'!$B$1:$D$1,0))="Fill","Board member 2, ","")IF(INDEX('MOA role matrix'!$B$2:$D$13,6,MATCH($B313,'MOA role matrix'!$B$1:$D$1,0))="If finance","Board member 2 (if finance), ","")IF(INDEX('MOA role matrix'!$B$2:$D$13,6,MATCH($B313,'MOA role matrix'!$B$1:$D$1,0))="Auto","Board member 2 (auto), ","")IF(INDEX('MOA role matrix'!$B$2:$D$13,7,MATCH($B313,'MOA role matrix'!$B$1:$D$1,0))="Fill","LOA holder 1, ","")IF(INDEX('MOA role matrix'!$B$2:$D$13,7,MATCH($B313,'MOA role matrix'!$B$1:$D$1,0))="If finance","LOA holder 1 (if finance), ","")IF(INDEX('MOA role matrix'!$B$2:$D$13,7,MATCH($B313,'MOA role matrix'!$B$1:$D$1,0))="Auto","LOA holder 1 (auto), ","")IF(INDEX('MOA role matrix'!$B$2:$D$13,8,MATCH($B313,'MOA role matrix'!$B$1:$D$1,0))="Fill","LOA holder 2, ","")IF(INDEX('MOA role matrix'!$B$2:$D$13,8,MATCH($B313,'MOA role matrix'!$B$1:$D$1,0))="If finance","LOA holder 2 (if finance), ","")IF(INDEX('MOA role matrix'!$B$2:$D$13,8,MATCH($B313,'MOA role matrix'!$B$1:$D$1,0))="Auto","LOA holder 2 (auto), ","")IF(INDEX('MOA role matrix'!$B$2:$D$13,9,MATCH($B313,'MOA role matrix'!$B$1:$D$1,0))="Fill","Senior Manager CoSec, ","")IF(INDEX('MOA role matrix'!$B$2:$D$13,9,MATCH($B313,'MOA role matrix'!$B$1:$D$1,0))="If finance","Senior Manager CoSec (if finance), ","")IF(INDEX('MOA role matrix'!$B$2:$D$13,9,MATCH($B313,'MOA role matrix'!$B$1:$D$1,0))="Auto","Senior Manager CoSec (auto), ","")IF(INDEX('MOA role matrix'!$B$2:$D$13,10,MATCH($B313,'MOA role matrix'!$B$1:$D$1,0))="Fill","Division MOI managers, ","")IF(INDEX('MOA role matrix'!$B$2:$D$13,10,MATCH($B313,'MOA role matrix'!$B$1:$D$1,0))="If finance","Division MOI managers (if finance), ","")IF(INDEX('MOA role matrix'!$B$2:$D$13,10,MATCH($B313,'MOA role matrix'!$B$1:$D$1,0))="Auto","Division MOI managers (auto), ","")IF(INDEX('MOA role matrix'!$B$2:$D$13,11,MATCH($B313,'MOA role matrix'!$B$1:$D$1,0))="Fill","Ms Teh (bank), ","")IF(INDEX('MOA role matrix'!$B$2:$D$13,11,MATCH($B313,'MOA role matrix'!$B$1:$D$1,0))="If finance","Ms Teh (bank) (if finance), ","")IF(INDEX('MOA role matrix'!$B$2:$D$13,11,MATCH($B313,'MOA role matrix'!$B$1:$D$1,0))="Auto","Ms Teh (bank) (auto), ","")IF(INDEX('MOA role matrix'!$B$2:$D$13,12,MATCH($B313,'MOA role matrix'!$B$1:$D$1,0))="Fill","DLCM, ","")IF(INDEX('MOA role matrix'!$B$2:$D$13,12,MATCH($B313,'MOA role matrix'!$B$1:$D$1,0))="If finance","DLCM (if finance), ","")IF(INDEX('MOA role matrix'!$B$2:$D$13,12,MATCH($B313,'MOA role matrix'!$B$1:$D$1,0))="Auto","DLCM (auto), ","")))</f>
        <v/>
      </c>
      <c r="D313" s="5">
        <f>IF($A313="","",IFERROR(INDEX(FILTER('Client contacts'!$B$2:$B$500,('Client contacts'!$A$2:$A$500=$A313)*('Client contacts'!$H$2:$H$500="Y"),""),1),""))</f>
        <v/>
      </c>
      <c r="E313" s="5">
        <f>IF($A313="","",IFERROR(INDEX(FILTER('Client contacts'!$C$2:$C$500,('Client contacts'!$A$2:$A$500=$A313)*('Client contacts'!$H$2:$H$500="Y"),""),1),""))</f>
        <v/>
      </c>
      <c r="F313" s="5">
        <f>IF($A313="","",IFERROR(INDEX(FILTER('Client contacts'!$B$2:$B$500,('Client contacts'!$A$2:$A$500=$A313)*('Client contacts'!$G$2:$G$500="Y"),""),1),""))</f>
        <v/>
      </c>
      <c r="G313" s="5">
        <f>IF($A313="","",IFERROR(INDEX(FILTER('Client contacts'!$C$2:$C$500,('Client contacts'!$A$2:$A$500=$A313)*('Client contacts'!$G$2:$G$500="Y"),""),1),""))</f>
        <v/>
      </c>
      <c r="H313" s="5">
        <f>IF($A313="","",IFERROR(INDEX(FILTER('Client contacts'!$B$2:$B$500,('Client contacts'!$A$2:$A$500=$A313)*('Client contacts'!$G$2:$G$500="Y"),""),2),""))</f>
        <v/>
      </c>
      <c r="I313" s="5">
        <f>IF($A313="","",IFERROR(INDEX(FILTER('Client contacts'!$C$2:$C$500,('Client contacts'!$A$2:$A$500=$A313)*('Client contacts'!$G$2:$G$500="Y"),""),2),""))</f>
        <v/>
      </c>
      <c r="J313" s="8" t="n"/>
      <c r="K313" s="8" t="n"/>
      <c r="L313" s="8" t="n"/>
      <c r="M313" s="8" t="n"/>
      <c r="N313" s="8" t="n"/>
      <c r="O313" s="8" t="n"/>
      <c r="P313" s="8" t="n"/>
      <c r="Q313" s="8" t="n"/>
      <c r="R313" s="5">
        <f>IF($A313="","",IFERROR(INDEX(Companies!$I$2:$I$500,MATCH($A313,Companies!$A$2:$A$500,0)),""))</f>
        <v/>
      </c>
      <c r="S313" s="8" t="n"/>
      <c r="T313" s="8" t="n"/>
      <c r="U313" s="8" t="n"/>
      <c r="V313" s="8" t="n"/>
      <c r="W313" s="8" t="n"/>
    </row>
    <row r="314">
      <c r="C314" s="5">
        <f>IF($B314="","",TRIM(IF(INDEX('MOA role matrix'!$B$2:$D$13,1,MATCH($B314,'MOA role matrix'!$B$1:$D$1,0))="Fill","Project initiator, ","")IF(INDEX('MOA role matrix'!$B$2:$D$13,1,MATCH($B314,'MOA role matrix'!$B$1:$D$1,0))="If finance","Project initiator (if finance), ","")IF(INDEX('MOA role matrix'!$B$2:$D$13,1,MATCH($B314,'MOA role matrix'!$B$1:$D$1,0))="Auto","Project initiator (auto), ","")IF(INDEX('MOA role matrix'!$B$2:$D$13,2,MATCH($B314,'MOA role matrix'!$B$1:$D$1,0))="Fill","MOA signers (client), ","")IF(INDEX('MOA role matrix'!$B$2:$D$13,2,MATCH($B314,'MOA role matrix'!$B$1:$D$1,0))="If finance","MOA signers (client) (if finance), ","")IF(INDEX('MOA role matrix'!$B$2:$D$13,2,MATCH($B314,'MOA role matrix'!$B$1:$D$1,0))="Auto","MOA signers (client) (auto), ","")IF(INDEX('MOA role matrix'!$B$2:$D$13,3,MATCH($B314,'MOA role matrix'!$B$1:$D$1,0))="Fill","CFO / Head of Finance, ","")IF(INDEX('MOA role matrix'!$B$2:$D$13,3,MATCH($B314,'MOA role matrix'!$B$1:$D$1,0))="If finance","CFO / Head of Finance (if finance), ","")IF(INDEX('MOA role matrix'!$B$2:$D$13,3,MATCH($B314,'MOA role matrix'!$B$1:$D$1,0))="Auto","CFO / Head of Finance (auto), ","")IF(INDEX('MOA role matrix'!$B$2:$D$13,4,MATCH($B314,'MOA role matrix'!$B$1:$D$1,0))="Fill","CEO / COO / GM, ","")IF(INDEX('MOA role matrix'!$B$2:$D$13,4,MATCH($B314,'MOA role matrix'!$B$1:$D$1,0))="If finance","CEO / COO / GM (if finance), ","")IF(INDEX('MOA role matrix'!$B$2:$D$13,4,MATCH($B314,'MOA role matrix'!$B$1:$D$1,0))="Auto","CEO / COO / GM (auto), ","")IF(INDEX('MOA role matrix'!$B$2:$D$13,5,MATCH($B314,'MOA role matrix'!$B$1:$D$1,0))="Fill","Board member 1, ","")IF(INDEX('MOA role matrix'!$B$2:$D$13,5,MATCH($B314,'MOA role matrix'!$B$1:$D$1,0))="If finance","Board member 1 (if finance), ","")IF(INDEX('MOA role matrix'!$B$2:$D$13,5,MATCH($B314,'MOA role matrix'!$B$1:$D$1,0))="Auto","Board member 1 (auto), ","")IF(INDEX('MOA role matrix'!$B$2:$D$13,6,MATCH($B314,'MOA role matrix'!$B$1:$D$1,0))="Fill","Board member 2, ","")IF(INDEX('MOA role matrix'!$B$2:$D$13,6,MATCH($B314,'MOA role matrix'!$B$1:$D$1,0))="If finance","Board member 2 (if finance), ","")IF(INDEX('MOA role matrix'!$B$2:$D$13,6,MATCH($B314,'MOA role matrix'!$B$1:$D$1,0))="Auto","Board member 2 (auto), ","")IF(INDEX('MOA role matrix'!$B$2:$D$13,7,MATCH($B314,'MOA role matrix'!$B$1:$D$1,0))="Fill","LOA holder 1, ","")IF(INDEX('MOA role matrix'!$B$2:$D$13,7,MATCH($B314,'MOA role matrix'!$B$1:$D$1,0))="If finance","LOA holder 1 (if finance), ","")IF(INDEX('MOA role matrix'!$B$2:$D$13,7,MATCH($B314,'MOA role matrix'!$B$1:$D$1,0))="Auto","LOA holder 1 (auto), ","")IF(INDEX('MOA role matrix'!$B$2:$D$13,8,MATCH($B314,'MOA role matrix'!$B$1:$D$1,0))="Fill","LOA holder 2, ","")IF(INDEX('MOA role matrix'!$B$2:$D$13,8,MATCH($B314,'MOA role matrix'!$B$1:$D$1,0))="If finance","LOA holder 2 (if finance), ","")IF(INDEX('MOA role matrix'!$B$2:$D$13,8,MATCH($B314,'MOA role matrix'!$B$1:$D$1,0))="Auto","LOA holder 2 (auto), ","")IF(INDEX('MOA role matrix'!$B$2:$D$13,9,MATCH($B314,'MOA role matrix'!$B$1:$D$1,0))="Fill","Senior Manager CoSec, ","")IF(INDEX('MOA role matrix'!$B$2:$D$13,9,MATCH($B314,'MOA role matrix'!$B$1:$D$1,0))="If finance","Senior Manager CoSec (if finance), ","")IF(INDEX('MOA role matrix'!$B$2:$D$13,9,MATCH($B314,'MOA role matrix'!$B$1:$D$1,0))="Auto","Senior Manager CoSec (auto), ","")IF(INDEX('MOA role matrix'!$B$2:$D$13,10,MATCH($B314,'MOA role matrix'!$B$1:$D$1,0))="Fill","Division MOI managers, ","")IF(INDEX('MOA role matrix'!$B$2:$D$13,10,MATCH($B314,'MOA role matrix'!$B$1:$D$1,0))="If finance","Division MOI managers (if finance), ","")IF(INDEX('MOA role matrix'!$B$2:$D$13,10,MATCH($B314,'MOA role matrix'!$B$1:$D$1,0))="Auto","Division MOI managers (auto), ","")IF(INDEX('MOA role matrix'!$B$2:$D$13,11,MATCH($B314,'MOA role matrix'!$B$1:$D$1,0))="Fill","Ms Teh (bank), ","")IF(INDEX('MOA role matrix'!$B$2:$D$13,11,MATCH($B314,'MOA role matrix'!$B$1:$D$1,0))="If finance","Ms Teh (bank) (if finance), ","")IF(INDEX('MOA role matrix'!$B$2:$D$13,11,MATCH($B314,'MOA role matrix'!$B$1:$D$1,0))="Auto","Ms Teh (bank) (auto), ","")IF(INDEX('MOA role matrix'!$B$2:$D$13,12,MATCH($B314,'MOA role matrix'!$B$1:$D$1,0))="Fill","DLCM, ","")IF(INDEX('MOA role matrix'!$B$2:$D$13,12,MATCH($B314,'MOA role matrix'!$B$1:$D$1,0))="If finance","DLCM (if finance), ","")IF(INDEX('MOA role matrix'!$B$2:$D$13,12,MATCH($B314,'MOA role matrix'!$B$1:$D$1,0))="Auto","DLCM (auto), ","")))</f>
        <v/>
      </c>
      <c r="D314" s="5">
        <f>IF($A314="","",IFERROR(INDEX(FILTER('Client contacts'!$B$2:$B$500,('Client contacts'!$A$2:$A$500=$A314)*('Client contacts'!$H$2:$H$500="Y"),""),1),""))</f>
        <v/>
      </c>
      <c r="E314" s="5">
        <f>IF($A314="","",IFERROR(INDEX(FILTER('Client contacts'!$C$2:$C$500,('Client contacts'!$A$2:$A$500=$A314)*('Client contacts'!$H$2:$H$500="Y"),""),1),""))</f>
        <v/>
      </c>
      <c r="F314" s="5">
        <f>IF($A314="","",IFERROR(INDEX(FILTER('Client contacts'!$B$2:$B$500,('Client contacts'!$A$2:$A$500=$A314)*('Client contacts'!$G$2:$G$500="Y"),""),1),""))</f>
        <v/>
      </c>
      <c r="G314" s="5">
        <f>IF($A314="","",IFERROR(INDEX(FILTER('Client contacts'!$C$2:$C$500,('Client contacts'!$A$2:$A$500=$A314)*('Client contacts'!$G$2:$G$500="Y"),""),1),""))</f>
        <v/>
      </c>
      <c r="H314" s="5">
        <f>IF($A314="","",IFERROR(INDEX(FILTER('Client contacts'!$B$2:$B$500,('Client contacts'!$A$2:$A$500=$A314)*('Client contacts'!$G$2:$G$500="Y"),""),2),""))</f>
        <v/>
      </c>
      <c r="I314" s="5">
        <f>IF($A314="","",IFERROR(INDEX(FILTER('Client contacts'!$C$2:$C$500,('Client contacts'!$A$2:$A$500=$A314)*('Client contacts'!$G$2:$G$500="Y"),""),2),""))</f>
        <v/>
      </c>
      <c r="J314" s="8" t="n"/>
      <c r="K314" s="8" t="n"/>
      <c r="L314" s="8" t="n"/>
      <c r="M314" s="8" t="n"/>
      <c r="N314" s="8" t="n"/>
      <c r="O314" s="8" t="n"/>
      <c r="P314" s="8" t="n"/>
      <c r="Q314" s="8" t="n"/>
      <c r="R314" s="5">
        <f>IF($A314="","",IFERROR(INDEX(Companies!$I$2:$I$500,MATCH($A314,Companies!$A$2:$A$500,0)),""))</f>
        <v/>
      </c>
      <c r="S314" s="8" t="n"/>
      <c r="T314" s="8" t="n"/>
      <c r="U314" s="8" t="n"/>
      <c r="V314" s="8" t="n"/>
      <c r="W314" s="8" t="n"/>
    </row>
    <row r="315">
      <c r="C315" s="5">
        <f>IF($B315="","",TRIM(IF(INDEX('MOA role matrix'!$B$2:$D$13,1,MATCH($B315,'MOA role matrix'!$B$1:$D$1,0))="Fill","Project initiator, ","")IF(INDEX('MOA role matrix'!$B$2:$D$13,1,MATCH($B315,'MOA role matrix'!$B$1:$D$1,0))="If finance","Project initiator (if finance), ","")IF(INDEX('MOA role matrix'!$B$2:$D$13,1,MATCH($B315,'MOA role matrix'!$B$1:$D$1,0))="Auto","Project initiator (auto), ","")IF(INDEX('MOA role matrix'!$B$2:$D$13,2,MATCH($B315,'MOA role matrix'!$B$1:$D$1,0))="Fill","MOA signers (client), ","")IF(INDEX('MOA role matrix'!$B$2:$D$13,2,MATCH($B315,'MOA role matrix'!$B$1:$D$1,0))="If finance","MOA signers (client) (if finance), ","")IF(INDEX('MOA role matrix'!$B$2:$D$13,2,MATCH($B315,'MOA role matrix'!$B$1:$D$1,0))="Auto","MOA signers (client) (auto), ","")IF(INDEX('MOA role matrix'!$B$2:$D$13,3,MATCH($B315,'MOA role matrix'!$B$1:$D$1,0))="Fill","CFO / Head of Finance, ","")IF(INDEX('MOA role matrix'!$B$2:$D$13,3,MATCH($B315,'MOA role matrix'!$B$1:$D$1,0))="If finance","CFO / Head of Finance (if finance), ","")IF(INDEX('MOA role matrix'!$B$2:$D$13,3,MATCH($B315,'MOA role matrix'!$B$1:$D$1,0))="Auto","CFO / Head of Finance (auto), ","")IF(INDEX('MOA role matrix'!$B$2:$D$13,4,MATCH($B315,'MOA role matrix'!$B$1:$D$1,0))="Fill","CEO / COO / GM, ","")IF(INDEX('MOA role matrix'!$B$2:$D$13,4,MATCH($B315,'MOA role matrix'!$B$1:$D$1,0))="If finance","CEO / COO / GM (if finance), ","")IF(INDEX('MOA role matrix'!$B$2:$D$13,4,MATCH($B315,'MOA role matrix'!$B$1:$D$1,0))="Auto","CEO / COO / GM (auto), ","")IF(INDEX('MOA role matrix'!$B$2:$D$13,5,MATCH($B315,'MOA role matrix'!$B$1:$D$1,0))="Fill","Board member 1, ","")IF(INDEX('MOA role matrix'!$B$2:$D$13,5,MATCH($B315,'MOA role matrix'!$B$1:$D$1,0))="If finance","Board member 1 (if finance), ","")IF(INDEX('MOA role matrix'!$B$2:$D$13,5,MATCH($B315,'MOA role matrix'!$B$1:$D$1,0))="Auto","Board member 1 (auto), ","")IF(INDEX('MOA role matrix'!$B$2:$D$13,6,MATCH($B315,'MOA role matrix'!$B$1:$D$1,0))="Fill","Board member 2, ","")IF(INDEX('MOA role matrix'!$B$2:$D$13,6,MATCH($B315,'MOA role matrix'!$B$1:$D$1,0))="If finance","Board member 2 (if finance), ","")IF(INDEX('MOA role matrix'!$B$2:$D$13,6,MATCH($B315,'MOA role matrix'!$B$1:$D$1,0))="Auto","Board member 2 (auto), ","")IF(INDEX('MOA role matrix'!$B$2:$D$13,7,MATCH($B315,'MOA role matrix'!$B$1:$D$1,0))="Fill","LOA holder 1, ","")IF(INDEX('MOA role matrix'!$B$2:$D$13,7,MATCH($B315,'MOA role matrix'!$B$1:$D$1,0))="If finance","LOA holder 1 (if finance), ","")IF(INDEX('MOA role matrix'!$B$2:$D$13,7,MATCH($B315,'MOA role matrix'!$B$1:$D$1,0))="Auto","LOA holder 1 (auto), ","")IF(INDEX('MOA role matrix'!$B$2:$D$13,8,MATCH($B315,'MOA role matrix'!$B$1:$D$1,0))="Fill","LOA holder 2, ","")IF(INDEX('MOA role matrix'!$B$2:$D$13,8,MATCH($B315,'MOA role matrix'!$B$1:$D$1,0))="If finance","LOA holder 2 (if finance), ","")IF(INDEX('MOA role matrix'!$B$2:$D$13,8,MATCH($B315,'MOA role matrix'!$B$1:$D$1,0))="Auto","LOA holder 2 (auto), ","")IF(INDEX('MOA role matrix'!$B$2:$D$13,9,MATCH($B315,'MOA role matrix'!$B$1:$D$1,0))="Fill","Senior Manager CoSec, ","")IF(INDEX('MOA role matrix'!$B$2:$D$13,9,MATCH($B315,'MOA role matrix'!$B$1:$D$1,0))="If finance","Senior Manager CoSec (if finance), ","")IF(INDEX('MOA role matrix'!$B$2:$D$13,9,MATCH($B315,'MOA role matrix'!$B$1:$D$1,0))="Auto","Senior Manager CoSec (auto), ","")IF(INDEX('MOA role matrix'!$B$2:$D$13,10,MATCH($B315,'MOA role matrix'!$B$1:$D$1,0))="Fill","Division MOI managers, ","")IF(INDEX('MOA role matrix'!$B$2:$D$13,10,MATCH($B315,'MOA role matrix'!$B$1:$D$1,0))="If finance","Division MOI managers (if finance), ","")IF(INDEX('MOA role matrix'!$B$2:$D$13,10,MATCH($B315,'MOA role matrix'!$B$1:$D$1,0))="Auto","Division MOI managers (auto), ","")IF(INDEX('MOA role matrix'!$B$2:$D$13,11,MATCH($B315,'MOA role matrix'!$B$1:$D$1,0))="Fill","Ms Teh (bank), ","")IF(INDEX('MOA role matrix'!$B$2:$D$13,11,MATCH($B315,'MOA role matrix'!$B$1:$D$1,0))="If finance","Ms Teh (bank) (if finance), ","")IF(INDEX('MOA role matrix'!$B$2:$D$13,11,MATCH($B315,'MOA role matrix'!$B$1:$D$1,0))="Auto","Ms Teh (bank) (auto), ","")IF(INDEX('MOA role matrix'!$B$2:$D$13,12,MATCH($B315,'MOA role matrix'!$B$1:$D$1,0))="Fill","DLCM, ","")IF(INDEX('MOA role matrix'!$B$2:$D$13,12,MATCH($B315,'MOA role matrix'!$B$1:$D$1,0))="If finance","DLCM (if finance), ","")IF(INDEX('MOA role matrix'!$B$2:$D$13,12,MATCH($B315,'MOA role matrix'!$B$1:$D$1,0))="Auto","DLCM (auto), ","")))</f>
        <v/>
      </c>
      <c r="D315" s="5">
        <f>IF($A315="","",IFERROR(INDEX(FILTER('Client contacts'!$B$2:$B$500,('Client contacts'!$A$2:$A$500=$A315)*('Client contacts'!$H$2:$H$500="Y"),""),1),""))</f>
        <v/>
      </c>
      <c r="E315" s="5">
        <f>IF($A315="","",IFERROR(INDEX(FILTER('Client contacts'!$C$2:$C$500,('Client contacts'!$A$2:$A$500=$A315)*('Client contacts'!$H$2:$H$500="Y"),""),1),""))</f>
        <v/>
      </c>
      <c r="F315" s="5">
        <f>IF($A315="","",IFERROR(INDEX(FILTER('Client contacts'!$B$2:$B$500,('Client contacts'!$A$2:$A$500=$A315)*('Client contacts'!$G$2:$G$500="Y"),""),1),""))</f>
        <v/>
      </c>
      <c r="G315" s="5">
        <f>IF($A315="","",IFERROR(INDEX(FILTER('Client contacts'!$C$2:$C$500,('Client contacts'!$A$2:$A$500=$A315)*('Client contacts'!$G$2:$G$500="Y"),""),1),""))</f>
        <v/>
      </c>
      <c r="H315" s="5">
        <f>IF($A315="","",IFERROR(INDEX(FILTER('Client contacts'!$B$2:$B$500,('Client contacts'!$A$2:$A$500=$A315)*('Client contacts'!$G$2:$G$500="Y"),""),2),""))</f>
        <v/>
      </c>
      <c r="I315" s="5">
        <f>IF($A315="","",IFERROR(INDEX(FILTER('Client contacts'!$C$2:$C$500,('Client contacts'!$A$2:$A$500=$A315)*('Client contacts'!$G$2:$G$500="Y"),""),2),""))</f>
        <v/>
      </c>
      <c r="J315" s="8" t="n"/>
      <c r="K315" s="8" t="n"/>
      <c r="L315" s="8" t="n"/>
      <c r="M315" s="8" t="n"/>
      <c r="N315" s="8" t="n"/>
      <c r="O315" s="8" t="n"/>
      <c r="P315" s="8" t="n"/>
      <c r="Q315" s="8" t="n"/>
      <c r="R315" s="5">
        <f>IF($A315="","",IFERROR(INDEX(Companies!$I$2:$I$500,MATCH($A315,Companies!$A$2:$A$500,0)),""))</f>
        <v/>
      </c>
      <c r="S315" s="8" t="n"/>
      <c r="T315" s="8" t="n"/>
      <c r="U315" s="8" t="n"/>
      <c r="V315" s="8" t="n"/>
      <c r="W315" s="8" t="n"/>
    </row>
    <row r="316">
      <c r="C316" s="5">
        <f>IF($B316="","",TRIM(IF(INDEX('MOA role matrix'!$B$2:$D$13,1,MATCH($B316,'MOA role matrix'!$B$1:$D$1,0))="Fill","Project initiator, ","")IF(INDEX('MOA role matrix'!$B$2:$D$13,1,MATCH($B316,'MOA role matrix'!$B$1:$D$1,0))="If finance","Project initiator (if finance), ","")IF(INDEX('MOA role matrix'!$B$2:$D$13,1,MATCH($B316,'MOA role matrix'!$B$1:$D$1,0))="Auto","Project initiator (auto), ","")IF(INDEX('MOA role matrix'!$B$2:$D$13,2,MATCH($B316,'MOA role matrix'!$B$1:$D$1,0))="Fill","MOA signers (client), ","")IF(INDEX('MOA role matrix'!$B$2:$D$13,2,MATCH($B316,'MOA role matrix'!$B$1:$D$1,0))="If finance","MOA signers (client) (if finance), ","")IF(INDEX('MOA role matrix'!$B$2:$D$13,2,MATCH($B316,'MOA role matrix'!$B$1:$D$1,0))="Auto","MOA signers (client) (auto), ","")IF(INDEX('MOA role matrix'!$B$2:$D$13,3,MATCH($B316,'MOA role matrix'!$B$1:$D$1,0))="Fill","CFO / Head of Finance, ","")IF(INDEX('MOA role matrix'!$B$2:$D$13,3,MATCH($B316,'MOA role matrix'!$B$1:$D$1,0))="If finance","CFO / Head of Finance (if finance), ","")IF(INDEX('MOA role matrix'!$B$2:$D$13,3,MATCH($B316,'MOA role matrix'!$B$1:$D$1,0))="Auto","CFO / Head of Finance (auto), ","")IF(INDEX('MOA role matrix'!$B$2:$D$13,4,MATCH($B316,'MOA role matrix'!$B$1:$D$1,0))="Fill","CEO / COO / GM, ","")IF(INDEX('MOA role matrix'!$B$2:$D$13,4,MATCH($B316,'MOA role matrix'!$B$1:$D$1,0))="If finance","CEO / COO / GM (if finance), ","")IF(INDEX('MOA role matrix'!$B$2:$D$13,4,MATCH($B316,'MOA role matrix'!$B$1:$D$1,0))="Auto","CEO / COO / GM (auto), ","")IF(INDEX('MOA role matrix'!$B$2:$D$13,5,MATCH($B316,'MOA role matrix'!$B$1:$D$1,0))="Fill","Board member 1, ","")IF(INDEX('MOA role matrix'!$B$2:$D$13,5,MATCH($B316,'MOA role matrix'!$B$1:$D$1,0))="If finance","Board member 1 (if finance), ","")IF(INDEX('MOA role matrix'!$B$2:$D$13,5,MATCH($B316,'MOA role matrix'!$B$1:$D$1,0))="Auto","Board member 1 (auto), ","")IF(INDEX('MOA role matrix'!$B$2:$D$13,6,MATCH($B316,'MOA role matrix'!$B$1:$D$1,0))="Fill","Board member 2, ","")IF(INDEX('MOA role matrix'!$B$2:$D$13,6,MATCH($B316,'MOA role matrix'!$B$1:$D$1,0))="If finance","Board member 2 (if finance), ","")IF(INDEX('MOA role matrix'!$B$2:$D$13,6,MATCH($B316,'MOA role matrix'!$B$1:$D$1,0))="Auto","Board member 2 (auto), ","")IF(INDEX('MOA role matrix'!$B$2:$D$13,7,MATCH($B316,'MOA role matrix'!$B$1:$D$1,0))="Fill","LOA holder 1, ","")IF(INDEX('MOA role matrix'!$B$2:$D$13,7,MATCH($B316,'MOA role matrix'!$B$1:$D$1,0))="If finance","LOA holder 1 (if finance), ","")IF(INDEX('MOA role matrix'!$B$2:$D$13,7,MATCH($B316,'MOA role matrix'!$B$1:$D$1,0))="Auto","LOA holder 1 (auto), ","")IF(INDEX('MOA role matrix'!$B$2:$D$13,8,MATCH($B316,'MOA role matrix'!$B$1:$D$1,0))="Fill","LOA holder 2, ","")IF(INDEX('MOA role matrix'!$B$2:$D$13,8,MATCH($B316,'MOA role matrix'!$B$1:$D$1,0))="If finance","LOA holder 2 (if finance), ","")IF(INDEX('MOA role matrix'!$B$2:$D$13,8,MATCH($B316,'MOA role matrix'!$B$1:$D$1,0))="Auto","LOA holder 2 (auto), ","")IF(INDEX('MOA role matrix'!$B$2:$D$13,9,MATCH($B316,'MOA role matrix'!$B$1:$D$1,0))="Fill","Senior Manager CoSec, ","")IF(INDEX('MOA role matrix'!$B$2:$D$13,9,MATCH($B316,'MOA role matrix'!$B$1:$D$1,0))="If finance","Senior Manager CoSec (if finance), ","")IF(INDEX('MOA role matrix'!$B$2:$D$13,9,MATCH($B316,'MOA role matrix'!$B$1:$D$1,0))="Auto","Senior Manager CoSec (auto), ","")IF(INDEX('MOA role matrix'!$B$2:$D$13,10,MATCH($B316,'MOA role matrix'!$B$1:$D$1,0))="Fill","Division MOI managers, ","")IF(INDEX('MOA role matrix'!$B$2:$D$13,10,MATCH($B316,'MOA role matrix'!$B$1:$D$1,0))="If finance","Division MOI managers (if finance), ","")IF(INDEX('MOA role matrix'!$B$2:$D$13,10,MATCH($B316,'MOA role matrix'!$B$1:$D$1,0))="Auto","Division MOI managers (auto), ","")IF(INDEX('MOA role matrix'!$B$2:$D$13,11,MATCH($B316,'MOA role matrix'!$B$1:$D$1,0))="Fill","Ms Teh (bank), ","")IF(INDEX('MOA role matrix'!$B$2:$D$13,11,MATCH($B316,'MOA role matrix'!$B$1:$D$1,0))="If finance","Ms Teh (bank) (if finance), ","")IF(INDEX('MOA role matrix'!$B$2:$D$13,11,MATCH($B316,'MOA role matrix'!$B$1:$D$1,0))="Auto","Ms Teh (bank) (auto), ","")IF(INDEX('MOA role matrix'!$B$2:$D$13,12,MATCH($B316,'MOA role matrix'!$B$1:$D$1,0))="Fill","DLCM, ","")IF(INDEX('MOA role matrix'!$B$2:$D$13,12,MATCH($B316,'MOA role matrix'!$B$1:$D$1,0))="If finance","DLCM (if finance), ","")IF(INDEX('MOA role matrix'!$B$2:$D$13,12,MATCH($B316,'MOA role matrix'!$B$1:$D$1,0))="Auto","DLCM (auto), ","")))</f>
        <v/>
      </c>
      <c r="D316" s="5">
        <f>IF($A316="","",IFERROR(INDEX(FILTER('Client contacts'!$B$2:$B$500,('Client contacts'!$A$2:$A$500=$A316)*('Client contacts'!$H$2:$H$500="Y"),""),1),""))</f>
        <v/>
      </c>
      <c r="E316" s="5">
        <f>IF($A316="","",IFERROR(INDEX(FILTER('Client contacts'!$C$2:$C$500,('Client contacts'!$A$2:$A$500=$A316)*('Client contacts'!$H$2:$H$500="Y"),""),1),""))</f>
        <v/>
      </c>
      <c r="F316" s="5">
        <f>IF($A316="","",IFERROR(INDEX(FILTER('Client contacts'!$B$2:$B$500,('Client contacts'!$A$2:$A$500=$A316)*('Client contacts'!$G$2:$G$500="Y"),""),1),""))</f>
        <v/>
      </c>
      <c r="G316" s="5">
        <f>IF($A316="","",IFERROR(INDEX(FILTER('Client contacts'!$C$2:$C$500,('Client contacts'!$A$2:$A$500=$A316)*('Client contacts'!$G$2:$G$500="Y"),""),1),""))</f>
        <v/>
      </c>
      <c r="H316" s="5">
        <f>IF($A316="","",IFERROR(INDEX(FILTER('Client contacts'!$B$2:$B$500,('Client contacts'!$A$2:$A$500=$A316)*('Client contacts'!$G$2:$G$500="Y"),""),2),""))</f>
        <v/>
      </c>
      <c r="I316" s="5">
        <f>IF($A316="","",IFERROR(INDEX(FILTER('Client contacts'!$C$2:$C$500,('Client contacts'!$A$2:$A$500=$A316)*('Client contacts'!$G$2:$G$500="Y"),""),2),""))</f>
        <v/>
      </c>
      <c r="J316" s="8" t="n"/>
      <c r="K316" s="8" t="n"/>
      <c r="L316" s="8" t="n"/>
      <c r="M316" s="8" t="n"/>
      <c r="N316" s="8" t="n"/>
      <c r="O316" s="8" t="n"/>
      <c r="P316" s="8" t="n"/>
      <c r="Q316" s="8" t="n"/>
      <c r="R316" s="5">
        <f>IF($A316="","",IFERROR(INDEX(Companies!$I$2:$I$500,MATCH($A316,Companies!$A$2:$A$500,0)),""))</f>
        <v/>
      </c>
      <c r="S316" s="8" t="n"/>
      <c r="T316" s="8" t="n"/>
      <c r="U316" s="8" t="n"/>
      <c r="V316" s="8" t="n"/>
      <c r="W316" s="8" t="n"/>
    </row>
    <row r="317">
      <c r="C317" s="5">
        <f>IF($B317="","",TRIM(IF(INDEX('MOA role matrix'!$B$2:$D$13,1,MATCH($B317,'MOA role matrix'!$B$1:$D$1,0))="Fill","Project initiator, ","")IF(INDEX('MOA role matrix'!$B$2:$D$13,1,MATCH($B317,'MOA role matrix'!$B$1:$D$1,0))="If finance","Project initiator (if finance), ","")IF(INDEX('MOA role matrix'!$B$2:$D$13,1,MATCH($B317,'MOA role matrix'!$B$1:$D$1,0))="Auto","Project initiator (auto), ","")IF(INDEX('MOA role matrix'!$B$2:$D$13,2,MATCH($B317,'MOA role matrix'!$B$1:$D$1,0))="Fill","MOA signers (client), ","")IF(INDEX('MOA role matrix'!$B$2:$D$13,2,MATCH($B317,'MOA role matrix'!$B$1:$D$1,0))="If finance","MOA signers (client) (if finance), ","")IF(INDEX('MOA role matrix'!$B$2:$D$13,2,MATCH($B317,'MOA role matrix'!$B$1:$D$1,0))="Auto","MOA signers (client) (auto), ","")IF(INDEX('MOA role matrix'!$B$2:$D$13,3,MATCH($B317,'MOA role matrix'!$B$1:$D$1,0))="Fill","CFO / Head of Finance, ","")IF(INDEX('MOA role matrix'!$B$2:$D$13,3,MATCH($B317,'MOA role matrix'!$B$1:$D$1,0))="If finance","CFO / Head of Finance (if finance), ","")IF(INDEX('MOA role matrix'!$B$2:$D$13,3,MATCH($B317,'MOA role matrix'!$B$1:$D$1,0))="Auto","CFO / Head of Finance (auto), ","")IF(INDEX('MOA role matrix'!$B$2:$D$13,4,MATCH($B317,'MOA role matrix'!$B$1:$D$1,0))="Fill","CEO / COO / GM, ","")IF(INDEX('MOA role matrix'!$B$2:$D$13,4,MATCH($B317,'MOA role matrix'!$B$1:$D$1,0))="If finance","CEO / COO / GM (if finance), ","")IF(INDEX('MOA role matrix'!$B$2:$D$13,4,MATCH($B317,'MOA role matrix'!$B$1:$D$1,0))="Auto","CEO / COO / GM (auto), ","")IF(INDEX('MOA role matrix'!$B$2:$D$13,5,MATCH($B317,'MOA role matrix'!$B$1:$D$1,0))="Fill","Board member 1, ","")IF(INDEX('MOA role matrix'!$B$2:$D$13,5,MATCH($B317,'MOA role matrix'!$B$1:$D$1,0))="If finance","Board member 1 (if finance), ","")IF(INDEX('MOA role matrix'!$B$2:$D$13,5,MATCH($B317,'MOA role matrix'!$B$1:$D$1,0))="Auto","Board member 1 (auto), ","")IF(INDEX('MOA role matrix'!$B$2:$D$13,6,MATCH($B317,'MOA role matrix'!$B$1:$D$1,0))="Fill","Board member 2, ","")IF(INDEX('MOA role matrix'!$B$2:$D$13,6,MATCH($B317,'MOA role matrix'!$B$1:$D$1,0))="If finance","Board member 2 (if finance), ","")IF(INDEX('MOA role matrix'!$B$2:$D$13,6,MATCH($B317,'MOA role matrix'!$B$1:$D$1,0))="Auto","Board member 2 (auto), ","")IF(INDEX('MOA role matrix'!$B$2:$D$13,7,MATCH($B317,'MOA role matrix'!$B$1:$D$1,0))="Fill","LOA holder 1, ","")IF(INDEX('MOA role matrix'!$B$2:$D$13,7,MATCH($B317,'MOA role matrix'!$B$1:$D$1,0))="If finance","LOA holder 1 (if finance), ","")IF(INDEX('MOA role matrix'!$B$2:$D$13,7,MATCH($B317,'MOA role matrix'!$B$1:$D$1,0))="Auto","LOA holder 1 (auto), ","")IF(INDEX('MOA role matrix'!$B$2:$D$13,8,MATCH($B317,'MOA role matrix'!$B$1:$D$1,0))="Fill","LOA holder 2, ","")IF(INDEX('MOA role matrix'!$B$2:$D$13,8,MATCH($B317,'MOA role matrix'!$B$1:$D$1,0))="If finance","LOA holder 2 (if finance), ","")IF(INDEX('MOA role matrix'!$B$2:$D$13,8,MATCH($B317,'MOA role matrix'!$B$1:$D$1,0))="Auto","LOA holder 2 (auto), ","")IF(INDEX('MOA role matrix'!$B$2:$D$13,9,MATCH($B317,'MOA role matrix'!$B$1:$D$1,0))="Fill","Senior Manager CoSec, ","")IF(INDEX('MOA role matrix'!$B$2:$D$13,9,MATCH($B317,'MOA role matrix'!$B$1:$D$1,0))="If finance","Senior Manager CoSec (if finance), ","")IF(INDEX('MOA role matrix'!$B$2:$D$13,9,MATCH($B317,'MOA role matrix'!$B$1:$D$1,0))="Auto","Senior Manager CoSec (auto), ","")IF(INDEX('MOA role matrix'!$B$2:$D$13,10,MATCH($B317,'MOA role matrix'!$B$1:$D$1,0))="Fill","Division MOI managers, ","")IF(INDEX('MOA role matrix'!$B$2:$D$13,10,MATCH($B317,'MOA role matrix'!$B$1:$D$1,0))="If finance","Division MOI managers (if finance), ","")IF(INDEX('MOA role matrix'!$B$2:$D$13,10,MATCH($B317,'MOA role matrix'!$B$1:$D$1,0))="Auto","Division MOI managers (auto), ","")IF(INDEX('MOA role matrix'!$B$2:$D$13,11,MATCH($B317,'MOA role matrix'!$B$1:$D$1,0))="Fill","Ms Teh (bank), ","")IF(INDEX('MOA role matrix'!$B$2:$D$13,11,MATCH($B317,'MOA role matrix'!$B$1:$D$1,0))="If finance","Ms Teh (bank) (if finance), ","")IF(INDEX('MOA role matrix'!$B$2:$D$13,11,MATCH($B317,'MOA role matrix'!$B$1:$D$1,0))="Auto","Ms Teh (bank) (auto), ","")IF(INDEX('MOA role matrix'!$B$2:$D$13,12,MATCH($B317,'MOA role matrix'!$B$1:$D$1,0))="Fill","DLCM, ","")IF(INDEX('MOA role matrix'!$B$2:$D$13,12,MATCH($B317,'MOA role matrix'!$B$1:$D$1,0))="If finance","DLCM (if finance), ","")IF(INDEX('MOA role matrix'!$B$2:$D$13,12,MATCH($B317,'MOA role matrix'!$B$1:$D$1,0))="Auto","DLCM (auto), ","")))</f>
        <v/>
      </c>
      <c r="D317" s="5">
        <f>IF($A317="","",IFERROR(INDEX(FILTER('Client contacts'!$B$2:$B$500,('Client contacts'!$A$2:$A$500=$A317)*('Client contacts'!$H$2:$H$500="Y"),""),1),""))</f>
        <v/>
      </c>
      <c r="E317" s="5">
        <f>IF($A317="","",IFERROR(INDEX(FILTER('Client contacts'!$C$2:$C$500,('Client contacts'!$A$2:$A$500=$A317)*('Client contacts'!$H$2:$H$500="Y"),""),1),""))</f>
        <v/>
      </c>
      <c r="F317" s="5">
        <f>IF($A317="","",IFERROR(INDEX(FILTER('Client contacts'!$B$2:$B$500,('Client contacts'!$A$2:$A$500=$A317)*('Client contacts'!$G$2:$G$500="Y"),""),1),""))</f>
        <v/>
      </c>
      <c r="G317" s="5">
        <f>IF($A317="","",IFERROR(INDEX(FILTER('Client contacts'!$C$2:$C$500,('Client contacts'!$A$2:$A$500=$A317)*('Client contacts'!$G$2:$G$500="Y"),""),1),""))</f>
        <v/>
      </c>
      <c r="H317" s="5">
        <f>IF($A317="","",IFERROR(INDEX(FILTER('Client contacts'!$B$2:$B$500,('Client contacts'!$A$2:$A$500=$A317)*('Client contacts'!$G$2:$G$500="Y"),""),2),""))</f>
        <v/>
      </c>
      <c r="I317" s="5">
        <f>IF($A317="","",IFERROR(INDEX(FILTER('Client contacts'!$C$2:$C$500,('Client contacts'!$A$2:$A$500=$A317)*('Client contacts'!$G$2:$G$500="Y"),""),2),""))</f>
        <v/>
      </c>
      <c r="J317" s="8" t="n"/>
      <c r="K317" s="8" t="n"/>
      <c r="L317" s="8" t="n"/>
      <c r="M317" s="8" t="n"/>
      <c r="N317" s="8" t="n"/>
      <c r="O317" s="8" t="n"/>
      <c r="P317" s="8" t="n"/>
      <c r="Q317" s="8" t="n"/>
      <c r="R317" s="5">
        <f>IF($A317="","",IFERROR(INDEX(Companies!$I$2:$I$500,MATCH($A317,Companies!$A$2:$A$500,0)),""))</f>
        <v/>
      </c>
      <c r="S317" s="8" t="n"/>
      <c r="T317" s="8" t="n"/>
      <c r="U317" s="8" t="n"/>
      <c r="V317" s="8" t="n"/>
      <c r="W317" s="8" t="n"/>
    </row>
    <row r="318">
      <c r="C318" s="5">
        <f>IF($B318="","",TRIM(IF(INDEX('MOA role matrix'!$B$2:$D$13,1,MATCH($B318,'MOA role matrix'!$B$1:$D$1,0))="Fill","Project initiator, ","")IF(INDEX('MOA role matrix'!$B$2:$D$13,1,MATCH($B318,'MOA role matrix'!$B$1:$D$1,0))="If finance","Project initiator (if finance), ","")IF(INDEX('MOA role matrix'!$B$2:$D$13,1,MATCH($B318,'MOA role matrix'!$B$1:$D$1,0))="Auto","Project initiator (auto), ","")IF(INDEX('MOA role matrix'!$B$2:$D$13,2,MATCH($B318,'MOA role matrix'!$B$1:$D$1,0))="Fill","MOA signers (client), ","")IF(INDEX('MOA role matrix'!$B$2:$D$13,2,MATCH($B318,'MOA role matrix'!$B$1:$D$1,0))="If finance","MOA signers (client) (if finance), ","")IF(INDEX('MOA role matrix'!$B$2:$D$13,2,MATCH($B318,'MOA role matrix'!$B$1:$D$1,0))="Auto","MOA signers (client) (auto), ","")IF(INDEX('MOA role matrix'!$B$2:$D$13,3,MATCH($B318,'MOA role matrix'!$B$1:$D$1,0))="Fill","CFO / Head of Finance, ","")IF(INDEX('MOA role matrix'!$B$2:$D$13,3,MATCH($B318,'MOA role matrix'!$B$1:$D$1,0))="If finance","CFO / Head of Finance (if finance), ","")IF(INDEX('MOA role matrix'!$B$2:$D$13,3,MATCH($B318,'MOA role matrix'!$B$1:$D$1,0))="Auto","CFO / Head of Finance (auto), ","")IF(INDEX('MOA role matrix'!$B$2:$D$13,4,MATCH($B318,'MOA role matrix'!$B$1:$D$1,0))="Fill","CEO / COO / GM, ","")IF(INDEX('MOA role matrix'!$B$2:$D$13,4,MATCH($B318,'MOA role matrix'!$B$1:$D$1,0))="If finance","CEO / COO / GM (if finance), ","")IF(INDEX('MOA role matrix'!$B$2:$D$13,4,MATCH($B318,'MOA role matrix'!$B$1:$D$1,0))="Auto","CEO / COO / GM (auto), ","")IF(INDEX('MOA role matrix'!$B$2:$D$13,5,MATCH($B318,'MOA role matrix'!$B$1:$D$1,0))="Fill","Board member 1, ","")IF(INDEX('MOA role matrix'!$B$2:$D$13,5,MATCH($B318,'MOA role matrix'!$B$1:$D$1,0))="If finance","Board member 1 (if finance), ","")IF(INDEX('MOA role matrix'!$B$2:$D$13,5,MATCH($B318,'MOA role matrix'!$B$1:$D$1,0))="Auto","Board member 1 (auto), ","")IF(INDEX('MOA role matrix'!$B$2:$D$13,6,MATCH($B318,'MOA role matrix'!$B$1:$D$1,0))="Fill","Board member 2, ","")IF(INDEX('MOA role matrix'!$B$2:$D$13,6,MATCH($B318,'MOA role matrix'!$B$1:$D$1,0))="If finance","Board member 2 (if finance), ","")IF(INDEX('MOA role matrix'!$B$2:$D$13,6,MATCH($B318,'MOA role matrix'!$B$1:$D$1,0))="Auto","Board member 2 (auto), ","")IF(INDEX('MOA role matrix'!$B$2:$D$13,7,MATCH($B318,'MOA role matrix'!$B$1:$D$1,0))="Fill","LOA holder 1, ","")IF(INDEX('MOA role matrix'!$B$2:$D$13,7,MATCH($B318,'MOA role matrix'!$B$1:$D$1,0))="If finance","LOA holder 1 (if finance), ","")IF(INDEX('MOA role matrix'!$B$2:$D$13,7,MATCH($B318,'MOA role matrix'!$B$1:$D$1,0))="Auto","LOA holder 1 (auto), ","")IF(INDEX('MOA role matrix'!$B$2:$D$13,8,MATCH($B318,'MOA role matrix'!$B$1:$D$1,0))="Fill","LOA holder 2, ","")IF(INDEX('MOA role matrix'!$B$2:$D$13,8,MATCH($B318,'MOA role matrix'!$B$1:$D$1,0))="If finance","LOA holder 2 (if finance), ","")IF(INDEX('MOA role matrix'!$B$2:$D$13,8,MATCH($B318,'MOA role matrix'!$B$1:$D$1,0))="Auto","LOA holder 2 (auto), ","")IF(INDEX('MOA role matrix'!$B$2:$D$13,9,MATCH($B318,'MOA role matrix'!$B$1:$D$1,0))="Fill","Senior Manager CoSec, ","")IF(INDEX('MOA role matrix'!$B$2:$D$13,9,MATCH($B318,'MOA role matrix'!$B$1:$D$1,0))="If finance","Senior Manager CoSec (if finance), ","")IF(INDEX('MOA role matrix'!$B$2:$D$13,9,MATCH($B318,'MOA role matrix'!$B$1:$D$1,0))="Auto","Senior Manager CoSec (auto), ","")IF(INDEX('MOA role matrix'!$B$2:$D$13,10,MATCH($B318,'MOA role matrix'!$B$1:$D$1,0))="Fill","Division MOI managers, ","")IF(INDEX('MOA role matrix'!$B$2:$D$13,10,MATCH($B318,'MOA role matrix'!$B$1:$D$1,0))="If finance","Division MOI managers (if finance), ","")IF(INDEX('MOA role matrix'!$B$2:$D$13,10,MATCH($B318,'MOA role matrix'!$B$1:$D$1,0))="Auto","Division MOI managers (auto), ","")IF(INDEX('MOA role matrix'!$B$2:$D$13,11,MATCH($B318,'MOA role matrix'!$B$1:$D$1,0))="Fill","Ms Teh (bank), ","")IF(INDEX('MOA role matrix'!$B$2:$D$13,11,MATCH($B318,'MOA role matrix'!$B$1:$D$1,0))="If finance","Ms Teh (bank) (if finance), ","")IF(INDEX('MOA role matrix'!$B$2:$D$13,11,MATCH($B318,'MOA role matrix'!$B$1:$D$1,0))="Auto","Ms Teh (bank) (auto), ","")IF(INDEX('MOA role matrix'!$B$2:$D$13,12,MATCH($B318,'MOA role matrix'!$B$1:$D$1,0))="Fill","DLCM, ","")IF(INDEX('MOA role matrix'!$B$2:$D$13,12,MATCH($B318,'MOA role matrix'!$B$1:$D$1,0))="If finance","DLCM (if finance), ","")IF(INDEX('MOA role matrix'!$B$2:$D$13,12,MATCH($B318,'MOA role matrix'!$B$1:$D$1,0))="Auto","DLCM (auto), ","")))</f>
        <v/>
      </c>
      <c r="D318" s="5">
        <f>IF($A318="","",IFERROR(INDEX(FILTER('Client contacts'!$B$2:$B$500,('Client contacts'!$A$2:$A$500=$A318)*('Client contacts'!$H$2:$H$500="Y"),""),1),""))</f>
        <v/>
      </c>
      <c r="E318" s="5">
        <f>IF($A318="","",IFERROR(INDEX(FILTER('Client contacts'!$C$2:$C$500,('Client contacts'!$A$2:$A$500=$A318)*('Client contacts'!$H$2:$H$500="Y"),""),1),""))</f>
        <v/>
      </c>
      <c r="F318" s="5">
        <f>IF($A318="","",IFERROR(INDEX(FILTER('Client contacts'!$B$2:$B$500,('Client contacts'!$A$2:$A$500=$A318)*('Client contacts'!$G$2:$G$500="Y"),""),1),""))</f>
        <v/>
      </c>
      <c r="G318" s="5">
        <f>IF($A318="","",IFERROR(INDEX(FILTER('Client contacts'!$C$2:$C$500,('Client contacts'!$A$2:$A$500=$A318)*('Client contacts'!$G$2:$G$500="Y"),""),1),""))</f>
        <v/>
      </c>
      <c r="H318" s="5">
        <f>IF($A318="","",IFERROR(INDEX(FILTER('Client contacts'!$B$2:$B$500,('Client contacts'!$A$2:$A$500=$A318)*('Client contacts'!$G$2:$G$500="Y"),""),2),""))</f>
        <v/>
      </c>
      <c r="I318" s="5">
        <f>IF($A318="","",IFERROR(INDEX(FILTER('Client contacts'!$C$2:$C$500,('Client contacts'!$A$2:$A$500=$A318)*('Client contacts'!$G$2:$G$500="Y"),""),2),""))</f>
        <v/>
      </c>
      <c r="J318" s="8" t="n"/>
      <c r="K318" s="8" t="n"/>
      <c r="L318" s="8" t="n"/>
      <c r="M318" s="8" t="n"/>
      <c r="N318" s="8" t="n"/>
      <c r="O318" s="8" t="n"/>
      <c r="P318" s="8" t="n"/>
      <c r="Q318" s="8" t="n"/>
      <c r="R318" s="5">
        <f>IF($A318="","",IFERROR(INDEX(Companies!$I$2:$I$500,MATCH($A318,Companies!$A$2:$A$500,0)),""))</f>
        <v/>
      </c>
      <c r="S318" s="8" t="n"/>
      <c r="T318" s="8" t="n"/>
      <c r="U318" s="8" t="n"/>
      <c r="V318" s="8" t="n"/>
      <c r="W318" s="8" t="n"/>
    </row>
    <row r="319">
      <c r="C319" s="5">
        <f>IF($B319="","",TRIM(IF(INDEX('MOA role matrix'!$B$2:$D$13,1,MATCH($B319,'MOA role matrix'!$B$1:$D$1,0))="Fill","Project initiator, ","")IF(INDEX('MOA role matrix'!$B$2:$D$13,1,MATCH($B319,'MOA role matrix'!$B$1:$D$1,0))="If finance","Project initiator (if finance), ","")IF(INDEX('MOA role matrix'!$B$2:$D$13,1,MATCH($B319,'MOA role matrix'!$B$1:$D$1,0))="Auto","Project initiator (auto), ","")IF(INDEX('MOA role matrix'!$B$2:$D$13,2,MATCH($B319,'MOA role matrix'!$B$1:$D$1,0))="Fill","MOA signers (client), ","")IF(INDEX('MOA role matrix'!$B$2:$D$13,2,MATCH($B319,'MOA role matrix'!$B$1:$D$1,0))="If finance","MOA signers (client) (if finance), ","")IF(INDEX('MOA role matrix'!$B$2:$D$13,2,MATCH($B319,'MOA role matrix'!$B$1:$D$1,0))="Auto","MOA signers (client) (auto), ","")IF(INDEX('MOA role matrix'!$B$2:$D$13,3,MATCH($B319,'MOA role matrix'!$B$1:$D$1,0))="Fill","CFO / Head of Finance, ","")IF(INDEX('MOA role matrix'!$B$2:$D$13,3,MATCH($B319,'MOA role matrix'!$B$1:$D$1,0))="If finance","CFO / Head of Finance (if finance), ","")IF(INDEX('MOA role matrix'!$B$2:$D$13,3,MATCH($B319,'MOA role matrix'!$B$1:$D$1,0))="Auto","CFO / Head of Finance (auto), ","")IF(INDEX('MOA role matrix'!$B$2:$D$13,4,MATCH($B319,'MOA role matrix'!$B$1:$D$1,0))="Fill","CEO / COO / GM, ","")IF(INDEX('MOA role matrix'!$B$2:$D$13,4,MATCH($B319,'MOA role matrix'!$B$1:$D$1,0))="If finance","CEO / COO / GM (if finance), ","")IF(INDEX('MOA role matrix'!$B$2:$D$13,4,MATCH($B319,'MOA role matrix'!$B$1:$D$1,0))="Auto","CEO / COO / GM (auto), ","")IF(INDEX('MOA role matrix'!$B$2:$D$13,5,MATCH($B319,'MOA role matrix'!$B$1:$D$1,0))="Fill","Board member 1, ","")IF(INDEX('MOA role matrix'!$B$2:$D$13,5,MATCH($B319,'MOA role matrix'!$B$1:$D$1,0))="If finance","Board member 1 (if finance), ","")IF(INDEX('MOA role matrix'!$B$2:$D$13,5,MATCH($B319,'MOA role matrix'!$B$1:$D$1,0))="Auto","Board member 1 (auto), ","")IF(INDEX('MOA role matrix'!$B$2:$D$13,6,MATCH($B319,'MOA role matrix'!$B$1:$D$1,0))="Fill","Board member 2, ","")IF(INDEX('MOA role matrix'!$B$2:$D$13,6,MATCH($B319,'MOA role matrix'!$B$1:$D$1,0))="If finance","Board member 2 (if finance), ","")IF(INDEX('MOA role matrix'!$B$2:$D$13,6,MATCH($B319,'MOA role matrix'!$B$1:$D$1,0))="Auto","Board member 2 (auto), ","")IF(INDEX('MOA role matrix'!$B$2:$D$13,7,MATCH($B319,'MOA role matrix'!$B$1:$D$1,0))="Fill","LOA holder 1, ","")IF(INDEX('MOA role matrix'!$B$2:$D$13,7,MATCH($B319,'MOA role matrix'!$B$1:$D$1,0))="If finance","LOA holder 1 (if finance), ","")IF(INDEX('MOA role matrix'!$B$2:$D$13,7,MATCH($B319,'MOA role matrix'!$B$1:$D$1,0))="Auto","LOA holder 1 (auto), ","")IF(INDEX('MOA role matrix'!$B$2:$D$13,8,MATCH($B319,'MOA role matrix'!$B$1:$D$1,0))="Fill","LOA holder 2, ","")IF(INDEX('MOA role matrix'!$B$2:$D$13,8,MATCH($B319,'MOA role matrix'!$B$1:$D$1,0))="If finance","LOA holder 2 (if finance), ","")IF(INDEX('MOA role matrix'!$B$2:$D$13,8,MATCH($B319,'MOA role matrix'!$B$1:$D$1,0))="Auto","LOA holder 2 (auto), ","")IF(INDEX('MOA role matrix'!$B$2:$D$13,9,MATCH($B319,'MOA role matrix'!$B$1:$D$1,0))="Fill","Senior Manager CoSec, ","")IF(INDEX('MOA role matrix'!$B$2:$D$13,9,MATCH($B319,'MOA role matrix'!$B$1:$D$1,0))="If finance","Senior Manager CoSec (if finance), ","")IF(INDEX('MOA role matrix'!$B$2:$D$13,9,MATCH($B319,'MOA role matrix'!$B$1:$D$1,0))="Auto","Senior Manager CoSec (auto), ","")IF(INDEX('MOA role matrix'!$B$2:$D$13,10,MATCH($B319,'MOA role matrix'!$B$1:$D$1,0))="Fill","Division MOI managers, ","")IF(INDEX('MOA role matrix'!$B$2:$D$13,10,MATCH($B319,'MOA role matrix'!$B$1:$D$1,0))="If finance","Division MOI managers (if finance), ","")IF(INDEX('MOA role matrix'!$B$2:$D$13,10,MATCH($B319,'MOA role matrix'!$B$1:$D$1,0))="Auto","Division MOI managers (auto), ","")IF(INDEX('MOA role matrix'!$B$2:$D$13,11,MATCH($B319,'MOA role matrix'!$B$1:$D$1,0))="Fill","Ms Teh (bank), ","")IF(INDEX('MOA role matrix'!$B$2:$D$13,11,MATCH($B319,'MOA role matrix'!$B$1:$D$1,0))="If finance","Ms Teh (bank) (if finance), ","")IF(INDEX('MOA role matrix'!$B$2:$D$13,11,MATCH($B319,'MOA role matrix'!$B$1:$D$1,0))="Auto","Ms Teh (bank) (auto), ","")IF(INDEX('MOA role matrix'!$B$2:$D$13,12,MATCH($B319,'MOA role matrix'!$B$1:$D$1,0))="Fill","DLCM, ","")IF(INDEX('MOA role matrix'!$B$2:$D$13,12,MATCH($B319,'MOA role matrix'!$B$1:$D$1,0))="If finance","DLCM (if finance), ","")IF(INDEX('MOA role matrix'!$B$2:$D$13,12,MATCH($B319,'MOA role matrix'!$B$1:$D$1,0))="Auto","DLCM (auto), ","")))</f>
        <v/>
      </c>
      <c r="D319" s="5">
        <f>IF($A319="","",IFERROR(INDEX(FILTER('Client contacts'!$B$2:$B$500,('Client contacts'!$A$2:$A$500=$A319)*('Client contacts'!$H$2:$H$500="Y"),""),1),""))</f>
        <v/>
      </c>
      <c r="E319" s="5">
        <f>IF($A319="","",IFERROR(INDEX(FILTER('Client contacts'!$C$2:$C$500,('Client contacts'!$A$2:$A$500=$A319)*('Client contacts'!$H$2:$H$500="Y"),""),1),""))</f>
        <v/>
      </c>
      <c r="F319" s="5">
        <f>IF($A319="","",IFERROR(INDEX(FILTER('Client contacts'!$B$2:$B$500,('Client contacts'!$A$2:$A$500=$A319)*('Client contacts'!$G$2:$G$500="Y"),""),1),""))</f>
        <v/>
      </c>
      <c r="G319" s="5">
        <f>IF($A319="","",IFERROR(INDEX(FILTER('Client contacts'!$C$2:$C$500,('Client contacts'!$A$2:$A$500=$A319)*('Client contacts'!$G$2:$G$500="Y"),""),1),""))</f>
        <v/>
      </c>
      <c r="H319" s="5">
        <f>IF($A319="","",IFERROR(INDEX(FILTER('Client contacts'!$B$2:$B$500,('Client contacts'!$A$2:$A$500=$A319)*('Client contacts'!$G$2:$G$500="Y"),""),2),""))</f>
        <v/>
      </c>
      <c r="I319" s="5">
        <f>IF($A319="","",IFERROR(INDEX(FILTER('Client contacts'!$C$2:$C$500,('Client contacts'!$A$2:$A$500=$A319)*('Client contacts'!$G$2:$G$500="Y"),""),2),""))</f>
        <v/>
      </c>
      <c r="J319" s="8" t="n"/>
      <c r="K319" s="8" t="n"/>
      <c r="L319" s="8" t="n"/>
      <c r="M319" s="8" t="n"/>
      <c r="N319" s="8" t="n"/>
      <c r="O319" s="8" t="n"/>
      <c r="P319" s="8" t="n"/>
      <c r="Q319" s="8" t="n"/>
      <c r="R319" s="5">
        <f>IF($A319="","",IFERROR(INDEX(Companies!$I$2:$I$500,MATCH($A319,Companies!$A$2:$A$500,0)),""))</f>
        <v/>
      </c>
      <c r="S319" s="8" t="n"/>
      <c r="T319" s="8" t="n"/>
      <c r="U319" s="8" t="n"/>
      <c r="V319" s="8" t="n"/>
      <c r="W319" s="8" t="n"/>
    </row>
    <row r="320">
      <c r="C320" s="5">
        <f>IF($B320="","",TRIM(IF(INDEX('MOA role matrix'!$B$2:$D$13,1,MATCH($B320,'MOA role matrix'!$B$1:$D$1,0))="Fill","Project initiator, ","")IF(INDEX('MOA role matrix'!$B$2:$D$13,1,MATCH($B320,'MOA role matrix'!$B$1:$D$1,0))="If finance","Project initiator (if finance), ","")IF(INDEX('MOA role matrix'!$B$2:$D$13,1,MATCH($B320,'MOA role matrix'!$B$1:$D$1,0))="Auto","Project initiator (auto), ","")IF(INDEX('MOA role matrix'!$B$2:$D$13,2,MATCH($B320,'MOA role matrix'!$B$1:$D$1,0))="Fill","MOA signers (client), ","")IF(INDEX('MOA role matrix'!$B$2:$D$13,2,MATCH($B320,'MOA role matrix'!$B$1:$D$1,0))="If finance","MOA signers (client) (if finance), ","")IF(INDEX('MOA role matrix'!$B$2:$D$13,2,MATCH($B320,'MOA role matrix'!$B$1:$D$1,0))="Auto","MOA signers (client) (auto), ","")IF(INDEX('MOA role matrix'!$B$2:$D$13,3,MATCH($B320,'MOA role matrix'!$B$1:$D$1,0))="Fill","CFO / Head of Finance, ","")IF(INDEX('MOA role matrix'!$B$2:$D$13,3,MATCH($B320,'MOA role matrix'!$B$1:$D$1,0))="If finance","CFO / Head of Finance (if finance), ","")IF(INDEX('MOA role matrix'!$B$2:$D$13,3,MATCH($B320,'MOA role matrix'!$B$1:$D$1,0))="Auto","CFO / Head of Finance (auto), ","")IF(INDEX('MOA role matrix'!$B$2:$D$13,4,MATCH($B320,'MOA role matrix'!$B$1:$D$1,0))="Fill","CEO / COO / GM, ","")IF(INDEX('MOA role matrix'!$B$2:$D$13,4,MATCH($B320,'MOA role matrix'!$B$1:$D$1,0))="If finance","CEO / COO / GM (if finance), ","")IF(INDEX('MOA role matrix'!$B$2:$D$13,4,MATCH($B320,'MOA role matrix'!$B$1:$D$1,0))="Auto","CEO / COO / GM (auto), ","")IF(INDEX('MOA role matrix'!$B$2:$D$13,5,MATCH($B320,'MOA role matrix'!$B$1:$D$1,0))="Fill","Board member 1, ","")IF(INDEX('MOA role matrix'!$B$2:$D$13,5,MATCH($B320,'MOA role matrix'!$B$1:$D$1,0))="If finance","Board member 1 (if finance), ","")IF(INDEX('MOA role matrix'!$B$2:$D$13,5,MATCH($B320,'MOA role matrix'!$B$1:$D$1,0))="Auto","Board member 1 (auto), ","")IF(INDEX('MOA role matrix'!$B$2:$D$13,6,MATCH($B320,'MOA role matrix'!$B$1:$D$1,0))="Fill","Board member 2, ","")IF(INDEX('MOA role matrix'!$B$2:$D$13,6,MATCH($B320,'MOA role matrix'!$B$1:$D$1,0))="If finance","Board member 2 (if finance), ","")IF(INDEX('MOA role matrix'!$B$2:$D$13,6,MATCH($B320,'MOA role matrix'!$B$1:$D$1,0))="Auto","Board member 2 (auto), ","")IF(INDEX('MOA role matrix'!$B$2:$D$13,7,MATCH($B320,'MOA role matrix'!$B$1:$D$1,0))="Fill","LOA holder 1, ","")IF(INDEX('MOA role matrix'!$B$2:$D$13,7,MATCH($B320,'MOA role matrix'!$B$1:$D$1,0))="If finance","LOA holder 1 (if finance), ","")IF(INDEX('MOA role matrix'!$B$2:$D$13,7,MATCH($B320,'MOA role matrix'!$B$1:$D$1,0))="Auto","LOA holder 1 (auto), ","")IF(INDEX('MOA role matrix'!$B$2:$D$13,8,MATCH($B320,'MOA role matrix'!$B$1:$D$1,0))="Fill","LOA holder 2, ","")IF(INDEX('MOA role matrix'!$B$2:$D$13,8,MATCH($B320,'MOA role matrix'!$B$1:$D$1,0))="If finance","LOA holder 2 (if finance), ","")IF(INDEX('MOA role matrix'!$B$2:$D$13,8,MATCH($B320,'MOA role matrix'!$B$1:$D$1,0))="Auto","LOA holder 2 (auto), ","")IF(INDEX('MOA role matrix'!$B$2:$D$13,9,MATCH($B320,'MOA role matrix'!$B$1:$D$1,0))="Fill","Senior Manager CoSec, ","")IF(INDEX('MOA role matrix'!$B$2:$D$13,9,MATCH($B320,'MOA role matrix'!$B$1:$D$1,0))="If finance","Senior Manager CoSec (if finance), ","")IF(INDEX('MOA role matrix'!$B$2:$D$13,9,MATCH($B320,'MOA role matrix'!$B$1:$D$1,0))="Auto","Senior Manager CoSec (auto), ","")IF(INDEX('MOA role matrix'!$B$2:$D$13,10,MATCH($B320,'MOA role matrix'!$B$1:$D$1,0))="Fill","Division MOI managers, ","")IF(INDEX('MOA role matrix'!$B$2:$D$13,10,MATCH($B320,'MOA role matrix'!$B$1:$D$1,0))="If finance","Division MOI managers (if finance), ","")IF(INDEX('MOA role matrix'!$B$2:$D$13,10,MATCH($B320,'MOA role matrix'!$B$1:$D$1,0))="Auto","Division MOI managers (auto), ","")IF(INDEX('MOA role matrix'!$B$2:$D$13,11,MATCH($B320,'MOA role matrix'!$B$1:$D$1,0))="Fill","Ms Teh (bank), ","")IF(INDEX('MOA role matrix'!$B$2:$D$13,11,MATCH($B320,'MOA role matrix'!$B$1:$D$1,0))="If finance","Ms Teh (bank) (if finance), ","")IF(INDEX('MOA role matrix'!$B$2:$D$13,11,MATCH($B320,'MOA role matrix'!$B$1:$D$1,0))="Auto","Ms Teh (bank) (auto), ","")IF(INDEX('MOA role matrix'!$B$2:$D$13,12,MATCH($B320,'MOA role matrix'!$B$1:$D$1,0))="Fill","DLCM, ","")IF(INDEX('MOA role matrix'!$B$2:$D$13,12,MATCH($B320,'MOA role matrix'!$B$1:$D$1,0))="If finance","DLCM (if finance), ","")IF(INDEX('MOA role matrix'!$B$2:$D$13,12,MATCH($B320,'MOA role matrix'!$B$1:$D$1,0))="Auto","DLCM (auto), ","")))</f>
        <v/>
      </c>
      <c r="D320" s="5">
        <f>IF($A320="","",IFERROR(INDEX(FILTER('Client contacts'!$B$2:$B$500,('Client contacts'!$A$2:$A$500=$A320)*('Client contacts'!$H$2:$H$500="Y"),""),1),""))</f>
        <v/>
      </c>
      <c r="E320" s="5">
        <f>IF($A320="","",IFERROR(INDEX(FILTER('Client contacts'!$C$2:$C$500,('Client contacts'!$A$2:$A$500=$A320)*('Client contacts'!$H$2:$H$500="Y"),""),1),""))</f>
        <v/>
      </c>
      <c r="F320" s="5">
        <f>IF($A320="","",IFERROR(INDEX(FILTER('Client contacts'!$B$2:$B$500,('Client contacts'!$A$2:$A$500=$A320)*('Client contacts'!$G$2:$G$500="Y"),""),1),""))</f>
        <v/>
      </c>
      <c r="G320" s="5">
        <f>IF($A320="","",IFERROR(INDEX(FILTER('Client contacts'!$C$2:$C$500,('Client contacts'!$A$2:$A$500=$A320)*('Client contacts'!$G$2:$G$500="Y"),""),1),""))</f>
        <v/>
      </c>
      <c r="H320" s="5">
        <f>IF($A320="","",IFERROR(INDEX(FILTER('Client contacts'!$B$2:$B$500,('Client contacts'!$A$2:$A$500=$A320)*('Client contacts'!$G$2:$G$500="Y"),""),2),""))</f>
        <v/>
      </c>
      <c r="I320" s="5">
        <f>IF($A320="","",IFERROR(INDEX(FILTER('Client contacts'!$C$2:$C$500,('Client contacts'!$A$2:$A$500=$A320)*('Client contacts'!$G$2:$G$500="Y"),""),2),""))</f>
        <v/>
      </c>
      <c r="J320" s="8" t="n"/>
      <c r="K320" s="8" t="n"/>
      <c r="L320" s="8" t="n"/>
      <c r="M320" s="8" t="n"/>
      <c r="N320" s="8" t="n"/>
      <c r="O320" s="8" t="n"/>
      <c r="P320" s="8" t="n"/>
      <c r="Q320" s="8" t="n"/>
      <c r="R320" s="5">
        <f>IF($A320="","",IFERROR(INDEX(Companies!$I$2:$I$500,MATCH($A320,Companies!$A$2:$A$500,0)),""))</f>
        <v/>
      </c>
      <c r="S320" s="8" t="n"/>
      <c r="T320" s="8" t="n"/>
      <c r="U320" s="8" t="n"/>
      <c r="V320" s="8" t="n"/>
      <c r="W320" s="8" t="n"/>
    </row>
    <row r="321">
      <c r="C321" s="5">
        <f>IF($B321="","",TRIM(IF(INDEX('MOA role matrix'!$B$2:$D$13,1,MATCH($B321,'MOA role matrix'!$B$1:$D$1,0))="Fill","Project initiator, ","")IF(INDEX('MOA role matrix'!$B$2:$D$13,1,MATCH($B321,'MOA role matrix'!$B$1:$D$1,0))="If finance","Project initiator (if finance), ","")IF(INDEX('MOA role matrix'!$B$2:$D$13,1,MATCH($B321,'MOA role matrix'!$B$1:$D$1,0))="Auto","Project initiator (auto), ","")IF(INDEX('MOA role matrix'!$B$2:$D$13,2,MATCH($B321,'MOA role matrix'!$B$1:$D$1,0))="Fill","MOA signers (client), ","")IF(INDEX('MOA role matrix'!$B$2:$D$13,2,MATCH($B321,'MOA role matrix'!$B$1:$D$1,0))="If finance","MOA signers (client) (if finance), ","")IF(INDEX('MOA role matrix'!$B$2:$D$13,2,MATCH($B321,'MOA role matrix'!$B$1:$D$1,0))="Auto","MOA signers (client) (auto), ","")IF(INDEX('MOA role matrix'!$B$2:$D$13,3,MATCH($B321,'MOA role matrix'!$B$1:$D$1,0))="Fill","CFO / Head of Finance, ","")IF(INDEX('MOA role matrix'!$B$2:$D$13,3,MATCH($B321,'MOA role matrix'!$B$1:$D$1,0))="If finance","CFO / Head of Finance (if finance), ","")IF(INDEX('MOA role matrix'!$B$2:$D$13,3,MATCH($B321,'MOA role matrix'!$B$1:$D$1,0))="Auto","CFO / Head of Finance (auto), ","")IF(INDEX('MOA role matrix'!$B$2:$D$13,4,MATCH($B321,'MOA role matrix'!$B$1:$D$1,0))="Fill","CEO / COO / GM, ","")IF(INDEX('MOA role matrix'!$B$2:$D$13,4,MATCH($B321,'MOA role matrix'!$B$1:$D$1,0))="If finance","CEO / COO / GM (if finance), ","")IF(INDEX('MOA role matrix'!$B$2:$D$13,4,MATCH($B321,'MOA role matrix'!$B$1:$D$1,0))="Auto","CEO / COO / GM (auto), ","")IF(INDEX('MOA role matrix'!$B$2:$D$13,5,MATCH($B321,'MOA role matrix'!$B$1:$D$1,0))="Fill","Board member 1, ","")IF(INDEX('MOA role matrix'!$B$2:$D$13,5,MATCH($B321,'MOA role matrix'!$B$1:$D$1,0))="If finance","Board member 1 (if finance), ","")IF(INDEX('MOA role matrix'!$B$2:$D$13,5,MATCH($B321,'MOA role matrix'!$B$1:$D$1,0))="Auto","Board member 1 (auto), ","")IF(INDEX('MOA role matrix'!$B$2:$D$13,6,MATCH($B321,'MOA role matrix'!$B$1:$D$1,0))="Fill","Board member 2, ","")IF(INDEX('MOA role matrix'!$B$2:$D$13,6,MATCH($B321,'MOA role matrix'!$B$1:$D$1,0))="If finance","Board member 2 (if finance), ","")IF(INDEX('MOA role matrix'!$B$2:$D$13,6,MATCH($B321,'MOA role matrix'!$B$1:$D$1,0))="Auto","Board member 2 (auto), ","")IF(INDEX('MOA role matrix'!$B$2:$D$13,7,MATCH($B321,'MOA role matrix'!$B$1:$D$1,0))="Fill","LOA holder 1, ","")IF(INDEX('MOA role matrix'!$B$2:$D$13,7,MATCH($B321,'MOA role matrix'!$B$1:$D$1,0))="If finance","LOA holder 1 (if finance), ","")IF(INDEX('MOA role matrix'!$B$2:$D$13,7,MATCH($B321,'MOA role matrix'!$B$1:$D$1,0))="Auto","LOA holder 1 (auto), ","")IF(INDEX('MOA role matrix'!$B$2:$D$13,8,MATCH($B321,'MOA role matrix'!$B$1:$D$1,0))="Fill","LOA holder 2, ","")IF(INDEX('MOA role matrix'!$B$2:$D$13,8,MATCH($B321,'MOA role matrix'!$B$1:$D$1,0))="If finance","LOA holder 2 (if finance), ","")IF(INDEX('MOA role matrix'!$B$2:$D$13,8,MATCH($B321,'MOA role matrix'!$B$1:$D$1,0))="Auto","LOA holder 2 (auto), ","")IF(INDEX('MOA role matrix'!$B$2:$D$13,9,MATCH($B321,'MOA role matrix'!$B$1:$D$1,0))="Fill","Senior Manager CoSec, ","")IF(INDEX('MOA role matrix'!$B$2:$D$13,9,MATCH($B321,'MOA role matrix'!$B$1:$D$1,0))="If finance","Senior Manager CoSec (if finance), ","")IF(INDEX('MOA role matrix'!$B$2:$D$13,9,MATCH($B321,'MOA role matrix'!$B$1:$D$1,0))="Auto","Senior Manager CoSec (auto), ","")IF(INDEX('MOA role matrix'!$B$2:$D$13,10,MATCH($B321,'MOA role matrix'!$B$1:$D$1,0))="Fill","Division MOI managers, ","")IF(INDEX('MOA role matrix'!$B$2:$D$13,10,MATCH($B321,'MOA role matrix'!$B$1:$D$1,0))="If finance","Division MOI managers (if finance), ","")IF(INDEX('MOA role matrix'!$B$2:$D$13,10,MATCH($B321,'MOA role matrix'!$B$1:$D$1,0))="Auto","Division MOI managers (auto), ","")IF(INDEX('MOA role matrix'!$B$2:$D$13,11,MATCH($B321,'MOA role matrix'!$B$1:$D$1,0))="Fill","Ms Teh (bank), ","")IF(INDEX('MOA role matrix'!$B$2:$D$13,11,MATCH($B321,'MOA role matrix'!$B$1:$D$1,0))="If finance","Ms Teh (bank) (if finance), ","")IF(INDEX('MOA role matrix'!$B$2:$D$13,11,MATCH($B321,'MOA role matrix'!$B$1:$D$1,0))="Auto","Ms Teh (bank) (auto), ","")IF(INDEX('MOA role matrix'!$B$2:$D$13,12,MATCH($B321,'MOA role matrix'!$B$1:$D$1,0))="Fill","DLCM, ","")IF(INDEX('MOA role matrix'!$B$2:$D$13,12,MATCH($B321,'MOA role matrix'!$B$1:$D$1,0))="If finance","DLCM (if finance), ","")IF(INDEX('MOA role matrix'!$B$2:$D$13,12,MATCH($B321,'MOA role matrix'!$B$1:$D$1,0))="Auto","DLCM (auto), ","")))</f>
        <v/>
      </c>
      <c r="D321" s="5">
        <f>IF($A321="","",IFERROR(INDEX(FILTER('Client contacts'!$B$2:$B$500,('Client contacts'!$A$2:$A$500=$A321)*('Client contacts'!$H$2:$H$500="Y"),""),1),""))</f>
        <v/>
      </c>
      <c r="E321" s="5">
        <f>IF($A321="","",IFERROR(INDEX(FILTER('Client contacts'!$C$2:$C$500,('Client contacts'!$A$2:$A$500=$A321)*('Client contacts'!$H$2:$H$500="Y"),""),1),""))</f>
        <v/>
      </c>
      <c r="F321" s="5">
        <f>IF($A321="","",IFERROR(INDEX(FILTER('Client contacts'!$B$2:$B$500,('Client contacts'!$A$2:$A$500=$A321)*('Client contacts'!$G$2:$G$500="Y"),""),1),""))</f>
        <v/>
      </c>
      <c r="G321" s="5">
        <f>IF($A321="","",IFERROR(INDEX(FILTER('Client contacts'!$C$2:$C$500,('Client contacts'!$A$2:$A$500=$A321)*('Client contacts'!$G$2:$G$500="Y"),""),1),""))</f>
        <v/>
      </c>
      <c r="H321" s="5">
        <f>IF($A321="","",IFERROR(INDEX(FILTER('Client contacts'!$B$2:$B$500,('Client contacts'!$A$2:$A$500=$A321)*('Client contacts'!$G$2:$G$500="Y"),""),2),""))</f>
        <v/>
      </c>
      <c r="I321" s="5">
        <f>IF($A321="","",IFERROR(INDEX(FILTER('Client contacts'!$C$2:$C$500,('Client contacts'!$A$2:$A$500=$A321)*('Client contacts'!$G$2:$G$500="Y"),""),2),""))</f>
        <v/>
      </c>
      <c r="J321" s="8" t="n"/>
      <c r="K321" s="8" t="n"/>
      <c r="L321" s="8" t="n"/>
      <c r="M321" s="8" t="n"/>
      <c r="N321" s="8" t="n"/>
      <c r="O321" s="8" t="n"/>
      <c r="P321" s="8" t="n"/>
      <c r="Q321" s="8" t="n"/>
      <c r="R321" s="5">
        <f>IF($A321="","",IFERROR(INDEX(Companies!$I$2:$I$500,MATCH($A321,Companies!$A$2:$A$500,0)),""))</f>
        <v/>
      </c>
      <c r="S321" s="8" t="n"/>
      <c r="T321" s="8" t="n"/>
      <c r="U321" s="8" t="n"/>
      <c r="V321" s="8" t="n"/>
      <c r="W321" s="8" t="n"/>
    </row>
    <row r="322">
      <c r="C322" s="5">
        <f>IF($B322="","",TRIM(IF(INDEX('MOA role matrix'!$B$2:$D$13,1,MATCH($B322,'MOA role matrix'!$B$1:$D$1,0))="Fill","Project initiator, ","")IF(INDEX('MOA role matrix'!$B$2:$D$13,1,MATCH($B322,'MOA role matrix'!$B$1:$D$1,0))="If finance","Project initiator (if finance), ","")IF(INDEX('MOA role matrix'!$B$2:$D$13,1,MATCH($B322,'MOA role matrix'!$B$1:$D$1,0))="Auto","Project initiator (auto), ","")IF(INDEX('MOA role matrix'!$B$2:$D$13,2,MATCH($B322,'MOA role matrix'!$B$1:$D$1,0))="Fill","MOA signers (client), ","")IF(INDEX('MOA role matrix'!$B$2:$D$13,2,MATCH($B322,'MOA role matrix'!$B$1:$D$1,0))="If finance","MOA signers (client) (if finance), ","")IF(INDEX('MOA role matrix'!$B$2:$D$13,2,MATCH($B322,'MOA role matrix'!$B$1:$D$1,0))="Auto","MOA signers (client) (auto), ","")IF(INDEX('MOA role matrix'!$B$2:$D$13,3,MATCH($B322,'MOA role matrix'!$B$1:$D$1,0))="Fill","CFO / Head of Finance, ","")IF(INDEX('MOA role matrix'!$B$2:$D$13,3,MATCH($B322,'MOA role matrix'!$B$1:$D$1,0))="If finance","CFO / Head of Finance (if finance), ","")IF(INDEX('MOA role matrix'!$B$2:$D$13,3,MATCH($B322,'MOA role matrix'!$B$1:$D$1,0))="Auto","CFO / Head of Finance (auto), ","")IF(INDEX('MOA role matrix'!$B$2:$D$13,4,MATCH($B322,'MOA role matrix'!$B$1:$D$1,0))="Fill","CEO / COO / GM, ","")IF(INDEX('MOA role matrix'!$B$2:$D$13,4,MATCH($B322,'MOA role matrix'!$B$1:$D$1,0))="If finance","CEO / COO / GM (if finance), ","")IF(INDEX('MOA role matrix'!$B$2:$D$13,4,MATCH($B322,'MOA role matrix'!$B$1:$D$1,0))="Auto","CEO / COO / GM (auto), ","")IF(INDEX('MOA role matrix'!$B$2:$D$13,5,MATCH($B322,'MOA role matrix'!$B$1:$D$1,0))="Fill","Board member 1, ","")IF(INDEX('MOA role matrix'!$B$2:$D$13,5,MATCH($B322,'MOA role matrix'!$B$1:$D$1,0))="If finance","Board member 1 (if finance), ","")IF(INDEX('MOA role matrix'!$B$2:$D$13,5,MATCH($B322,'MOA role matrix'!$B$1:$D$1,0))="Auto","Board member 1 (auto), ","")IF(INDEX('MOA role matrix'!$B$2:$D$13,6,MATCH($B322,'MOA role matrix'!$B$1:$D$1,0))="Fill","Board member 2, ","")IF(INDEX('MOA role matrix'!$B$2:$D$13,6,MATCH($B322,'MOA role matrix'!$B$1:$D$1,0))="If finance","Board member 2 (if finance), ","")IF(INDEX('MOA role matrix'!$B$2:$D$13,6,MATCH($B322,'MOA role matrix'!$B$1:$D$1,0))="Auto","Board member 2 (auto), ","")IF(INDEX('MOA role matrix'!$B$2:$D$13,7,MATCH($B322,'MOA role matrix'!$B$1:$D$1,0))="Fill","LOA holder 1, ","")IF(INDEX('MOA role matrix'!$B$2:$D$13,7,MATCH($B322,'MOA role matrix'!$B$1:$D$1,0))="If finance","LOA holder 1 (if finance), ","")IF(INDEX('MOA role matrix'!$B$2:$D$13,7,MATCH($B322,'MOA role matrix'!$B$1:$D$1,0))="Auto","LOA holder 1 (auto), ","")IF(INDEX('MOA role matrix'!$B$2:$D$13,8,MATCH($B322,'MOA role matrix'!$B$1:$D$1,0))="Fill","LOA holder 2, ","")IF(INDEX('MOA role matrix'!$B$2:$D$13,8,MATCH($B322,'MOA role matrix'!$B$1:$D$1,0))="If finance","LOA holder 2 (if finance), ","")IF(INDEX('MOA role matrix'!$B$2:$D$13,8,MATCH($B322,'MOA role matrix'!$B$1:$D$1,0))="Auto","LOA holder 2 (auto), ","")IF(INDEX('MOA role matrix'!$B$2:$D$13,9,MATCH($B322,'MOA role matrix'!$B$1:$D$1,0))="Fill","Senior Manager CoSec, ","")IF(INDEX('MOA role matrix'!$B$2:$D$13,9,MATCH($B322,'MOA role matrix'!$B$1:$D$1,0))="If finance","Senior Manager CoSec (if finance), ","")IF(INDEX('MOA role matrix'!$B$2:$D$13,9,MATCH($B322,'MOA role matrix'!$B$1:$D$1,0))="Auto","Senior Manager CoSec (auto), ","")IF(INDEX('MOA role matrix'!$B$2:$D$13,10,MATCH($B322,'MOA role matrix'!$B$1:$D$1,0))="Fill","Division MOI managers, ","")IF(INDEX('MOA role matrix'!$B$2:$D$13,10,MATCH($B322,'MOA role matrix'!$B$1:$D$1,0))="If finance","Division MOI managers (if finance), ","")IF(INDEX('MOA role matrix'!$B$2:$D$13,10,MATCH($B322,'MOA role matrix'!$B$1:$D$1,0))="Auto","Division MOI managers (auto), ","")IF(INDEX('MOA role matrix'!$B$2:$D$13,11,MATCH($B322,'MOA role matrix'!$B$1:$D$1,0))="Fill","Ms Teh (bank), ","")IF(INDEX('MOA role matrix'!$B$2:$D$13,11,MATCH($B322,'MOA role matrix'!$B$1:$D$1,0))="If finance","Ms Teh (bank) (if finance), ","")IF(INDEX('MOA role matrix'!$B$2:$D$13,11,MATCH($B322,'MOA role matrix'!$B$1:$D$1,0))="Auto","Ms Teh (bank) (auto), ","")IF(INDEX('MOA role matrix'!$B$2:$D$13,12,MATCH($B322,'MOA role matrix'!$B$1:$D$1,0))="Fill","DLCM, ","")IF(INDEX('MOA role matrix'!$B$2:$D$13,12,MATCH($B322,'MOA role matrix'!$B$1:$D$1,0))="If finance","DLCM (if finance), ","")IF(INDEX('MOA role matrix'!$B$2:$D$13,12,MATCH($B322,'MOA role matrix'!$B$1:$D$1,0))="Auto","DLCM (auto), ","")))</f>
        <v/>
      </c>
      <c r="D322" s="5">
        <f>IF($A322="","",IFERROR(INDEX(FILTER('Client contacts'!$B$2:$B$500,('Client contacts'!$A$2:$A$500=$A322)*('Client contacts'!$H$2:$H$500="Y"),""),1),""))</f>
        <v/>
      </c>
      <c r="E322" s="5">
        <f>IF($A322="","",IFERROR(INDEX(FILTER('Client contacts'!$C$2:$C$500,('Client contacts'!$A$2:$A$500=$A322)*('Client contacts'!$H$2:$H$500="Y"),""),1),""))</f>
        <v/>
      </c>
      <c r="F322" s="5">
        <f>IF($A322="","",IFERROR(INDEX(FILTER('Client contacts'!$B$2:$B$500,('Client contacts'!$A$2:$A$500=$A322)*('Client contacts'!$G$2:$G$500="Y"),""),1),""))</f>
        <v/>
      </c>
      <c r="G322" s="5">
        <f>IF($A322="","",IFERROR(INDEX(FILTER('Client contacts'!$C$2:$C$500,('Client contacts'!$A$2:$A$500=$A322)*('Client contacts'!$G$2:$G$500="Y"),""),1),""))</f>
        <v/>
      </c>
      <c r="H322" s="5">
        <f>IF($A322="","",IFERROR(INDEX(FILTER('Client contacts'!$B$2:$B$500,('Client contacts'!$A$2:$A$500=$A322)*('Client contacts'!$G$2:$G$500="Y"),""),2),""))</f>
        <v/>
      </c>
      <c r="I322" s="5">
        <f>IF($A322="","",IFERROR(INDEX(FILTER('Client contacts'!$C$2:$C$500,('Client contacts'!$A$2:$A$500=$A322)*('Client contacts'!$G$2:$G$500="Y"),""),2),""))</f>
        <v/>
      </c>
      <c r="J322" s="8" t="n"/>
      <c r="K322" s="8" t="n"/>
      <c r="L322" s="8" t="n"/>
      <c r="M322" s="8" t="n"/>
      <c r="N322" s="8" t="n"/>
      <c r="O322" s="8" t="n"/>
      <c r="P322" s="8" t="n"/>
      <c r="Q322" s="8" t="n"/>
      <c r="R322" s="5">
        <f>IF($A322="","",IFERROR(INDEX(Companies!$I$2:$I$500,MATCH($A322,Companies!$A$2:$A$500,0)),""))</f>
        <v/>
      </c>
      <c r="S322" s="8" t="n"/>
      <c r="T322" s="8" t="n"/>
      <c r="U322" s="8" t="n"/>
      <c r="V322" s="8" t="n"/>
      <c r="W322" s="8" t="n"/>
    </row>
    <row r="323">
      <c r="C323" s="5">
        <f>IF($B323="","",TRIM(IF(INDEX('MOA role matrix'!$B$2:$D$13,1,MATCH($B323,'MOA role matrix'!$B$1:$D$1,0))="Fill","Project initiator, ","")IF(INDEX('MOA role matrix'!$B$2:$D$13,1,MATCH($B323,'MOA role matrix'!$B$1:$D$1,0))="If finance","Project initiator (if finance), ","")IF(INDEX('MOA role matrix'!$B$2:$D$13,1,MATCH($B323,'MOA role matrix'!$B$1:$D$1,0))="Auto","Project initiator (auto), ","")IF(INDEX('MOA role matrix'!$B$2:$D$13,2,MATCH($B323,'MOA role matrix'!$B$1:$D$1,0))="Fill","MOA signers (client), ","")IF(INDEX('MOA role matrix'!$B$2:$D$13,2,MATCH($B323,'MOA role matrix'!$B$1:$D$1,0))="If finance","MOA signers (client) (if finance), ","")IF(INDEX('MOA role matrix'!$B$2:$D$13,2,MATCH($B323,'MOA role matrix'!$B$1:$D$1,0))="Auto","MOA signers (client) (auto), ","")IF(INDEX('MOA role matrix'!$B$2:$D$13,3,MATCH($B323,'MOA role matrix'!$B$1:$D$1,0))="Fill","CFO / Head of Finance, ","")IF(INDEX('MOA role matrix'!$B$2:$D$13,3,MATCH($B323,'MOA role matrix'!$B$1:$D$1,0))="If finance","CFO / Head of Finance (if finance), ","")IF(INDEX('MOA role matrix'!$B$2:$D$13,3,MATCH($B323,'MOA role matrix'!$B$1:$D$1,0))="Auto","CFO / Head of Finance (auto), ","")IF(INDEX('MOA role matrix'!$B$2:$D$13,4,MATCH($B323,'MOA role matrix'!$B$1:$D$1,0))="Fill","CEO / COO / GM, ","")IF(INDEX('MOA role matrix'!$B$2:$D$13,4,MATCH($B323,'MOA role matrix'!$B$1:$D$1,0))="If finance","CEO / COO / GM (if finance), ","")IF(INDEX('MOA role matrix'!$B$2:$D$13,4,MATCH($B323,'MOA role matrix'!$B$1:$D$1,0))="Auto","CEO / COO / GM (auto), ","")IF(INDEX('MOA role matrix'!$B$2:$D$13,5,MATCH($B323,'MOA role matrix'!$B$1:$D$1,0))="Fill","Board member 1, ","")IF(INDEX('MOA role matrix'!$B$2:$D$13,5,MATCH($B323,'MOA role matrix'!$B$1:$D$1,0))="If finance","Board member 1 (if finance), ","")IF(INDEX('MOA role matrix'!$B$2:$D$13,5,MATCH($B323,'MOA role matrix'!$B$1:$D$1,0))="Auto","Board member 1 (auto), ","")IF(INDEX('MOA role matrix'!$B$2:$D$13,6,MATCH($B323,'MOA role matrix'!$B$1:$D$1,0))="Fill","Board member 2, ","")IF(INDEX('MOA role matrix'!$B$2:$D$13,6,MATCH($B323,'MOA role matrix'!$B$1:$D$1,0))="If finance","Board member 2 (if finance), ","")IF(INDEX('MOA role matrix'!$B$2:$D$13,6,MATCH($B323,'MOA role matrix'!$B$1:$D$1,0))="Auto","Board member 2 (auto), ","")IF(INDEX('MOA role matrix'!$B$2:$D$13,7,MATCH($B323,'MOA role matrix'!$B$1:$D$1,0))="Fill","LOA holder 1, ","")IF(INDEX('MOA role matrix'!$B$2:$D$13,7,MATCH($B323,'MOA role matrix'!$B$1:$D$1,0))="If finance","LOA holder 1 (if finance), ","")IF(INDEX('MOA role matrix'!$B$2:$D$13,7,MATCH($B323,'MOA role matrix'!$B$1:$D$1,0))="Auto","LOA holder 1 (auto), ","")IF(INDEX('MOA role matrix'!$B$2:$D$13,8,MATCH($B323,'MOA role matrix'!$B$1:$D$1,0))="Fill","LOA holder 2, ","")IF(INDEX('MOA role matrix'!$B$2:$D$13,8,MATCH($B323,'MOA role matrix'!$B$1:$D$1,0))="If finance","LOA holder 2 (if finance), ","")IF(INDEX('MOA role matrix'!$B$2:$D$13,8,MATCH($B323,'MOA role matrix'!$B$1:$D$1,0))="Auto","LOA holder 2 (auto), ","")IF(INDEX('MOA role matrix'!$B$2:$D$13,9,MATCH($B323,'MOA role matrix'!$B$1:$D$1,0))="Fill","Senior Manager CoSec, ","")IF(INDEX('MOA role matrix'!$B$2:$D$13,9,MATCH($B323,'MOA role matrix'!$B$1:$D$1,0))="If finance","Senior Manager CoSec (if finance), ","")IF(INDEX('MOA role matrix'!$B$2:$D$13,9,MATCH($B323,'MOA role matrix'!$B$1:$D$1,0))="Auto","Senior Manager CoSec (auto), ","")IF(INDEX('MOA role matrix'!$B$2:$D$13,10,MATCH($B323,'MOA role matrix'!$B$1:$D$1,0))="Fill","Division MOI managers, ","")IF(INDEX('MOA role matrix'!$B$2:$D$13,10,MATCH($B323,'MOA role matrix'!$B$1:$D$1,0))="If finance","Division MOI managers (if finance), ","")IF(INDEX('MOA role matrix'!$B$2:$D$13,10,MATCH($B323,'MOA role matrix'!$B$1:$D$1,0))="Auto","Division MOI managers (auto), ","")IF(INDEX('MOA role matrix'!$B$2:$D$13,11,MATCH($B323,'MOA role matrix'!$B$1:$D$1,0))="Fill","Ms Teh (bank), ","")IF(INDEX('MOA role matrix'!$B$2:$D$13,11,MATCH($B323,'MOA role matrix'!$B$1:$D$1,0))="If finance","Ms Teh (bank) (if finance), ","")IF(INDEX('MOA role matrix'!$B$2:$D$13,11,MATCH($B323,'MOA role matrix'!$B$1:$D$1,0))="Auto","Ms Teh (bank) (auto), ","")IF(INDEX('MOA role matrix'!$B$2:$D$13,12,MATCH($B323,'MOA role matrix'!$B$1:$D$1,0))="Fill","DLCM, ","")IF(INDEX('MOA role matrix'!$B$2:$D$13,12,MATCH($B323,'MOA role matrix'!$B$1:$D$1,0))="If finance","DLCM (if finance), ","")IF(INDEX('MOA role matrix'!$B$2:$D$13,12,MATCH($B323,'MOA role matrix'!$B$1:$D$1,0))="Auto","DLCM (auto), ","")))</f>
        <v/>
      </c>
      <c r="D323" s="5">
        <f>IF($A323="","",IFERROR(INDEX(FILTER('Client contacts'!$B$2:$B$500,('Client contacts'!$A$2:$A$500=$A323)*('Client contacts'!$H$2:$H$500="Y"),""),1),""))</f>
        <v/>
      </c>
      <c r="E323" s="5">
        <f>IF($A323="","",IFERROR(INDEX(FILTER('Client contacts'!$C$2:$C$500,('Client contacts'!$A$2:$A$500=$A323)*('Client contacts'!$H$2:$H$500="Y"),""),1),""))</f>
        <v/>
      </c>
      <c r="F323" s="5">
        <f>IF($A323="","",IFERROR(INDEX(FILTER('Client contacts'!$B$2:$B$500,('Client contacts'!$A$2:$A$500=$A323)*('Client contacts'!$G$2:$G$500="Y"),""),1),""))</f>
        <v/>
      </c>
      <c r="G323" s="5">
        <f>IF($A323="","",IFERROR(INDEX(FILTER('Client contacts'!$C$2:$C$500,('Client contacts'!$A$2:$A$500=$A323)*('Client contacts'!$G$2:$G$500="Y"),""),1),""))</f>
        <v/>
      </c>
      <c r="H323" s="5">
        <f>IF($A323="","",IFERROR(INDEX(FILTER('Client contacts'!$B$2:$B$500,('Client contacts'!$A$2:$A$500=$A323)*('Client contacts'!$G$2:$G$500="Y"),""),2),""))</f>
        <v/>
      </c>
      <c r="I323" s="5">
        <f>IF($A323="","",IFERROR(INDEX(FILTER('Client contacts'!$C$2:$C$500,('Client contacts'!$A$2:$A$500=$A323)*('Client contacts'!$G$2:$G$500="Y"),""),2),""))</f>
        <v/>
      </c>
      <c r="J323" s="8" t="n"/>
      <c r="K323" s="8" t="n"/>
      <c r="L323" s="8" t="n"/>
      <c r="M323" s="8" t="n"/>
      <c r="N323" s="8" t="n"/>
      <c r="O323" s="8" t="n"/>
      <c r="P323" s="8" t="n"/>
      <c r="Q323" s="8" t="n"/>
      <c r="R323" s="5">
        <f>IF($A323="","",IFERROR(INDEX(Companies!$I$2:$I$500,MATCH($A323,Companies!$A$2:$A$500,0)),""))</f>
        <v/>
      </c>
      <c r="S323" s="8" t="n"/>
      <c r="T323" s="8" t="n"/>
      <c r="U323" s="8" t="n"/>
      <c r="V323" s="8" t="n"/>
      <c r="W323" s="8" t="n"/>
    </row>
    <row r="324">
      <c r="C324" s="5">
        <f>IF($B324="","",TRIM(IF(INDEX('MOA role matrix'!$B$2:$D$13,1,MATCH($B324,'MOA role matrix'!$B$1:$D$1,0))="Fill","Project initiator, ","")IF(INDEX('MOA role matrix'!$B$2:$D$13,1,MATCH($B324,'MOA role matrix'!$B$1:$D$1,0))="If finance","Project initiator (if finance), ","")IF(INDEX('MOA role matrix'!$B$2:$D$13,1,MATCH($B324,'MOA role matrix'!$B$1:$D$1,0))="Auto","Project initiator (auto), ","")IF(INDEX('MOA role matrix'!$B$2:$D$13,2,MATCH($B324,'MOA role matrix'!$B$1:$D$1,0))="Fill","MOA signers (client), ","")IF(INDEX('MOA role matrix'!$B$2:$D$13,2,MATCH($B324,'MOA role matrix'!$B$1:$D$1,0))="If finance","MOA signers (client) (if finance), ","")IF(INDEX('MOA role matrix'!$B$2:$D$13,2,MATCH($B324,'MOA role matrix'!$B$1:$D$1,0))="Auto","MOA signers (client) (auto), ","")IF(INDEX('MOA role matrix'!$B$2:$D$13,3,MATCH($B324,'MOA role matrix'!$B$1:$D$1,0))="Fill","CFO / Head of Finance, ","")IF(INDEX('MOA role matrix'!$B$2:$D$13,3,MATCH($B324,'MOA role matrix'!$B$1:$D$1,0))="If finance","CFO / Head of Finance (if finance), ","")IF(INDEX('MOA role matrix'!$B$2:$D$13,3,MATCH($B324,'MOA role matrix'!$B$1:$D$1,0))="Auto","CFO / Head of Finance (auto), ","")IF(INDEX('MOA role matrix'!$B$2:$D$13,4,MATCH($B324,'MOA role matrix'!$B$1:$D$1,0))="Fill","CEO / COO / GM, ","")IF(INDEX('MOA role matrix'!$B$2:$D$13,4,MATCH($B324,'MOA role matrix'!$B$1:$D$1,0))="If finance","CEO / COO / GM (if finance), ","")IF(INDEX('MOA role matrix'!$B$2:$D$13,4,MATCH($B324,'MOA role matrix'!$B$1:$D$1,0))="Auto","CEO / COO / GM (auto), ","")IF(INDEX('MOA role matrix'!$B$2:$D$13,5,MATCH($B324,'MOA role matrix'!$B$1:$D$1,0))="Fill","Board member 1, ","")IF(INDEX('MOA role matrix'!$B$2:$D$13,5,MATCH($B324,'MOA role matrix'!$B$1:$D$1,0))="If finance","Board member 1 (if finance), ","")IF(INDEX('MOA role matrix'!$B$2:$D$13,5,MATCH($B324,'MOA role matrix'!$B$1:$D$1,0))="Auto","Board member 1 (auto), ","")IF(INDEX('MOA role matrix'!$B$2:$D$13,6,MATCH($B324,'MOA role matrix'!$B$1:$D$1,0))="Fill","Board member 2, ","")IF(INDEX('MOA role matrix'!$B$2:$D$13,6,MATCH($B324,'MOA role matrix'!$B$1:$D$1,0))="If finance","Board member 2 (if finance), ","")IF(INDEX('MOA role matrix'!$B$2:$D$13,6,MATCH($B324,'MOA role matrix'!$B$1:$D$1,0))="Auto","Board member 2 (auto), ","")IF(INDEX('MOA role matrix'!$B$2:$D$13,7,MATCH($B324,'MOA role matrix'!$B$1:$D$1,0))="Fill","LOA holder 1, ","")IF(INDEX('MOA role matrix'!$B$2:$D$13,7,MATCH($B324,'MOA role matrix'!$B$1:$D$1,0))="If finance","LOA holder 1 (if finance), ","")IF(INDEX('MOA role matrix'!$B$2:$D$13,7,MATCH($B324,'MOA role matrix'!$B$1:$D$1,0))="Auto","LOA holder 1 (auto), ","")IF(INDEX('MOA role matrix'!$B$2:$D$13,8,MATCH($B324,'MOA role matrix'!$B$1:$D$1,0))="Fill","LOA holder 2, ","")IF(INDEX('MOA role matrix'!$B$2:$D$13,8,MATCH($B324,'MOA role matrix'!$B$1:$D$1,0))="If finance","LOA holder 2 (if finance), ","")IF(INDEX('MOA role matrix'!$B$2:$D$13,8,MATCH($B324,'MOA role matrix'!$B$1:$D$1,0))="Auto","LOA holder 2 (auto), ","")IF(INDEX('MOA role matrix'!$B$2:$D$13,9,MATCH($B324,'MOA role matrix'!$B$1:$D$1,0))="Fill","Senior Manager CoSec, ","")IF(INDEX('MOA role matrix'!$B$2:$D$13,9,MATCH($B324,'MOA role matrix'!$B$1:$D$1,0))="If finance","Senior Manager CoSec (if finance), ","")IF(INDEX('MOA role matrix'!$B$2:$D$13,9,MATCH($B324,'MOA role matrix'!$B$1:$D$1,0))="Auto","Senior Manager CoSec (auto), ","")IF(INDEX('MOA role matrix'!$B$2:$D$13,10,MATCH($B324,'MOA role matrix'!$B$1:$D$1,0))="Fill","Division MOI managers, ","")IF(INDEX('MOA role matrix'!$B$2:$D$13,10,MATCH($B324,'MOA role matrix'!$B$1:$D$1,0))="If finance","Division MOI managers (if finance), ","")IF(INDEX('MOA role matrix'!$B$2:$D$13,10,MATCH($B324,'MOA role matrix'!$B$1:$D$1,0))="Auto","Division MOI managers (auto), ","")IF(INDEX('MOA role matrix'!$B$2:$D$13,11,MATCH($B324,'MOA role matrix'!$B$1:$D$1,0))="Fill","Ms Teh (bank), ","")IF(INDEX('MOA role matrix'!$B$2:$D$13,11,MATCH($B324,'MOA role matrix'!$B$1:$D$1,0))="If finance","Ms Teh (bank) (if finance), ","")IF(INDEX('MOA role matrix'!$B$2:$D$13,11,MATCH($B324,'MOA role matrix'!$B$1:$D$1,0))="Auto","Ms Teh (bank) (auto), ","")IF(INDEX('MOA role matrix'!$B$2:$D$13,12,MATCH($B324,'MOA role matrix'!$B$1:$D$1,0))="Fill","DLCM, ","")IF(INDEX('MOA role matrix'!$B$2:$D$13,12,MATCH($B324,'MOA role matrix'!$B$1:$D$1,0))="If finance","DLCM (if finance), ","")IF(INDEX('MOA role matrix'!$B$2:$D$13,12,MATCH($B324,'MOA role matrix'!$B$1:$D$1,0))="Auto","DLCM (auto), ","")))</f>
        <v/>
      </c>
      <c r="D324" s="5">
        <f>IF($A324="","",IFERROR(INDEX(FILTER('Client contacts'!$B$2:$B$500,('Client contacts'!$A$2:$A$500=$A324)*('Client contacts'!$H$2:$H$500="Y"),""),1),""))</f>
        <v/>
      </c>
      <c r="E324" s="5">
        <f>IF($A324="","",IFERROR(INDEX(FILTER('Client contacts'!$C$2:$C$500,('Client contacts'!$A$2:$A$500=$A324)*('Client contacts'!$H$2:$H$500="Y"),""),1),""))</f>
        <v/>
      </c>
      <c r="F324" s="5">
        <f>IF($A324="","",IFERROR(INDEX(FILTER('Client contacts'!$B$2:$B$500,('Client contacts'!$A$2:$A$500=$A324)*('Client contacts'!$G$2:$G$500="Y"),""),1),""))</f>
        <v/>
      </c>
      <c r="G324" s="5">
        <f>IF($A324="","",IFERROR(INDEX(FILTER('Client contacts'!$C$2:$C$500,('Client contacts'!$A$2:$A$500=$A324)*('Client contacts'!$G$2:$G$500="Y"),""),1),""))</f>
        <v/>
      </c>
      <c r="H324" s="5">
        <f>IF($A324="","",IFERROR(INDEX(FILTER('Client contacts'!$B$2:$B$500,('Client contacts'!$A$2:$A$500=$A324)*('Client contacts'!$G$2:$G$500="Y"),""),2),""))</f>
        <v/>
      </c>
      <c r="I324" s="5">
        <f>IF($A324="","",IFERROR(INDEX(FILTER('Client contacts'!$C$2:$C$500,('Client contacts'!$A$2:$A$500=$A324)*('Client contacts'!$G$2:$G$500="Y"),""),2),""))</f>
        <v/>
      </c>
      <c r="J324" s="8" t="n"/>
      <c r="K324" s="8" t="n"/>
      <c r="L324" s="8" t="n"/>
      <c r="M324" s="8" t="n"/>
      <c r="N324" s="8" t="n"/>
      <c r="O324" s="8" t="n"/>
      <c r="P324" s="8" t="n"/>
      <c r="Q324" s="8" t="n"/>
      <c r="R324" s="5">
        <f>IF($A324="","",IFERROR(INDEX(Companies!$I$2:$I$500,MATCH($A324,Companies!$A$2:$A$500,0)),""))</f>
        <v/>
      </c>
      <c r="S324" s="8" t="n"/>
      <c r="T324" s="8" t="n"/>
      <c r="U324" s="8" t="n"/>
      <c r="V324" s="8" t="n"/>
      <c r="W324" s="8" t="n"/>
    </row>
    <row r="325">
      <c r="C325" s="5">
        <f>IF($B325="","",TRIM(IF(INDEX('MOA role matrix'!$B$2:$D$13,1,MATCH($B325,'MOA role matrix'!$B$1:$D$1,0))="Fill","Project initiator, ","")IF(INDEX('MOA role matrix'!$B$2:$D$13,1,MATCH($B325,'MOA role matrix'!$B$1:$D$1,0))="If finance","Project initiator (if finance), ","")IF(INDEX('MOA role matrix'!$B$2:$D$13,1,MATCH($B325,'MOA role matrix'!$B$1:$D$1,0))="Auto","Project initiator (auto), ","")IF(INDEX('MOA role matrix'!$B$2:$D$13,2,MATCH($B325,'MOA role matrix'!$B$1:$D$1,0))="Fill","MOA signers (client), ","")IF(INDEX('MOA role matrix'!$B$2:$D$13,2,MATCH($B325,'MOA role matrix'!$B$1:$D$1,0))="If finance","MOA signers (client) (if finance), ","")IF(INDEX('MOA role matrix'!$B$2:$D$13,2,MATCH($B325,'MOA role matrix'!$B$1:$D$1,0))="Auto","MOA signers (client) (auto), ","")IF(INDEX('MOA role matrix'!$B$2:$D$13,3,MATCH($B325,'MOA role matrix'!$B$1:$D$1,0))="Fill","CFO / Head of Finance, ","")IF(INDEX('MOA role matrix'!$B$2:$D$13,3,MATCH($B325,'MOA role matrix'!$B$1:$D$1,0))="If finance","CFO / Head of Finance (if finance), ","")IF(INDEX('MOA role matrix'!$B$2:$D$13,3,MATCH($B325,'MOA role matrix'!$B$1:$D$1,0))="Auto","CFO / Head of Finance (auto), ","")IF(INDEX('MOA role matrix'!$B$2:$D$13,4,MATCH($B325,'MOA role matrix'!$B$1:$D$1,0))="Fill","CEO / COO / GM, ","")IF(INDEX('MOA role matrix'!$B$2:$D$13,4,MATCH($B325,'MOA role matrix'!$B$1:$D$1,0))="If finance","CEO / COO / GM (if finance), ","")IF(INDEX('MOA role matrix'!$B$2:$D$13,4,MATCH($B325,'MOA role matrix'!$B$1:$D$1,0))="Auto","CEO / COO / GM (auto), ","")IF(INDEX('MOA role matrix'!$B$2:$D$13,5,MATCH($B325,'MOA role matrix'!$B$1:$D$1,0))="Fill","Board member 1, ","")IF(INDEX('MOA role matrix'!$B$2:$D$13,5,MATCH($B325,'MOA role matrix'!$B$1:$D$1,0))="If finance","Board member 1 (if finance), ","")IF(INDEX('MOA role matrix'!$B$2:$D$13,5,MATCH($B325,'MOA role matrix'!$B$1:$D$1,0))="Auto","Board member 1 (auto), ","")IF(INDEX('MOA role matrix'!$B$2:$D$13,6,MATCH($B325,'MOA role matrix'!$B$1:$D$1,0))="Fill","Board member 2, ","")IF(INDEX('MOA role matrix'!$B$2:$D$13,6,MATCH($B325,'MOA role matrix'!$B$1:$D$1,0))="If finance","Board member 2 (if finance), ","")IF(INDEX('MOA role matrix'!$B$2:$D$13,6,MATCH($B325,'MOA role matrix'!$B$1:$D$1,0))="Auto","Board member 2 (auto), ","")IF(INDEX('MOA role matrix'!$B$2:$D$13,7,MATCH($B325,'MOA role matrix'!$B$1:$D$1,0))="Fill","LOA holder 1, ","")IF(INDEX('MOA role matrix'!$B$2:$D$13,7,MATCH($B325,'MOA role matrix'!$B$1:$D$1,0))="If finance","LOA holder 1 (if finance), ","")IF(INDEX('MOA role matrix'!$B$2:$D$13,7,MATCH($B325,'MOA role matrix'!$B$1:$D$1,0))="Auto","LOA holder 1 (auto), ","")IF(INDEX('MOA role matrix'!$B$2:$D$13,8,MATCH($B325,'MOA role matrix'!$B$1:$D$1,0))="Fill","LOA holder 2, ","")IF(INDEX('MOA role matrix'!$B$2:$D$13,8,MATCH($B325,'MOA role matrix'!$B$1:$D$1,0))="If finance","LOA holder 2 (if finance), ","")IF(INDEX('MOA role matrix'!$B$2:$D$13,8,MATCH($B325,'MOA role matrix'!$B$1:$D$1,0))="Auto","LOA holder 2 (auto), ","")IF(INDEX('MOA role matrix'!$B$2:$D$13,9,MATCH($B325,'MOA role matrix'!$B$1:$D$1,0))="Fill","Senior Manager CoSec, ","")IF(INDEX('MOA role matrix'!$B$2:$D$13,9,MATCH($B325,'MOA role matrix'!$B$1:$D$1,0))="If finance","Senior Manager CoSec (if finance), ","")IF(INDEX('MOA role matrix'!$B$2:$D$13,9,MATCH($B325,'MOA role matrix'!$B$1:$D$1,0))="Auto","Senior Manager CoSec (auto), ","")IF(INDEX('MOA role matrix'!$B$2:$D$13,10,MATCH($B325,'MOA role matrix'!$B$1:$D$1,0))="Fill","Division MOI managers, ","")IF(INDEX('MOA role matrix'!$B$2:$D$13,10,MATCH($B325,'MOA role matrix'!$B$1:$D$1,0))="If finance","Division MOI managers (if finance), ","")IF(INDEX('MOA role matrix'!$B$2:$D$13,10,MATCH($B325,'MOA role matrix'!$B$1:$D$1,0))="Auto","Division MOI managers (auto), ","")IF(INDEX('MOA role matrix'!$B$2:$D$13,11,MATCH($B325,'MOA role matrix'!$B$1:$D$1,0))="Fill","Ms Teh (bank), ","")IF(INDEX('MOA role matrix'!$B$2:$D$13,11,MATCH($B325,'MOA role matrix'!$B$1:$D$1,0))="If finance","Ms Teh (bank) (if finance), ","")IF(INDEX('MOA role matrix'!$B$2:$D$13,11,MATCH($B325,'MOA role matrix'!$B$1:$D$1,0))="Auto","Ms Teh (bank) (auto), ","")IF(INDEX('MOA role matrix'!$B$2:$D$13,12,MATCH($B325,'MOA role matrix'!$B$1:$D$1,0))="Fill","DLCM, ","")IF(INDEX('MOA role matrix'!$B$2:$D$13,12,MATCH($B325,'MOA role matrix'!$B$1:$D$1,0))="If finance","DLCM (if finance), ","")IF(INDEX('MOA role matrix'!$B$2:$D$13,12,MATCH($B325,'MOA role matrix'!$B$1:$D$1,0))="Auto","DLCM (auto), ","")))</f>
        <v/>
      </c>
      <c r="D325" s="5">
        <f>IF($A325="","",IFERROR(INDEX(FILTER('Client contacts'!$B$2:$B$500,('Client contacts'!$A$2:$A$500=$A325)*('Client contacts'!$H$2:$H$500="Y"),""),1),""))</f>
        <v/>
      </c>
      <c r="E325" s="5">
        <f>IF($A325="","",IFERROR(INDEX(FILTER('Client contacts'!$C$2:$C$500,('Client contacts'!$A$2:$A$500=$A325)*('Client contacts'!$H$2:$H$500="Y"),""),1),""))</f>
        <v/>
      </c>
      <c r="F325" s="5">
        <f>IF($A325="","",IFERROR(INDEX(FILTER('Client contacts'!$B$2:$B$500,('Client contacts'!$A$2:$A$500=$A325)*('Client contacts'!$G$2:$G$500="Y"),""),1),""))</f>
        <v/>
      </c>
      <c r="G325" s="5">
        <f>IF($A325="","",IFERROR(INDEX(FILTER('Client contacts'!$C$2:$C$500,('Client contacts'!$A$2:$A$500=$A325)*('Client contacts'!$G$2:$G$500="Y"),""),1),""))</f>
        <v/>
      </c>
      <c r="H325" s="5">
        <f>IF($A325="","",IFERROR(INDEX(FILTER('Client contacts'!$B$2:$B$500,('Client contacts'!$A$2:$A$500=$A325)*('Client contacts'!$G$2:$G$500="Y"),""),2),""))</f>
        <v/>
      </c>
      <c r="I325" s="5">
        <f>IF($A325="","",IFERROR(INDEX(FILTER('Client contacts'!$C$2:$C$500,('Client contacts'!$A$2:$A$500=$A325)*('Client contacts'!$G$2:$G$500="Y"),""),2),""))</f>
        <v/>
      </c>
      <c r="J325" s="8" t="n"/>
      <c r="K325" s="8" t="n"/>
      <c r="L325" s="8" t="n"/>
      <c r="M325" s="8" t="n"/>
      <c r="N325" s="8" t="n"/>
      <c r="O325" s="8" t="n"/>
      <c r="P325" s="8" t="n"/>
      <c r="Q325" s="8" t="n"/>
      <c r="R325" s="5">
        <f>IF($A325="","",IFERROR(INDEX(Companies!$I$2:$I$500,MATCH($A325,Companies!$A$2:$A$500,0)),""))</f>
        <v/>
      </c>
      <c r="S325" s="8" t="n"/>
      <c r="T325" s="8" t="n"/>
      <c r="U325" s="8" t="n"/>
      <c r="V325" s="8" t="n"/>
      <c r="W325" s="8" t="n"/>
    </row>
    <row r="326">
      <c r="C326" s="5">
        <f>IF($B326="","",TRIM(IF(INDEX('MOA role matrix'!$B$2:$D$13,1,MATCH($B326,'MOA role matrix'!$B$1:$D$1,0))="Fill","Project initiator, ","")IF(INDEX('MOA role matrix'!$B$2:$D$13,1,MATCH($B326,'MOA role matrix'!$B$1:$D$1,0))="If finance","Project initiator (if finance), ","")IF(INDEX('MOA role matrix'!$B$2:$D$13,1,MATCH($B326,'MOA role matrix'!$B$1:$D$1,0))="Auto","Project initiator (auto), ","")IF(INDEX('MOA role matrix'!$B$2:$D$13,2,MATCH($B326,'MOA role matrix'!$B$1:$D$1,0))="Fill","MOA signers (client), ","")IF(INDEX('MOA role matrix'!$B$2:$D$13,2,MATCH($B326,'MOA role matrix'!$B$1:$D$1,0))="If finance","MOA signers (client) (if finance), ","")IF(INDEX('MOA role matrix'!$B$2:$D$13,2,MATCH($B326,'MOA role matrix'!$B$1:$D$1,0))="Auto","MOA signers (client) (auto), ","")IF(INDEX('MOA role matrix'!$B$2:$D$13,3,MATCH($B326,'MOA role matrix'!$B$1:$D$1,0))="Fill","CFO / Head of Finance, ","")IF(INDEX('MOA role matrix'!$B$2:$D$13,3,MATCH($B326,'MOA role matrix'!$B$1:$D$1,0))="If finance","CFO / Head of Finance (if finance), ","")IF(INDEX('MOA role matrix'!$B$2:$D$13,3,MATCH($B326,'MOA role matrix'!$B$1:$D$1,0))="Auto","CFO / Head of Finance (auto), ","")IF(INDEX('MOA role matrix'!$B$2:$D$13,4,MATCH($B326,'MOA role matrix'!$B$1:$D$1,0))="Fill","CEO / COO / GM, ","")IF(INDEX('MOA role matrix'!$B$2:$D$13,4,MATCH($B326,'MOA role matrix'!$B$1:$D$1,0))="If finance","CEO / COO / GM (if finance), ","")IF(INDEX('MOA role matrix'!$B$2:$D$13,4,MATCH($B326,'MOA role matrix'!$B$1:$D$1,0))="Auto","CEO / COO / GM (auto), ","")IF(INDEX('MOA role matrix'!$B$2:$D$13,5,MATCH($B326,'MOA role matrix'!$B$1:$D$1,0))="Fill","Board member 1, ","")IF(INDEX('MOA role matrix'!$B$2:$D$13,5,MATCH($B326,'MOA role matrix'!$B$1:$D$1,0))="If finance","Board member 1 (if finance), ","")IF(INDEX('MOA role matrix'!$B$2:$D$13,5,MATCH($B326,'MOA role matrix'!$B$1:$D$1,0))="Auto","Board member 1 (auto), ","")IF(INDEX('MOA role matrix'!$B$2:$D$13,6,MATCH($B326,'MOA role matrix'!$B$1:$D$1,0))="Fill","Board member 2, ","")IF(INDEX('MOA role matrix'!$B$2:$D$13,6,MATCH($B326,'MOA role matrix'!$B$1:$D$1,0))="If finance","Board member 2 (if finance), ","")IF(INDEX('MOA role matrix'!$B$2:$D$13,6,MATCH($B326,'MOA role matrix'!$B$1:$D$1,0))="Auto","Board member 2 (auto), ","")IF(INDEX('MOA role matrix'!$B$2:$D$13,7,MATCH($B326,'MOA role matrix'!$B$1:$D$1,0))="Fill","LOA holder 1, ","")IF(INDEX('MOA role matrix'!$B$2:$D$13,7,MATCH($B326,'MOA role matrix'!$B$1:$D$1,0))="If finance","LOA holder 1 (if finance), ","")IF(INDEX('MOA role matrix'!$B$2:$D$13,7,MATCH($B326,'MOA role matrix'!$B$1:$D$1,0))="Auto","LOA holder 1 (auto), ","")IF(INDEX('MOA role matrix'!$B$2:$D$13,8,MATCH($B326,'MOA role matrix'!$B$1:$D$1,0))="Fill","LOA holder 2, ","")IF(INDEX('MOA role matrix'!$B$2:$D$13,8,MATCH($B326,'MOA role matrix'!$B$1:$D$1,0))="If finance","LOA holder 2 (if finance), ","")IF(INDEX('MOA role matrix'!$B$2:$D$13,8,MATCH($B326,'MOA role matrix'!$B$1:$D$1,0))="Auto","LOA holder 2 (auto), ","")IF(INDEX('MOA role matrix'!$B$2:$D$13,9,MATCH($B326,'MOA role matrix'!$B$1:$D$1,0))="Fill","Senior Manager CoSec, ","")IF(INDEX('MOA role matrix'!$B$2:$D$13,9,MATCH($B326,'MOA role matrix'!$B$1:$D$1,0))="If finance","Senior Manager CoSec (if finance), ","")IF(INDEX('MOA role matrix'!$B$2:$D$13,9,MATCH($B326,'MOA role matrix'!$B$1:$D$1,0))="Auto","Senior Manager CoSec (auto), ","")IF(INDEX('MOA role matrix'!$B$2:$D$13,10,MATCH($B326,'MOA role matrix'!$B$1:$D$1,0))="Fill","Division MOI managers, ","")IF(INDEX('MOA role matrix'!$B$2:$D$13,10,MATCH($B326,'MOA role matrix'!$B$1:$D$1,0))="If finance","Division MOI managers (if finance), ","")IF(INDEX('MOA role matrix'!$B$2:$D$13,10,MATCH($B326,'MOA role matrix'!$B$1:$D$1,0))="Auto","Division MOI managers (auto), ","")IF(INDEX('MOA role matrix'!$B$2:$D$13,11,MATCH($B326,'MOA role matrix'!$B$1:$D$1,0))="Fill","Ms Teh (bank), ","")IF(INDEX('MOA role matrix'!$B$2:$D$13,11,MATCH($B326,'MOA role matrix'!$B$1:$D$1,0))="If finance","Ms Teh (bank) (if finance), ","")IF(INDEX('MOA role matrix'!$B$2:$D$13,11,MATCH($B326,'MOA role matrix'!$B$1:$D$1,0))="Auto","Ms Teh (bank) (auto), ","")IF(INDEX('MOA role matrix'!$B$2:$D$13,12,MATCH($B326,'MOA role matrix'!$B$1:$D$1,0))="Fill","DLCM, ","")IF(INDEX('MOA role matrix'!$B$2:$D$13,12,MATCH($B326,'MOA role matrix'!$B$1:$D$1,0))="If finance","DLCM (if finance), ","")IF(INDEX('MOA role matrix'!$B$2:$D$13,12,MATCH($B326,'MOA role matrix'!$B$1:$D$1,0))="Auto","DLCM (auto), ","")))</f>
        <v/>
      </c>
      <c r="D326" s="5">
        <f>IF($A326="","",IFERROR(INDEX(FILTER('Client contacts'!$B$2:$B$500,('Client contacts'!$A$2:$A$500=$A326)*('Client contacts'!$H$2:$H$500="Y"),""),1),""))</f>
        <v/>
      </c>
      <c r="E326" s="5">
        <f>IF($A326="","",IFERROR(INDEX(FILTER('Client contacts'!$C$2:$C$500,('Client contacts'!$A$2:$A$500=$A326)*('Client contacts'!$H$2:$H$500="Y"),""),1),""))</f>
        <v/>
      </c>
      <c r="F326" s="5">
        <f>IF($A326="","",IFERROR(INDEX(FILTER('Client contacts'!$B$2:$B$500,('Client contacts'!$A$2:$A$500=$A326)*('Client contacts'!$G$2:$G$500="Y"),""),1),""))</f>
        <v/>
      </c>
      <c r="G326" s="5">
        <f>IF($A326="","",IFERROR(INDEX(FILTER('Client contacts'!$C$2:$C$500,('Client contacts'!$A$2:$A$500=$A326)*('Client contacts'!$G$2:$G$500="Y"),""),1),""))</f>
        <v/>
      </c>
      <c r="H326" s="5">
        <f>IF($A326="","",IFERROR(INDEX(FILTER('Client contacts'!$B$2:$B$500,('Client contacts'!$A$2:$A$500=$A326)*('Client contacts'!$G$2:$G$500="Y"),""),2),""))</f>
        <v/>
      </c>
      <c r="I326" s="5">
        <f>IF($A326="","",IFERROR(INDEX(FILTER('Client contacts'!$C$2:$C$500,('Client contacts'!$A$2:$A$500=$A326)*('Client contacts'!$G$2:$G$500="Y"),""),2),""))</f>
        <v/>
      </c>
      <c r="J326" s="8" t="n"/>
      <c r="K326" s="8" t="n"/>
      <c r="L326" s="8" t="n"/>
      <c r="M326" s="8" t="n"/>
      <c r="N326" s="8" t="n"/>
      <c r="O326" s="8" t="n"/>
      <c r="P326" s="8" t="n"/>
      <c r="Q326" s="8" t="n"/>
      <c r="R326" s="5">
        <f>IF($A326="","",IFERROR(INDEX(Companies!$I$2:$I$500,MATCH($A326,Companies!$A$2:$A$500,0)),""))</f>
        <v/>
      </c>
      <c r="S326" s="8" t="n"/>
      <c r="T326" s="8" t="n"/>
      <c r="U326" s="8" t="n"/>
      <c r="V326" s="8" t="n"/>
      <c r="W326" s="8" t="n"/>
    </row>
    <row r="327">
      <c r="C327" s="5">
        <f>IF($B327="","",TRIM(IF(INDEX('MOA role matrix'!$B$2:$D$13,1,MATCH($B327,'MOA role matrix'!$B$1:$D$1,0))="Fill","Project initiator, ","")IF(INDEX('MOA role matrix'!$B$2:$D$13,1,MATCH($B327,'MOA role matrix'!$B$1:$D$1,0))="If finance","Project initiator (if finance), ","")IF(INDEX('MOA role matrix'!$B$2:$D$13,1,MATCH($B327,'MOA role matrix'!$B$1:$D$1,0))="Auto","Project initiator (auto), ","")IF(INDEX('MOA role matrix'!$B$2:$D$13,2,MATCH($B327,'MOA role matrix'!$B$1:$D$1,0))="Fill","MOA signers (client), ","")IF(INDEX('MOA role matrix'!$B$2:$D$13,2,MATCH($B327,'MOA role matrix'!$B$1:$D$1,0))="If finance","MOA signers (client) (if finance), ","")IF(INDEX('MOA role matrix'!$B$2:$D$13,2,MATCH($B327,'MOA role matrix'!$B$1:$D$1,0))="Auto","MOA signers (client) (auto), ","")IF(INDEX('MOA role matrix'!$B$2:$D$13,3,MATCH($B327,'MOA role matrix'!$B$1:$D$1,0))="Fill","CFO / Head of Finance, ","")IF(INDEX('MOA role matrix'!$B$2:$D$13,3,MATCH($B327,'MOA role matrix'!$B$1:$D$1,0))="If finance","CFO / Head of Finance (if finance), ","")IF(INDEX('MOA role matrix'!$B$2:$D$13,3,MATCH($B327,'MOA role matrix'!$B$1:$D$1,0))="Auto","CFO / Head of Finance (auto), ","")IF(INDEX('MOA role matrix'!$B$2:$D$13,4,MATCH($B327,'MOA role matrix'!$B$1:$D$1,0))="Fill","CEO / COO / GM, ","")IF(INDEX('MOA role matrix'!$B$2:$D$13,4,MATCH($B327,'MOA role matrix'!$B$1:$D$1,0))="If finance","CEO / COO / GM (if finance), ","")IF(INDEX('MOA role matrix'!$B$2:$D$13,4,MATCH($B327,'MOA role matrix'!$B$1:$D$1,0))="Auto","CEO / COO / GM (auto), ","")IF(INDEX('MOA role matrix'!$B$2:$D$13,5,MATCH($B327,'MOA role matrix'!$B$1:$D$1,0))="Fill","Board member 1, ","")IF(INDEX('MOA role matrix'!$B$2:$D$13,5,MATCH($B327,'MOA role matrix'!$B$1:$D$1,0))="If finance","Board member 1 (if finance), ","")IF(INDEX('MOA role matrix'!$B$2:$D$13,5,MATCH($B327,'MOA role matrix'!$B$1:$D$1,0))="Auto","Board member 1 (auto), ","")IF(INDEX('MOA role matrix'!$B$2:$D$13,6,MATCH($B327,'MOA role matrix'!$B$1:$D$1,0))="Fill","Board member 2, ","")IF(INDEX('MOA role matrix'!$B$2:$D$13,6,MATCH($B327,'MOA role matrix'!$B$1:$D$1,0))="If finance","Board member 2 (if finance), ","")IF(INDEX('MOA role matrix'!$B$2:$D$13,6,MATCH($B327,'MOA role matrix'!$B$1:$D$1,0))="Auto","Board member 2 (auto), ","")IF(INDEX('MOA role matrix'!$B$2:$D$13,7,MATCH($B327,'MOA role matrix'!$B$1:$D$1,0))="Fill","LOA holder 1, ","")IF(INDEX('MOA role matrix'!$B$2:$D$13,7,MATCH($B327,'MOA role matrix'!$B$1:$D$1,0))="If finance","LOA holder 1 (if finance), ","")IF(INDEX('MOA role matrix'!$B$2:$D$13,7,MATCH($B327,'MOA role matrix'!$B$1:$D$1,0))="Auto","LOA holder 1 (auto), ","")IF(INDEX('MOA role matrix'!$B$2:$D$13,8,MATCH($B327,'MOA role matrix'!$B$1:$D$1,0))="Fill","LOA holder 2, ","")IF(INDEX('MOA role matrix'!$B$2:$D$13,8,MATCH($B327,'MOA role matrix'!$B$1:$D$1,0))="If finance","LOA holder 2 (if finance), ","")IF(INDEX('MOA role matrix'!$B$2:$D$13,8,MATCH($B327,'MOA role matrix'!$B$1:$D$1,0))="Auto","LOA holder 2 (auto), ","")IF(INDEX('MOA role matrix'!$B$2:$D$13,9,MATCH($B327,'MOA role matrix'!$B$1:$D$1,0))="Fill","Senior Manager CoSec, ","")IF(INDEX('MOA role matrix'!$B$2:$D$13,9,MATCH($B327,'MOA role matrix'!$B$1:$D$1,0))="If finance","Senior Manager CoSec (if finance), ","")IF(INDEX('MOA role matrix'!$B$2:$D$13,9,MATCH($B327,'MOA role matrix'!$B$1:$D$1,0))="Auto","Senior Manager CoSec (auto), ","")IF(INDEX('MOA role matrix'!$B$2:$D$13,10,MATCH($B327,'MOA role matrix'!$B$1:$D$1,0))="Fill","Division MOI managers, ","")IF(INDEX('MOA role matrix'!$B$2:$D$13,10,MATCH($B327,'MOA role matrix'!$B$1:$D$1,0))="If finance","Division MOI managers (if finance), ","")IF(INDEX('MOA role matrix'!$B$2:$D$13,10,MATCH($B327,'MOA role matrix'!$B$1:$D$1,0))="Auto","Division MOI managers (auto), ","")IF(INDEX('MOA role matrix'!$B$2:$D$13,11,MATCH($B327,'MOA role matrix'!$B$1:$D$1,0))="Fill","Ms Teh (bank), ","")IF(INDEX('MOA role matrix'!$B$2:$D$13,11,MATCH($B327,'MOA role matrix'!$B$1:$D$1,0))="If finance","Ms Teh (bank) (if finance), ","")IF(INDEX('MOA role matrix'!$B$2:$D$13,11,MATCH($B327,'MOA role matrix'!$B$1:$D$1,0))="Auto","Ms Teh (bank) (auto), ","")IF(INDEX('MOA role matrix'!$B$2:$D$13,12,MATCH($B327,'MOA role matrix'!$B$1:$D$1,0))="Fill","DLCM, ","")IF(INDEX('MOA role matrix'!$B$2:$D$13,12,MATCH($B327,'MOA role matrix'!$B$1:$D$1,0))="If finance","DLCM (if finance), ","")IF(INDEX('MOA role matrix'!$B$2:$D$13,12,MATCH($B327,'MOA role matrix'!$B$1:$D$1,0))="Auto","DLCM (auto), ","")))</f>
        <v/>
      </c>
      <c r="D327" s="5">
        <f>IF($A327="","",IFERROR(INDEX(FILTER('Client contacts'!$B$2:$B$500,('Client contacts'!$A$2:$A$500=$A327)*('Client contacts'!$H$2:$H$500="Y"),""),1),""))</f>
        <v/>
      </c>
      <c r="E327" s="5">
        <f>IF($A327="","",IFERROR(INDEX(FILTER('Client contacts'!$C$2:$C$500,('Client contacts'!$A$2:$A$500=$A327)*('Client contacts'!$H$2:$H$500="Y"),""),1),""))</f>
        <v/>
      </c>
      <c r="F327" s="5">
        <f>IF($A327="","",IFERROR(INDEX(FILTER('Client contacts'!$B$2:$B$500,('Client contacts'!$A$2:$A$500=$A327)*('Client contacts'!$G$2:$G$500="Y"),""),1),""))</f>
        <v/>
      </c>
      <c r="G327" s="5">
        <f>IF($A327="","",IFERROR(INDEX(FILTER('Client contacts'!$C$2:$C$500,('Client contacts'!$A$2:$A$500=$A327)*('Client contacts'!$G$2:$G$500="Y"),""),1),""))</f>
        <v/>
      </c>
      <c r="H327" s="5">
        <f>IF($A327="","",IFERROR(INDEX(FILTER('Client contacts'!$B$2:$B$500,('Client contacts'!$A$2:$A$500=$A327)*('Client contacts'!$G$2:$G$500="Y"),""),2),""))</f>
        <v/>
      </c>
      <c r="I327" s="5">
        <f>IF($A327="","",IFERROR(INDEX(FILTER('Client contacts'!$C$2:$C$500,('Client contacts'!$A$2:$A$500=$A327)*('Client contacts'!$G$2:$G$500="Y"),""),2),""))</f>
        <v/>
      </c>
      <c r="J327" s="8" t="n"/>
      <c r="K327" s="8" t="n"/>
      <c r="L327" s="8" t="n"/>
      <c r="M327" s="8" t="n"/>
      <c r="N327" s="8" t="n"/>
      <c r="O327" s="8" t="n"/>
      <c r="P327" s="8" t="n"/>
      <c r="Q327" s="8" t="n"/>
      <c r="R327" s="5">
        <f>IF($A327="","",IFERROR(INDEX(Companies!$I$2:$I$500,MATCH($A327,Companies!$A$2:$A$500,0)),""))</f>
        <v/>
      </c>
      <c r="S327" s="8" t="n"/>
      <c r="T327" s="8" t="n"/>
      <c r="U327" s="8" t="n"/>
      <c r="V327" s="8" t="n"/>
      <c r="W327" s="8" t="n"/>
    </row>
    <row r="328">
      <c r="C328" s="5">
        <f>IF($B328="","",TRIM(IF(INDEX('MOA role matrix'!$B$2:$D$13,1,MATCH($B328,'MOA role matrix'!$B$1:$D$1,0))="Fill","Project initiator, ","")IF(INDEX('MOA role matrix'!$B$2:$D$13,1,MATCH($B328,'MOA role matrix'!$B$1:$D$1,0))="If finance","Project initiator (if finance), ","")IF(INDEX('MOA role matrix'!$B$2:$D$13,1,MATCH($B328,'MOA role matrix'!$B$1:$D$1,0))="Auto","Project initiator (auto), ","")IF(INDEX('MOA role matrix'!$B$2:$D$13,2,MATCH($B328,'MOA role matrix'!$B$1:$D$1,0))="Fill","MOA signers (client), ","")IF(INDEX('MOA role matrix'!$B$2:$D$13,2,MATCH($B328,'MOA role matrix'!$B$1:$D$1,0))="If finance","MOA signers (client) (if finance), ","")IF(INDEX('MOA role matrix'!$B$2:$D$13,2,MATCH($B328,'MOA role matrix'!$B$1:$D$1,0))="Auto","MOA signers (client) (auto), ","")IF(INDEX('MOA role matrix'!$B$2:$D$13,3,MATCH($B328,'MOA role matrix'!$B$1:$D$1,0))="Fill","CFO / Head of Finance, ","")IF(INDEX('MOA role matrix'!$B$2:$D$13,3,MATCH($B328,'MOA role matrix'!$B$1:$D$1,0))="If finance","CFO / Head of Finance (if finance), ","")IF(INDEX('MOA role matrix'!$B$2:$D$13,3,MATCH($B328,'MOA role matrix'!$B$1:$D$1,0))="Auto","CFO / Head of Finance (auto), ","")IF(INDEX('MOA role matrix'!$B$2:$D$13,4,MATCH($B328,'MOA role matrix'!$B$1:$D$1,0))="Fill","CEO / COO / GM, ","")IF(INDEX('MOA role matrix'!$B$2:$D$13,4,MATCH($B328,'MOA role matrix'!$B$1:$D$1,0))="If finance","CEO / COO / GM (if finance), ","")IF(INDEX('MOA role matrix'!$B$2:$D$13,4,MATCH($B328,'MOA role matrix'!$B$1:$D$1,0))="Auto","CEO / COO / GM (auto), ","")IF(INDEX('MOA role matrix'!$B$2:$D$13,5,MATCH($B328,'MOA role matrix'!$B$1:$D$1,0))="Fill","Board member 1, ","")IF(INDEX('MOA role matrix'!$B$2:$D$13,5,MATCH($B328,'MOA role matrix'!$B$1:$D$1,0))="If finance","Board member 1 (if finance), ","")IF(INDEX('MOA role matrix'!$B$2:$D$13,5,MATCH($B328,'MOA role matrix'!$B$1:$D$1,0))="Auto","Board member 1 (auto), ","")IF(INDEX('MOA role matrix'!$B$2:$D$13,6,MATCH($B328,'MOA role matrix'!$B$1:$D$1,0))="Fill","Board member 2, ","")IF(INDEX('MOA role matrix'!$B$2:$D$13,6,MATCH($B328,'MOA role matrix'!$B$1:$D$1,0))="If finance","Board member 2 (if finance), ","")IF(INDEX('MOA role matrix'!$B$2:$D$13,6,MATCH($B328,'MOA role matrix'!$B$1:$D$1,0))="Auto","Board member 2 (auto), ","")IF(INDEX('MOA role matrix'!$B$2:$D$13,7,MATCH($B328,'MOA role matrix'!$B$1:$D$1,0))="Fill","LOA holder 1, ","")IF(INDEX('MOA role matrix'!$B$2:$D$13,7,MATCH($B328,'MOA role matrix'!$B$1:$D$1,0))="If finance","LOA holder 1 (if finance), ","")IF(INDEX('MOA role matrix'!$B$2:$D$13,7,MATCH($B328,'MOA role matrix'!$B$1:$D$1,0))="Auto","LOA holder 1 (auto), ","")IF(INDEX('MOA role matrix'!$B$2:$D$13,8,MATCH($B328,'MOA role matrix'!$B$1:$D$1,0))="Fill","LOA holder 2, ","")IF(INDEX('MOA role matrix'!$B$2:$D$13,8,MATCH($B328,'MOA role matrix'!$B$1:$D$1,0))="If finance","LOA holder 2 (if finance), ","")IF(INDEX('MOA role matrix'!$B$2:$D$13,8,MATCH($B328,'MOA role matrix'!$B$1:$D$1,0))="Auto","LOA holder 2 (auto), ","")IF(INDEX('MOA role matrix'!$B$2:$D$13,9,MATCH($B328,'MOA role matrix'!$B$1:$D$1,0))="Fill","Senior Manager CoSec, ","")IF(INDEX('MOA role matrix'!$B$2:$D$13,9,MATCH($B328,'MOA role matrix'!$B$1:$D$1,0))="If finance","Senior Manager CoSec (if finance), ","")IF(INDEX('MOA role matrix'!$B$2:$D$13,9,MATCH($B328,'MOA role matrix'!$B$1:$D$1,0))="Auto","Senior Manager CoSec (auto), ","")IF(INDEX('MOA role matrix'!$B$2:$D$13,10,MATCH($B328,'MOA role matrix'!$B$1:$D$1,0))="Fill","Division MOI managers, ","")IF(INDEX('MOA role matrix'!$B$2:$D$13,10,MATCH($B328,'MOA role matrix'!$B$1:$D$1,0))="If finance","Division MOI managers (if finance), ","")IF(INDEX('MOA role matrix'!$B$2:$D$13,10,MATCH($B328,'MOA role matrix'!$B$1:$D$1,0))="Auto","Division MOI managers (auto), ","")IF(INDEX('MOA role matrix'!$B$2:$D$13,11,MATCH($B328,'MOA role matrix'!$B$1:$D$1,0))="Fill","Ms Teh (bank), ","")IF(INDEX('MOA role matrix'!$B$2:$D$13,11,MATCH($B328,'MOA role matrix'!$B$1:$D$1,0))="If finance","Ms Teh (bank) (if finance), ","")IF(INDEX('MOA role matrix'!$B$2:$D$13,11,MATCH($B328,'MOA role matrix'!$B$1:$D$1,0))="Auto","Ms Teh (bank) (auto), ","")IF(INDEX('MOA role matrix'!$B$2:$D$13,12,MATCH($B328,'MOA role matrix'!$B$1:$D$1,0))="Fill","DLCM, ","")IF(INDEX('MOA role matrix'!$B$2:$D$13,12,MATCH($B328,'MOA role matrix'!$B$1:$D$1,0))="If finance","DLCM (if finance), ","")IF(INDEX('MOA role matrix'!$B$2:$D$13,12,MATCH($B328,'MOA role matrix'!$B$1:$D$1,0))="Auto","DLCM (auto), ","")))</f>
        <v/>
      </c>
      <c r="D328" s="5">
        <f>IF($A328="","",IFERROR(INDEX(FILTER('Client contacts'!$B$2:$B$500,('Client contacts'!$A$2:$A$500=$A328)*('Client contacts'!$H$2:$H$500="Y"),""),1),""))</f>
        <v/>
      </c>
      <c r="E328" s="5">
        <f>IF($A328="","",IFERROR(INDEX(FILTER('Client contacts'!$C$2:$C$500,('Client contacts'!$A$2:$A$500=$A328)*('Client contacts'!$H$2:$H$500="Y"),""),1),""))</f>
        <v/>
      </c>
      <c r="F328" s="5">
        <f>IF($A328="","",IFERROR(INDEX(FILTER('Client contacts'!$B$2:$B$500,('Client contacts'!$A$2:$A$500=$A328)*('Client contacts'!$G$2:$G$500="Y"),""),1),""))</f>
        <v/>
      </c>
      <c r="G328" s="5">
        <f>IF($A328="","",IFERROR(INDEX(FILTER('Client contacts'!$C$2:$C$500,('Client contacts'!$A$2:$A$500=$A328)*('Client contacts'!$G$2:$G$500="Y"),""),1),""))</f>
        <v/>
      </c>
      <c r="H328" s="5">
        <f>IF($A328="","",IFERROR(INDEX(FILTER('Client contacts'!$B$2:$B$500,('Client contacts'!$A$2:$A$500=$A328)*('Client contacts'!$G$2:$G$500="Y"),""),2),""))</f>
        <v/>
      </c>
      <c r="I328" s="5">
        <f>IF($A328="","",IFERROR(INDEX(FILTER('Client contacts'!$C$2:$C$500,('Client contacts'!$A$2:$A$500=$A328)*('Client contacts'!$G$2:$G$500="Y"),""),2),""))</f>
        <v/>
      </c>
      <c r="J328" s="8" t="n"/>
      <c r="K328" s="8" t="n"/>
      <c r="L328" s="8" t="n"/>
      <c r="M328" s="8" t="n"/>
      <c r="N328" s="8" t="n"/>
      <c r="O328" s="8" t="n"/>
      <c r="P328" s="8" t="n"/>
      <c r="Q328" s="8" t="n"/>
      <c r="R328" s="5">
        <f>IF($A328="","",IFERROR(INDEX(Companies!$I$2:$I$500,MATCH($A328,Companies!$A$2:$A$500,0)),""))</f>
        <v/>
      </c>
      <c r="S328" s="8" t="n"/>
      <c r="T328" s="8" t="n"/>
      <c r="U328" s="8" t="n"/>
      <c r="V328" s="8" t="n"/>
      <c r="W328" s="8" t="n"/>
    </row>
    <row r="329">
      <c r="C329" s="5">
        <f>IF($B329="","",TRIM(IF(INDEX('MOA role matrix'!$B$2:$D$13,1,MATCH($B329,'MOA role matrix'!$B$1:$D$1,0))="Fill","Project initiator, ","")IF(INDEX('MOA role matrix'!$B$2:$D$13,1,MATCH($B329,'MOA role matrix'!$B$1:$D$1,0))="If finance","Project initiator (if finance), ","")IF(INDEX('MOA role matrix'!$B$2:$D$13,1,MATCH($B329,'MOA role matrix'!$B$1:$D$1,0))="Auto","Project initiator (auto), ","")IF(INDEX('MOA role matrix'!$B$2:$D$13,2,MATCH($B329,'MOA role matrix'!$B$1:$D$1,0))="Fill","MOA signers (client), ","")IF(INDEX('MOA role matrix'!$B$2:$D$13,2,MATCH($B329,'MOA role matrix'!$B$1:$D$1,0))="If finance","MOA signers (client) (if finance), ","")IF(INDEX('MOA role matrix'!$B$2:$D$13,2,MATCH($B329,'MOA role matrix'!$B$1:$D$1,0))="Auto","MOA signers (client) (auto), ","")IF(INDEX('MOA role matrix'!$B$2:$D$13,3,MATCH($B329,'MOA role matrix'!$B$1:$D$1,0))="Fill","CFO / Head of Finance, ","")IF(INDEX('MOA role matrix'!$B$2:$D$13,3,MATCH($B329,'MOA role matrix'!$B$1:$D$1,0))="If finance","CFO / Head of Finance (if finance), ","")IF(INDEX('MOA role matrix'!$B$2:$D$13,3,MATCH($B329,'MOA role matrix'!$B$1:$D$1,0))="Auto","CFO / Head of Finance (auto), ","")IF(INDEX('MOA role matrix'!$B$2:$D$13,4,MATCH($B329,'MOA role matrix'!$B$1:$D$1,0))="Fill","CEO / COO / GM, ","")IF(INDEX('MOA role matrix'!$B$2:$D$13,4,MATCH($B329,'MOA role matrix'!$B$1:$D$1,0))="If finance","CEO / COO / GM (if finance), ","")IF(INDEX('MOA role matrix'!$B$2:$D$13,4,MATCH($B329,'MOA role matrix'!$B$1:$D$1,0))="Auto","CEO / COO / GM (auto), ","")IF(INDEX('MOA role matrix'!$B$2:$D$13,5,MATCH($B329,'MOA role matrix'!$B$1:$D$1,0))="Fill","Board member 1, ","")IF(INDEX('MOA role matrix'!$B$2:$D$13,5,MATCH($B329,'MOA role matrix'!$B$1:$D$1,0))="If finance","Board member 1 (if finance), ","")IF(INDEX('MOA role matrix'!$B$2:$D$13,5,MATCH($B329,'MOA role matrix'!$B$1:$D$1,0))="Auto","Board member 1 (auto), ","")IF(INDEX('MOA role matrix'!$B$2:$D$13,6,MATCH($B329,'MOA role matrix'!$B$1:$D$1,0))="Fill","Board member 2, ","")IF(INDEX('MOA role matrix'!$B$2:$D$13,6,MATCH($B329,'MOA role matrix'!$B$1:$D$1,0))="If finance","Board member 2 (if finance), ","")IF(INDEX('MOA role matrix'!$B$2:$D$13,6,MATCH($B329,'MOA role matrix'!$B$1:$D$1,0))="Auto","Board member 2 (auto), ","")IF(INDEX('MOA role matrix'!$B$2:$D$13,7,MATCH($B329,'MOA role matrix'!$B$1:$D$1,0))="Fill","LOA holder 1, ","")IF(INDEX('MOA role matrix'!$B$2:$D$13,7,MATCH($B329,'MOA role matrix'!$B$1:$D$1,0))="If finance","LOA holder 1 (if finance), ","")IF(INDEX('MOA role matrix'!$B$2:$D$13,7,MATCH($B329,'MOA role matrix'!$B$1:$D$1,0))="Auto","LOA holder 1 (auto), ","")IF(INDEX('MOA role matrix'!$B$2:$D$13,8,MATCH($B329,'MOA role matrix'!$B$1:$D$1,0))="Fill","LOA holder 2, ","")IF(INDEX('MOA role matrix'!$B$2:$D$13,8,MATCH($B329,'MOA role matrix'!$B$1:$D$1,0))="If finance","LOA holder 2 (if finance), ","")IF(INDEX('MOA role matrix'!$B$2:$D$13,8,MATCH($B329,'MOA role matrix'!$B$1:$D$1,0))="Auto","LOA holder 2 (auto), ","")IF(INDEX('MOA role matrix'!$B$2:$D$13,9,MATCH($B329,'MOA role matrix'!$B$1:$D$1,0))="Fill","Senior Manager CoSec, ","")IF(INDEX('MOA role matrix'!$B$2:$D$13,9,MATCH($B329,'MOA role matrix'!$B$1:$D$1,0))="If finance","Senior Manager CoSec (if finance), ","")IF(INDEX('MOA role matrix'!$B$2:$D$13,9,MATCH($B329,'MOA role matrix'!$B$1:$D$1,0))="Auto","Senior Manager CoSec (auto), ","")IF(INDEX('MOA role matrix'!$B$2:$D$13,10,MATCH($B329,'MOA role matrix'!$B$1:$D$1,0))="Fill","Division MOI managers, ","")IF(INDEX('MOA role matrix'!$B$2:$D$13,10,MATCH($B329,'MOA role matrix'!$B$1:$D$1,0))="If finance","Division MOI managers (if finance), ","")IF(INDEX('MOA role matrix'!$B$2:$D$13,10,MATCH($B329,'MOA role matrix'!$B$1:$D$1,0))="Auto","Division MOI managers (auto), ","")IF(INDEX('MOA role matrix'!$B$2:$D$13,11,MATCH($B329,'MOA role matrix'!$B$1:$D$1,0))="Fill","Ms Teh (bank), ","")IF(INDEX('MOA role matrix'!$B$2:$D$13,11,MATCH($B329,'MOA role matrix'!$B$1:$D$1,0))="If finance","Ms Teh (bank) (if finance), ","")IF(INDEX('MOA role matrix'!$B$2:$D$13,11,MATCH($B329,'MOA role matrix'!$B$1:$D$1,0))="Auto","Ms Teh (bank) (auto), ","")IF(INDEX('MOA role matrix'!$B$2:$D$13,12,MATCH($B329,'MOA role matrix'!$B$1:$D$1,0))="Fill","DLCM, ","")IF(INDEX('MOA role matrix'!$B$2:$D$13,12,MATCH($B329,'MOA role matrix'!$B$1:$D$1,0))="If finance","DLCM (if finance), ","")IF(INDEX('MOA role matrix'!$B$2:$D$13,12,MATCH($B329,'MOA role matrix'!$B$1:$D$1,0))="Auto","DLCM (auto), ","")))</f>
        <v/>
      </c>
      <c r="D329" s="5">
        <f>IF($A329="","",IFERROR(INDEX(FILTER('Client contacts'!$B$2:$B$500,('Client contacts'!$A$2:$A$500=$A329)*('Client contacts'!$H$2:$H$500="Y"),""),1),""))</f>
        <v/>
      </c>
      <c r="E329" s="5">
        <f>IF($A329="","",IFERROR(INDEX(FILTER('Client contacts'!$C$2:$C$500,('Client contacts'!$A$2:$A$500=$A329)*('Client contacts'!$H$2:$H$500="Y"),""),1),""))</f>
        <v/>
      </c>
      <c r="F329" s="5">
        <f>IF($A329="","",IFERROR(INDEX(FILTER('Client contacts'!$B$2:$B$500,('Client contacts'!$A$2:$A$500=$A329)*('Client contacts'!$G$2:$G$500="Y"),""),1),""))</f>
        <v/>
      </c>
      <c r="G329" s="5">
        <f>IF($A329="","",IFERROR(INDEX(FILTER('Client contacts'!$C$2:$C$500,('Client contacts'!$A$2:$A$500=$A329)*('Client contacts'!$G$2:$G$500="Y"),""),1),""))</f>
        <v/>
      </c>
      <c r="H329" s="5">
        <f>IF($A329="","",IFERROR(INDEX(FILTER('Client contacts'!$B$2:$B$500,('Client contacts'!$A$2:$A$500=$A329)*('Client contacts'!$G$2:$G$500="Y"),""),2),""))</f>
        <v/>
      </c>
      <c r="I329" s="5">
        <f>IF($A329="","",IFERROR(INDEX(FILTER('Client contacts'!$C$2:$C$500,('Client contacts'!$A$2:$A$500=$A329)*('Client contacts'!$G$2:$G$500="Y"),""),2),""))</f>
        <v/>
      </c>
      <c r="J329" s="8" t="n"/>
      <c r="K329" s="8" t="n"/>
      <c r="L329" s="8" t="n"/>
      <c r="M329" s="8" t="n"/>
      <c r="N329" s="8" t="n"/>
      <c r="O329" s="8" t="n"/>
      <c r="P329" s="8" t="n"/>
      <c r="Q329" s="8" t="n"/>
      <c r="R329" s="5">
        <f>IF($A329="","",IFERROR(INDEX(Companies!$I$2:$I$500,MATCH($A329,Companies!$A$2:$A$500,0)),""))</f>
        <v/>
      </c>
      <c r="S329" s="8" t="n"/>
      <c r="T329" s="8" t="n"/>
      <c r="U329" s="8" t="n"/>
      <c r="V329" s="8" t="n"/>
      <c r="W329" s="8" t="n"/>
    </row>
    <row r="330">
      <c r="C330" s="5">
        <f>IF($B330="","",TRIM(IF(INDEX('MOA role matrix'!$B$2:$D$13,1,MATCH($B330,'MOA role matrix'!$B$1:$D$1,0))="Fill","Project initiator, ","")IF(INDEX('MOA role matrix'!$B$2:$D$13,1,MATCH($B330,'MOA role matrix'!$B$1:$D$1,0))="If finance","Project initiator (if finance), ","")IF(INDEX('MOA role matrix'!$B$2:$D$13,1,MATCH($B330,'MOA role matrix'!$B$1:$D$1,0))="Auto","Project initiator (auto), ","")IF(INDEX('MOA role matrix'!$B$2:$D$13,2,MATCH($B330,'MOA role matrix'!$B$1:$D$1,0))="Fill","MOA signers (client), ","")IF(INDEX('MOA role matrix'!$B$2:$D$13,2,MATCH($B330,'MOA role matrix'!$B$1:$D$1,0))="If finance","MOA signers (client) (if finance), ","")IF(INDEX('MOA role matrix'!$B$2:$D$13,2,MATCH($B330,'MOA role matrix'!$B$1:$D$1,0))="Auto","MOA signers (client) (auto), ","")IF(INDEX('MOA role matrix'!$B$2:$D$13,3,MATCH($B330,'MOA role matrix'!$B$1:$D$1,0))="Fill","CFO / Head of Finance, ","")IF(INDEX('MOA role matrix'!$B$2:$D$13,3,MATCH($B330,'MOA role matrix'!$B$1:$D$1,0))="If finance","CFO / Head of Finance (if finance), ","")IF(INDEX('MOA role matrix'!$B$2:$D$13,3,MATCH($B330,'MOA role matrix'!$B$1:$D$1,0))="Auto","CFO / Head of Finance (auto), ","")IF(INDEX('MOA role matrix'!$B$2:$D$13,4,MATCH($B330,'MOA role matrix'!$B$1:$D$1,0))="Fill","CEO / COO / GM, ","")IF(INDEX('MOA role matrix'!$B$2:$D$13,4,MATCH($B330,'MOA role matrix'!$B$1:$D$1,0))="If finance","CEO / COO / GM (if finance), ","")IF(INDEX('MOA role matrix'!$B$2:$D$13,4,MATCH($B330,'MOA role matrix'!$B$1:$D$1,0))="Auto","CEO / COO / GM (auto), ","")IF(INDEX('MOA role matrix'!$B$2:$D$13,5,MATCH($B330,'MOA role matrix'!$B$1:$D$1,0))="Fill","Board member 1, ","")IF(INDEX('MOA role matrix'!$B$2:$D$13,5,MATCH($B330,'MOA role matrix'!$B$1:$D$1,0))="If finance","Board member 1 (if finance), ","")IF(INDEX('MOA role matrix'!$B$2:$D$13,5,MATCH($B330,'MOA role matrix'!$B$1:$D$1,0))="Auto","Board member 1 (auto), ","")IF(INDEX('MOA role matrix'!$B$2:$D$13,6,MATCH($B330,'MOA role matrix'!$B$1:$D$1,0))="Fill","Board member 2, ","")IF(INDEX('MOA role matrix'!$B$2:$D$13,6,MATCH($B330,'MOA role matrix'!$B$1:$D$1,0))="If finance","Board member 2 (if finance), ","")IF(INDEX('MOA role matrix'!$B$2:$D$13,6,MATCH($B330,'MOA role matrix'!$B$1:$D$1,0))="Auto","Board member 2 (auto), ","")IF(INDEX('MOA role matrix'!$B$2:$D$13,7,MATCH($B330,'MOA role matrix'!$B$1:$D$1,0))="Fill","LOA holder 1, ","")IF(INDEX('MOA role matrix'!$B$2:$D$13,7,MATCH($B330,'MOA role matrix'!$B$1:$D$1,0))="If finance","LOA holder 1 (if finance), ","")IF(INDEX('MOA role matrix'!$B$2:$D$13,7,MATCH($B330,'MOA role matrix'!$B$1:$D$1,0))="Auto","LOA holder 1 (auto), ","")IF(INDEX('MOA role matrix'!$B$2:$D$13,8,MATCH($B330,'MOA role matrix'!$B$1:$D$1,0))="Fill","LOA holder 2, ","")IF(INDEX('MOA role matrix'!$B$2:$D$13,8,MATCH($B330,'MOA role matrix'!$B$1:$D$1,0))="If finance","LOA holder 2 (if finance), ","")IF(INDEX('MOA role matrix'!$B$2:$D$13,8,MATCH($B330,'MOA role matrix'!$B$1:$D$1,0))="Auto","LOA holder 2 (auto), ","")IF(INDEX('MOA role matrix'!$B$2:$D$13,9,MATCH($B330,'MOA role matrix'!$B$1:$D$1,0))="Fill","Senior Manager CoSec, ","")IF(INDEX('MOA role matrix'!$B$2:$D$13,9,MATCH($B330,'MOA role matrix'!$B$1:$D$1,0))="If finance","Senior Manager CoSec (if finance), ","")IF(INDEX('MOA role matrix'!$B$2:$D$13,9,MATCH($B330,'MOA role matrix'!$B$1:$D$1,0))="Auto","Senior Manager CoSec (auto), ","")IF(INDEX('MOA role matrix'!$B$2:$D$13,10,MATCH($B330,'MOA role matrix'!$B$1:$D$1,0))="Fill","Division MOI managers, ","")IF(INDEX('MOA role matrix'!$B$2:$D$13,10,MATCH($B330,'MOA role matrix'!$B$1:$D$1,0))="If finance","Division MOI managers (if finance), ","")IF(INDEX('MOA role matrix'!$B$2:$D$13,10,MATCH($B330,'MOA role matrix'!$B$1:$D$1,0))="Auto","Division MOI managers (auto), ","")IF(INDEX('MOA role matrix'!$B$2:$D$13,11,MATCH($B330,'MOA role matrix'!$B$1:$D$1,0))="Fill","Ms Teh (bank), ","")IF(INDEX('MOA role matrix'!$B$2:$D$13,11,MATCH($B330,'MOA role matrix'!$B$1:$D$1,0))="If finance","Ms Teh (bank) (if finance), ","")IF(INDEX('MOA role matrix'!$B$2:$D$13,11,MATCH($B330,'MOA role matrix'!$B$1:$D$1,0))="Auto","Ms Teh (bank) (auto), ","")IF(INDEX('MOA role matrix'!$B$2:$D$13,12,MATCH($B330,'MOA role matrix'!$B$1:$D$1,0))="Fill","DLCM, ","")IF(INDEX('MOA role matrix'!$B$2:$D$13,12,MATCH($B330,'MOA role matrix'!$B$1:$D$1,0))="If finance","DLCM (if finance), ","")IF(INDEX('MOA role matrix'!$B$2:$D$13,12,MATCH($B330,'MOA role matrix'!$B$1:$D$1,0))="Auto","DLCM (auto), ","")))</f>
        <v/>
      </c>
      <c r="D330" s="5">
        <f>IF($A330="","",IFERROR(INDEX(FILTER('Client contacts'!$B$2:$B$500,('Client contacts'!$A$2:$A$500=$A330)*('Client contacts'!$H$2:$H$500="Y"),""),1),""))</f>
        <v/>
      </c>
      <c r="E330" s="5">
        <f>IF($A330="","",IFERROR(INDEX(FILTER('Client contacts'!$C$2:$C$500,('Client contacts'!$A$2:$A$500=$A330)*('Client contacts'!$H$2:$H$500="Y"),""),1),""))</f>
        <v/>
      </c>
      <c r="F330" s="5">
        <f>IF($A330="","",IFERROR(INDEX(FILTER('Client contacts'!$B$2:$B$500,('Client contacts'!$A$2:$A$500=$A330)*('Client contacts'!$G$2:$G$500="Y"),""),1),""))</f>
        <v/>
      </c>
      <c r="G330" s="5">
        <f>IF($A330="","",IFERROR(INDEX(FILTER('Client contacts'!$C$2:$C$500,('Client contacts'!$A$2:$A$500=$A330)*('Client contacts'!$G$2:$G$500="Y"),""),1),""))</f>
        <v/>
      </c>
      <c r="H330" s="5">
        <f>IF($A330="","",IFERROR(INDEX(FILTER('Client contacts'!$B$2:$B$500,('Client contacts'!$A$2:$A$500=$A330)*('Client contacts'!$G$2:$G$500="Y"),""),2),""))</f>
        <v/>
      </c>
      <c r="I330" s="5">
        <f>IF($A330="","",IFERROR(INDEX(FILTER('Client contacts'!$C$2:$C$500,('Client contacts'!$A$2:$A$500=$A330)*('Client contacts'!$G$2:$G$500="Y"),""),2),""))</f>
        <v/>
      </c>
      <c r="J330" s="8" t="n"/>
      <c r="K330" s="8" t="n"/>
      <c r="L330" s="8" t="n"/>
      <c r="M330" s="8" t="n"/>
      <c r="N330" s="8" t="n"/>
      <c r="O330" s="8" t="n"/>
      <c r="P330" s="8" t="n"/>
      <c r="Q330" s="8" t="n"/>
      <c r="R330" s="5">
        <f>IF($A330="","",IFERROR(INDEX(Companies!$I$2:$I$500,MATCH($A330,Companies!$A$2:$A$500,0)),""))</f>
        <v/>
      </c>
      <c r="S330" s="8" t="n"/>
      <c r="T330" s="8" t="n"/>
      <c r="U330" s="8" t="n"/>
      <c r="V330" s="8" t="n"/>
      <c r="W330" s="8" t="n"/>
    </row>
    <row r="331">
      <c r="C331" s="5">
        <f>IF($B331="","",TRIM(IF(INDEX('MOA role matrix'!$B$2:$D$13,1,MATCH($B331,'MOA role matrix'!$B$1:$D$1,0))="Fill","Project initiator, ","")IF(INDEX('MOA role matrix'!$B$2:$D$13,1,MATCH($B331,'MOA role matrix'!$B$1:$D$1,0))="If finance","Project initiator (if finance), ","")IF(INDEX('MOA role matrix'!$B$2:$D$13,1,MATCH($B331,'MOA role matrix'!$B$1:$D$1,0))="Auto","Project initiator (auto), ","")IF(INDEX('MOA role matrix'!$B$2:$D$13,2,MATCH($B331,'MOA role matrix'!$B$1:$D$1,0))="Fill","MOA signers (client), ","")IF(INDEX('MOA role matrix'!$B$2:$D$13,2,MATCH($B331,'MOA role matrix'!$B$1:$D$1,0))="If finance","MOA signers (client) (if finance), ","")IF(INDEX('MOA role matrix'!$B$2:$D$13,2,MATCH($B331,'MOA role matrix'!$B$1:$D$1,0))="Auto","MOA signers (client) (auto), ","")IF(INDEX('MOA role matrix'!$B$2:$D$13,3,MATCH($B331,'MOA role matrix'!$B$1:$D$1,0))="Fill","CFO / Head of Finance, ","")IF(INDEX('MOA role matrix'!$B$2:$D$13,3,MATCH($B331,'MOA role matrix'!$B$1:$D$1,0))="If finance","CFO / Head of Finance (if finance), ","")IF(INDEX('MOA role matrix'!$B$2:$D$13,3,MATCH($B331,'MOA role matrix'!$B$1:$D$1,0))="Auto","CFO / Head of Finance (auto), ","")IF(INDEX('MOA role matrix'!$B$2:$D$13,4,MATCH($B331,'MOA role matrix'!$B$1:$D$1,0))="Fill","CEO / COO / GM, ","")IF(INDEX('MOA role matrix'!$B$2:$D$13,4,MATCH($B331,'MOA role matrix'!$B$1:$D$1,0))="If finance","CEO / COO / GM (if finance), ","")IF(INDEX('MOA role matrix'!$B$2:$D$13,4,MATCH($B331,'MOA role matrix'!$B$1:$D$1,0))="Auto","CEO / COO / GM (auto), ","")IF(INDEX('MOA role matrix'!$B$2:$D$13,5,MATCH($B331,'MOA role matrix'!$B$1:$D$1,0))="Fill","Board member 1, ","")IF(INDEX('MOA role matrix'!$B$2:$D$13,5,MATCH($B331,'MOA role matrix'!$B$1:$D$1,0))="If finance","Board member 1 (if finance), ","")IF(INDEX('MOA role matrix'!$B$2:$D$13,5,MATCH($B331,'MOA role matrix'!$B$1:$D$1,0))="Auto","Board member 1 (auto), ","")IF(INDEX('MOA role matrix'!$B$2:$D$13,6,MATCH($B331,'MOA role matrix'!$B$1:$D$1,0))="Fill","Board member 2, ","")IF(INDEX('MOA role matrix'!$B$2:$D$13,6,MATCH($B331,'MOA role matrix'!$B$1:$D$1,0))="If finance","Board member 2 (if finance), ","")IF(INDEX('MOA role matrix'!$B$2:$D$13,6,MATCH($B331,'MOA role matrix'!$B$1:$D$1,0))="Auto","Board member 2 (auto), ","")IF(INDEX('MOA role matrix'!$B$2:$D$13,7,MATCH($B331,'MOA role matrix'!$B$1:$D$1,0))="Fill","LOA holder 1, ","")IF(INDEX('MOA role matrix'!$B$2:$D$13,7,MATCH($B331,'MOA role matrix'!$B$1:$D$1,0))="If finance","LOA holder 1 (if finance), ","")IF(INDEX('MOA role matrix'!$B$2:$D$13,7,MATCH($B331,'MOA role matrix'!$B$1:$D$1,0))="Auto","LOA holder 1 (auto), ","")IF(INDEX('MOA role matrix'!$B$2:$D$13,8,MATCH($B331,'MOA role matrix'!$B$1:$D$1,0))="Fill","LOA holder 2, ","")IF(INDEX('MOA role matrix'!$B$2:$D$13,8,MATCH($B331,'MOA role matrix'!$B$1:$D$1,0))="If finance","LOA holder 2 (if finance), ","")IF(INDEX('MOA role matrix'!$B$2:$D$13,8,MATCH($B331,'MOA role matrix'!$B$1:$D$1,0))="Auto","LOA holder 2 (auto), ","")IF(INDEX('MOA role matrix'!$B$2:$D$13,9,MATCH($B331,'MOA role matrix'!$B$1:$D$1,0))="Fill","Senior Manager CoSec, ","")IF(INDEX('MOA role matrix'!$B$2:$D$13,9,MATCH($B331,'MOA role matrix'!$B$1:$D$1,0))="If finance","Senior Manager CoSec (if finance), ","")IF(INDEX('MOA role matrix'!$B$2:$D$13,9,MATCH($B331,'MOA role matrix'!$B$1:$D$1,0))="Auto","Senior Manager CoSec (auto), ","")IF(INDEX('MOA role matrix'!$B$2:$D$13,10,MATCH($B331,'MOA role matrix'!$B$1:$D$1,0))="Fill","Division MOI managers, ","")IF(INDEX('MOA role matrix'!$B$2:$D$13,10,MATCH($B331,'MOA role matrix'!$B$1:$D$1,0))="If finance","Division MOI managers (if finance), ","")IF(INDEX('MOA role matrix'!$B$2:$D$13,10,MATCH($B331,'MOA role matrix'!$B$1:$D$1,0))="Auto","Division MOI managers (auto), ","")IF(INDEX('MOA role matrix'!$B$2:$D$13,11,MATCH($B331,'MOA role matrix'!$B$1:$D$1,0))="Fill","Ms Teh (bank), ","")IF(INDEX('MOA role matrix'!$B$2:$D$13,11,MATCH($B331,'MOA role matrix'!$B$1:$D$1,0))="If finance","Ms Teh (bank) (if finance), ","")IF(INDEX('MOA role matrix'!$B$2:$D$13,11,MATCH($B331,'MOA role matrix'!$B$1:$D$1,0))="Auto","Ms Teh (bank) (auto), ","")IF(INDEX('MOA role matrix'!$B$2:$D$13,12,MATCH($B331,'MOA role matrix'!$B$1:$D$1,0))="Fill","DLCM, ","")IF(INDEX('MOA role matrix'!$B$2:$D$13,12,MATCH($B331,'MOA role matrix'!$B$1:$D$1,0))="If finance","DLCM (if finance), ","")IF(INDEX('MOA role matrix'!$B$2:$D$13,12,MATCH($B331,'MOA role matrix'!$B$1:$D$1,0))="Auto","DLCM (auto), ","")))</f>
        <v/>
      </c>
      <c r="D331" s="5">
        <f>IF($A331="","",IFERROR(INDEX(FILTER('Client contacts'!$B$2:$B$500,('Client contacts'!$A$2:$A$500=$A331)*('Client contacts'!$H$2:$H$500="Y"),""),1),""))</f>
        <v/>
      </c>
      <c r="E331" s="5">
        <f>IF($A331="","",IFERROR(INDEX(FILTER('Client contacts'!$C$2:$C$500,('Client contacts'!$A$2:$A$500=$A331)*('Client contacts'!$H$2:$H$500="Y"),""),1),""))</f>
        <v/>
      </c>
      <c r="F331" s="5">
        <f>IF($A331="","",IFERROR(INDEX(FILTER('Client contacts'!$B$2:$B$500,('Client contacts'!$A$2:$A$500=$A331)*('Client contacts'!$G$2:$G$500="Y"),""),1),""))</f>
        <v/>
      </c>
      <c r="G331" s="5">
        <f>IF($A331="","",IFERROR(INDEX(FILTER('Client contacts'!$C$2:$C$500,('Client contacts'!$A$2:$A$500=$A331)*('Client contacts'!$G$2:$G$500="Y"),""),1),""))</f>
        <v/>
      </c>
      <c r="H331" s="5">
        <f>IF($A331="","",IFERROR(INDEX(FILTER('Client contacts'!$B$2:$B$500,('Client contacts'!$A$2:$A$500=$A331)*('Client contacts'!$G$2:$G$500="Y"),""),2),""))</f>
        <v/>
      </c>
      <c r="I331" s="5">
        <f>IF($A331="","",IFERROR(INDEX(FILTER('Client contacts'!$C$2:$C$500,('Client contacts'!$A$2:$A$500=$A331)*('Client contacts'!$G$2:$G$500="Y"),""),2),""))</f>
        <v/>
      </c>
      <c r="J331" s="8" t="n"/>
      <c r="K331" s="8" t="n"/>
      <c r="L331" s="8" t="n"/>
      <c r="M331" s="8" t="n"/>
      <c r="N331" s="8" t="n"/>
      <c r="O331" s="8" t="n"/>
      <c r="P331" s="8" t="n"/>
      <c r="Q331" s="8" t="n"/>
      <c r="R331" s="5">
        <f>IF($A331="","",IFERROR(INDEX(Companies!$I$2:$I$500,MATCH($A331,Companies!$A$2:$A$500,0)),""))</f>
        <v/>
      </c>
      <c r="S331" s="8" t="n"/>
      <c r="T331" s="8" t="n"/>
      <c r="U331" s="8" t="n"/>
      <c r="V331" s="8" t="n"/>
      <c r="W331" s="8" t="n"/>
    </row>
    <row r="332">
      <c r="C332" s="5">
        <f>IF($B332="","",TRIM(IF(INDEX('MOA role matrix'!$B$2:$D$13,1,MATCH($B332,'MOA role matrix'!$B$1:$D$1,0))="Fill","Project initiator, ","")IF(INDEX('MOA role matrix'!$B$2:$D$13,1,MATCH($B332,'MOA role matrix'!$B$1:$D$1,0))="If finance","Project initiator (if finance), ","")IF(INDEX('MOA role matrix'!$B$2:$D$13,1,MATCH($B332,'MOA role matrix'!$B$1:$D$1,0))="Auto","Project initiator (auto), ","")IF(INDEX('MOA role matrix'!$B$2:$D$13,2,MATCH($B332,'MOA role matrix'!$B$1:$D$1,0))="Fill","MOA signers (client), ","")IF(INDEX('MOA role matrix'!$B$2:$D$13,2,MATCH($B332,'MOA role matrix'!$B$1:$D$1,0))="If finance","MOA signers (client) (if finance), ","")IF(INDEX('MOA role matrix'!$B$2:$D$13,2,MATCH($B332,'MOA role matrix'!$B$1:$D$1,0))="Auto","MOA signers (client) (auto), ","")IF(INDEX('MOA role matrix'!$B$2:$D$13,3,MATCH($B332,'MOA role matrix'!$B$1:$D$1,0))="Fill","CFO / Head of Finance, ","")IF(INDEX('MOA role matrix'!$B$2:$D$13,3,MATCH($B332,'MOA role matrix'!$B$1:$D$1,0))="If finance","CFO / Head of Finance (if finance), ","")IF(INDEX('MOA role matrix'!$B$2:$D$13,3,MATCH($B332,'MOA role matrix'!$B$1:$D$1,0))="Auto","CFO / Head of Finance (auto), ","")IF(INDEX('MOA role matrix'!$B$2:$D$13,4,MATCH($B332,'MOA role matrix'!$B$1:$D$1,0))="Fill","CEO / COO / GM, ","")IF(INDEX('MOA role matrix'!$B$2:$D$13,4,MATCH($B332,'MOA role matrix'!$B$1:$D$1,0))="If finance","CEO / COO / GM (if finance), ","")IF(INDEX('MOA role matrix'!$B$2:$D$13,4,MATCH($B332,'MOA role matrix'!$B$1:$D$1,0))="Auto","CEO / COO / GM (auto), ","")IF(INDEX('MOA role matrix'!$B$2:$D$13,5,MATCH($B332,'MOA role matrix'!$B$1:$D$1,0))="Fill","Board member 1, ","")IF(INDEX('MOA role matrix'!$B$2:$D$13,5,MATCH($B332,'MOA role matrix'!$B$1:$D$1,0))="If finance","Board member 1 (if finance), ","")IF(INDEX('MOA role matrix'!$B$2:$D$13,5,MATCH($B332,'MOA role matrix'!$B$1:$D$1,0))="Auto","Board member 1 (auto), ","")IF(INDEX('MOA role matrix'!$B$2:$D$13,6,MATCH($B332,'MOA role matrix'!$B$1:$D$1,0))="Fill","Board member 2, ","")IF(INDEX('MOA role matrix'!$B$2:$D$13,6,MATCH($B332,'MOA role matrix'!$B$1:$D$1,0))="If finance","Board member 2 (if finance), ","")IF(INDEX('MOA role matrix'!$B$2:$D$13,6,MATCH($B332,'MOA role matrix'!$B$1:$D$1,0))="Auto","Board member 2 (auto), ","")IF(INDEX('MOA role matrix'!$B$2:$D$13,7,MATCH($B332,'MOA role matrix'!$B$1:$D$1,0))="Fill","LOA holder 1, ","")IF(INDEX('MOA role matrix'!$B$2:$D$13,7,MATCH($B332,'MOA role matrix'!$B$1:$D$1,0))="If finance","LOA holder 1 (if finance), ","")IF(INDEX('MOA role matrix'!$B$2:$D$13,7,MATCH($B332,'MOA role matrix'!$B$1:$D$1,0))="Auto","LOA holder 1 (auto), ","")IF(INDEX('MOA role matrix'!$B$2:$D$13,8,MATCH($B332,'MOA role matrix'!$B$1:$D$1,0))="Fill","LOA holder 2, ","")IF(INDEX('MOA role matrix'!$B$2:$D$13,8,MATCH($B332,'MOA role matrix'!$B$1:$D$1,0))="If finance","LOA holder 2 (if finance), ","")IF(INDEX('MOA role matrix'!$B$2:$D$13,8,MATCH($B332,'MOA role matrix'!$B$1:$D$1,0))="Auto","LOA holder 2 (auto), ","")IF(INDEX('MOA role matrix'!$B$2:$D$13,9,MATCH($B332,'MOA role matrix'!$B$1:$D$1,0))="Fill","Senior Manager CoSec, ","")IF(INDEX('MOA role matrix'!$B$2:$D$13,9,MATCH($B332,'MOA role matrix'!$B$1:$D$1,0))="If finance","Senior Manager CoSec (if finance), ","")IF(INDEX('MOA role matrix'!$B$2:$D$13,9,MATCH($B332,'MOA role matrix'!$B$1:$D$1,0))="Auto","Senior Manager CoSec (auto), ","")IF(INDEX('MOA role matrix'!$B$2:$D$13,10,MATCH($B332,'MOA role matrix'!$B$1:$D$1,0))="Fill","Division MOI managers, ","")IF(INDEX('MOA role matrix'!$B$2:$D$13,10,MATCH($B332,'MOA role matrix'!$B$1:$D$1,0))="If finance","Division MOI managers (if finance), ","")IF(INDEX('MOA role matrix'!$B$2:$D$13,10,MATCH($B332,'MOA role matrix'!$B$1:$D$1,0))="Auto","Division MOI managers (auto), ","")IF(INDEX('MOA role matrix'!$B$2:$D$13,11,MATCH($B332,'MOA role matrix'!$B$1:$D$1,0))="Fill","Ms Teh (bank), ","")IF(INDEX('MOA role matrix'!$B$2:$D$13,11,MATCH($B332,'MOA role matrix'!$B$1:$D$1,0))="If finance","Ms Teh (bank) (if finance), ","")IF(INDEX('MOA role matrix'!$B$2:$D$13,11,MATCH($B332,'MOA role matrix'!$B$1:$D$1,0))="Auto","Ms Teh (bank) (auto), ","")IF(INDEX('MOA role matrix'!$B$2:$D$13,12,MATCH($B332,'MOA role matrix'!$B$1:$D$1,0))="Fill","DLCM, ","")IF(INDEX('MOA role matrix'!$B$2:$D$13,12,MATCH($B332,'MOA role matrix'!$B$1:$D$1,0))="If finance","DLCM (if finance), ","")IF(INDEX('MOA role matrix'!$B$2:$D$13,12,MATCH($B332,'MOA role matrix'!$B$1:$D$1,0))="Auto","DLCM (auto), ","")))</f>
        <v/>
      </c>
      <c r="D332" s="5">
        <f>IF($A332="","",IFERROR(INDEX(FILTER('Client contacts'!$B$2:$B$500,('Client contacts'!$A$2:$A$500=$A332)*('Client contacts'!$H$2:$H$500="Y"),""),1),""))</f>
        <v/>
      </c>
      <c r="E332" s="5">
        <f>IF($A332="","",IFERROR(INDEX(FILTER('Client contacts'!$C$2:$C$500,('Client contacts'!$A$2:$A$500=$A332)*('Client contacts'!$H$2:$H$500="Y"),""),1),""))</f>
        <v/>
      </c>
      <c r="F332" s="5">
        <f>IF($A332="","",IFERROR(INDEX(FILTER('Client contacts'!$B$2:$B$500,('Client contacts'!$A$2:$A$500=$A332)*('Client contacts'!$G$2:$G$500="Y"),""),1),""))</f>
        <v/>
      </c>
      <c r="G332" s="5">
        <f>IF($A332="","",IFERROR(INDEX(FILTER('Client contacts'!$C$2:$C$500,('Client contacts'!$A$2:$A$500=$A332)*('Client contacts'!$G$2:$G$500="Y"),""),1),""))</f>
        <v/>
      </c>
      <c r="H332" s="5">
        <f>IF($A332="","",IFERROR(INDEX(FILTER('Client contacts'!$B$2:$B$500,('Client contacts'!$A$2:$A$500=$A332)*('Client contacts'!$G$2:$G$500="Y"),""),2),""))</f>
        <v/>
      </c>
      <c r="I332" s="5">
        <f>IF($A332="","",IFERROR(INDEX(FILTER('Client contacts'!$C$2:$C$500,('Client contacts'!$A$2:$A$500=$A332)*('Client contacts'!$G$2:$G$500="Y"),""),2),""))</f>
        <v/>
      </c>
      <c r="J332" s="8" t="n"/>
      <c r="K332" s="8" t="n"/>
      <c r="L332" s="8" t="n"/>
      <c r="M332" s="8" t="n"/>
      <c r="N332" s="8" t="n"/>
      <c r="O332" s="8" t="n"/>
      <c r="P332" s="8" t="n"/>
      <c r="Q332" s="8" t="n"/>
      <c r="R332" s="5">
        <f>IF($A332="","",IFERROR(INDEX(Companies!$I$2:$I$500,MATCH($A332,Companies!$A$2:$A$500,0)),""))</f>
        <v/>
      </c>
      <c r="S332" s="8" t="n"/>
      <c r="T332" s="8" t="n"/>
      <c r="U332" s="8" t="n"/>
      <c r="V332" s="8" t="n"/>
      <c r="W332" s="8" t="n"/>
    </row>
    <row r="333">
      <c r="C333" s="5">
        <f>IF($B333="","",TRIM(IF(INDEX('MOA role matrix'!$B$2:$D$13,1,MATCH($B333,'MOA role matrix'!$B$1:$D$1,0))="Fill","Project initiator, ","")IF(INDEX('MOA role matrix'!$B$2:$D$13,1,MATCH($B333,'MOA role matrix'!$B$1:$D$1,0))="If finance","Project initiator (if finance), ","")IF(INDEX('MOA role matrix'!$B$2:$D$13,1,MATCH($B333,'MOA role matrix'!$B$1:$D$1,0))="Auto","Project initiator (auto), ","")IF(INDEX('MOA role matrix'!$B$2:$D$13,2,MATCH($B333,'MOA role matrix'!$B$1:$D$1,0))="Fill","MOA signers (client), ","")IF(INDEX('MOA role matrix'!$B$2:$D$13,2,MATCH($B333,'MOA role matrix'!$B$1:$D$1,0))="If finance","MOA signers (client) (if finance), ","")IF(INDEX('MOA role matrix'!$B$2:$D$13,2,MATCH($B333,'MOA role matrix'!$B$1:$D$1,0))="Auto","MOA signers (client) (auto), ","")IF(INDEX('MOA role matrix'!$B$2:$D$13,3,MATCH($B333,'MOA role matrix'!$B$1:$D$1,0))="Fill","CFO / Head of Finance, ","")IF(INDEX('MOA role matrix'!$B$2:$D$13,3,MATCH($B333,'MOA role matrix'!$B$1:$D$1,0))="If finance","CFO / Head of Finance (if finance), ","")IF(INDEX('MOA role matrix'!$B$2:$D$13,3,MATCH($B333,'MOA role matrix'!$B$1:$D$1,0))="Auto","CFO / Head of Finance (auto), ","")IF(INDEX('MOA role matrix'!$B$2:$D$13,4,MATCH($B333,'MOA role matrix'!$B$1:$D$1,0))="Fill","CEO / COO / GM, ","")IF(INDEX('MOA role matrix'!$B$2:$D$13,4,MATCH($B333,'MOA role matrix'!$B$1:$D$1,0))="If finance","CEO / COO / GM (if finance), ","")IF(INDEX('MOA role matrix'!$B$2:$D$13,4,MATCH($B333,'MOA role matrix'!$B$1:$D$1,0))="Auto","CEO / COO / GM (auto), ","")IF(INDEX('MOA role matrix'!$B$2:$D$13,5,MATCH($B333,'MOA role matrix'!$B$1:$D$1,0))="Fill","Board member 1, ","")IF(INDEX('MOA role matrix'!$B$2:$D$13,5,MATCH($B333,'MOA role matrix'!$B$1:$D$1,0))="If finance","Board member 1 (if finance), ","")IF(INDEX('MOA role matrix'!$B$2:$D$13,5,MATCH($B333,'MOA role matrix'!$B$1:$D$1,0))="Auto","Board member 1 (auto), ","")IF(INDEX('MOA role matrix'!$B$2:$D$13,6,MATCH($B333,'MOA role matrix'!$B$1:$D$1,0))="Fill","Board member 2, ","")IF(INDEX('MOA role matrix'!$B$2:$D$13,6,MATCH($B333,'MOA role matrix'!$B$1:$D$1,0))="If finance","Board member 2 (if finance), ","")IF(INDEX('MOA role matrix'!$B$2:$D$13,6,MATCH($B333,'MOA role matrix'!$B$1:$D$1,0))="Auto","Board member 2 (auto), ","")IF(INDEX('MOA role matrix'!$B$2:$D$13,7,MATCH($B333,'MOA role matrix'!$B$1:$D$1,0))="Fill","LOA holder 1, ","")IF(INDEX('MOA role matrix'!$B$2:$D$13,7,MATCH($B333,'MOA role matrix'!$B$1:$D$1,0))="If finance","LOA holder 1 (if finance), ","")IF(INDEX('MOA role matrix'!$B$2:$D$13,7,MATCH($B333,'MOA role matrix'!$B$1:$D$1,0))="Auto","LOA holder 1 (auto), ","")IF(INDEX('MOA role matrix'!$B$2:$D$13,8,MATCH($B333,'MOA role matrix'!$B$1:$D$1,0))="Fill","LOA holder 2, ","")IF(INDEX('MOA role matrix'!$B$2:$D$13,8,MATCH($B333,'MOA role matrix'!$B$1:$D$1,0))="If finance","LOA holder 2 (if finance), ","")IF(INDEX('MOA role matrix'!$B$2:$D$13,8,MATCH($B333,'MOA role matrix'!$B$1:$D$1,0))="Auto","LOA holder 2 (auto), ","")IF(INDEX('MOA role matrix'!$B$2:$D$13,9,MATCH($B333,'MOA role matrix'!$B$1:$D$1,0))="Fill","Senior Manager CoSec, ","")IF(INDEX('MOA role matrix'!$B$2:$D$13,9,MATCH($B333,'MOA role matrix'!$B$1:$D$1,0))="If finance","Senior Manager CoSec (if finance), ","")IF(INDEX('MOA role matrix'!$B$2:$D$13,9,MATCH($B333,'MOA role matrix'!$B$1:$D$1,0))="Auto","Senior Manager CoSec (auto), ","")IF(INDEX('MOA role matrix'!$B$2:$D$13,10,MATCH($B333,'MOA role matrix'!$B$1:$D$1,0))="Fill","Division MOI managers, ","")IF(INDEX('MOA role matrix'!$B$2:$D$13,10,MATCH($B333,'MOA role matrix'!$B$1:$D$1,0))="If finance","Division MOI managers (if finance), ","")IF(INDEX('MOA role matrix'!$B$2:$D$13,10,MATCH($B333,'MOA role matrix'!$B$1:$D$1,0))="Auto","Division MOI managers (auto), ","")IF(INDEX('MOA role matrix'!$B$2:$D$13,11,MATCH($B333,'MOA role matrix'!$B$1:$D$1,0))="Fill","Ms Teh (bank), ","")IF(INDEX('MOA role matrix'!$B$2:$D$13,11,MATCH($B333,'MOA role matrix'!$B$1:$D$1,0))="If finance","Ms Teh (bank) (if finance), ","")IF(INDEX('MOA role matrix'!$B$2:$D$13,11,MATCH($B333,'MOA role matrix'!$B$1:$D$1,0))="Auto","Ms Teh (bank) (auto), ","")IF(INDEX('MOA role matrix'!$B$2:$D$13,12,MATCH($B333,'MOA role matrix'!$B$1:$D$1,0))="Fill","DLCM, ","")IF(INDEX('MOA role matrix'!$B$2:$D$13,12,MATCH($B333,'MOA role matrix'!$B$1:$D$1,0))="If finance","DLCM (if finance), ","")IF(INDEX('MOA role matrix'!$B$2:$D$13,12,MATCH($B333,'MOA role matrix'!$B$1:$D$1,0))="Auto","DLCM (auto), ","")))</f>
        <v/>
      </c>
      <c r="D333" s="5">
        <f>IF($A333="","",IFERROR(INDEX(FILTER('Client contacts'!$B$2:$B$500,('Client contacts'!$A$2:$A$500=$A333)*('Client contacts'!$H$2:$H$500="Y"),""),1),""))</f>
        <v/>
      </c>
      <c r="E333" s="5">
        <f>IF($A333="","",IFERROR(INDEX(FILTER('Client contacts'!$C$2:$C$500,('Client contacts'!$A$2:$A$500=$A333)*('Client contacts'!$H$2:$H$500="Y"),""),1),""))</f>
        <v/>
      </c>
      <c r="F333" s="5">
        <f>IF($A333="","",IFERROR(INDEX(FILTER('Client contacts'!$B$2:$B$500,('Client contacts'!$A$2:$A$500=$A333)*('Client contacts'!$G$2:$G$500="Y"),""),1),""))</f>
        <v/>
      </c>
      <c r="G333" s="5">
        <f>IF($A333="","",IFERROR(INDEX(FILTER('Client contacts'!$C$2:$C$500,('Client contacts'!$A$2:$A$500=$A333)*('Client contacts'!$G$2:$G$500="Y"),""),1),""))</f>
        <v/>
      </c>
      <c r="H333" s="5">
        <f>IF($A333="","",IFERROR(INDEX(FILTER('Client contacts'!$B$2:$B$500,('Client contacts'!$A$2:$A$500=$A333)*('Client contacts'!$G$2:$G$500="Y"),""),2),""))</f>
        <v/>
      </c>
      <c r="I333" s="5">
        <f>IF($A333="","",IFERROR(INDEX(FILTER('Client contacts'!$C$2:$C$500,('Client contacts'!$A$2:$A$500=$A333)*('Client contacts'!$G$2:$G$500="Y"),""),2),""))</f>
        <v/>
      </c>
      <c r="J333" s="8" t="n"/>
      <c r="K333" s="8" t="n"/>
      <c r="L333" s="8" t="n"/>
      <c r="M333" s="8" t="n"/>
      <c r="N333" s="8" t="n"/>
      <c r="O333" s="8" t="n"/>
      <c r="P333" s="8" t="n"/>
      <c r="Q333" s="8" t="n"/>
      <c r="R333" s="5">
        <f>IF($A333="","",IFERROR(INDEX(Companies!$I$2:$I$500,MATCH($A333,Companies!$A$2:$A$500,0)),""))</f>
        <v/>
      </c>
      <c r="S333" s="8" t="n"/>
      <c r="T333" s="8" t="n"/>
      <c r="U333" s="8" t="n"/>
      <c r="V333" s="8" t="n"/>
      <c r="W333" s="8" t="n"/>
    </row>
    <row r="334">
      <c r="C334" s="5">
        <f>IF($B334="","",TRIM(IF(INDEX('MOA role matrix'!$B$2:$D$13,1,MATCH($B334,'MOA role matrix'!$B$1:$D$1,0))="Fill","Project initiator, ","")IF(INDEX('MOA role matrix'!$B$2:$D$13,1,MATCH($B334,'MOA role matrix'!$B$1:$D$1,0))="If finance","Project initiator (if finance), ","")IF(INDEX('MOA role matrix'!$B$2:$D$13,1,MATCH($B334,'MOA role matrix'!$B$1:$D$1,0))="Auto","Project initiator (auto), ","")IF(INDEX('MOA role matrix'!$B$2:$D$13,2,MATCH($B334,'MOA role matrix'!$B$1:$D$1,0))="Fill","MOA signers (client), ","")IF(INDEX('MOA role matrix'!$B$2:$D$13,2,MATCH($B334,'MOA role matrix'!$B$1:$D$1,0))="If finance","MOA signers (client) (if finance), ","")IF(INDEX('MOA role matrix'!$B$2:$D$13,2,MATCH($B334,'MOA role matrix'!$B$1:$D$1,0))="Auto","MOA signers (client) (auto), ","")IF(INDEX('MOA role matrix'!$B$2:$D$13,3,MATCH($B334,'MOA role matrix'!$B$1:$D$1,0))="Fill","CFO / Head of Finance, ","")IF(INDEX('MOA role matrix'!$B$2:$D$13,3,MATCH($B334,'MOA role matrix'!$B$1:$D$1,0))="If finance","CFO / Head of Finance (if finance), ","")IF(INDEX('MOA role matrix'!$B$2:$D$13,3,MATCH($B334,'MOA role matrix'!$B$1:$D$1,0))="Auto","CFO / Head of Finance (auto), ","")IF(INDEX('MOA role matrix'!$B$2:$D$13,4,MATCH($B334,'MOA role matrix'!$B$1:$D$1,0))="Fill","CEO / COO / GM, ","")IF(INDEX('MOA role matrix'!$B$2:$D$13,4,MATCH($B334,'MOA role matrix'!$B$1:$D$1,0))="If finance","CEO / COO / GM (if finance), ","")IF(INDEX('MOA role matrix'!$B$2:$D$13,4,MATCH($B334,'MOA role matrix'!$B$1:$D$1,0))="Auto","CEO / COO / GM (auto), ","")IF(INDEX('MOA role matrix'!$B$2:$D$13,5,MATCH($B334,'MOA role matrix'!$B$1:$D$1,0))="Fill","Board member 1, ","")IF(INDEX('MOA role matrix'!$B$2:$D$13,5,MATCH($B334,'MOA role matrix'!$B$1:$D$1,0))="If finance","Board member 1 (if finance), ","")IF(INDEX('MOA role matrix'!$B$2:$D$13,5,MATCH($B334,'MOA role matrix'!$B$1:$D$1,0))="Auto","Board member 1 (auto), ","")IF(INDEX('MOA role matrix'!$B$2:$D$13,6,MATCH($B334,'MOA role matrix'!$B$1:$D$1,0))="Fill","Board member 2, ","")IF(INDEX('MOA role matrix'!$B$2:$D$13,6,MATCH($B334,'MOA role matrix'!$B$1:$D$1,0))="If finance","Board member 2 (if finance), ","")IF(INDEX('MOA role matrix'!$B$2:$D$13,6,MATCH($B334,'MOA role matrix'!$B$1:$D$1,0))="Auto","Board member 2 (auto), ","")IF(INDEX('MOA role matrix'!$B$2:$D$13,7,MATCH($B334,'MOA role matrix'!$B$1:$D$1,0))="Fill","LOA holder 1, ","")IF(INDEX('MOA role matrix'!$B$2:$D$13,7,MATCH($B334,'MOA role matrix'!$B$1:$D$1,0))="If finance","LOA holder 1 (if finance), ","")IF(INDEX('MOA role matrix'!$B$2:$D$13,7,MATCH($B334,'MOA role matrix'!$B$1:$D$1,0))="Auto","LOA holder 1 (auto), ","")IF(INDEX('MOA role matrix'!$B$2:$D$13,8,MATCH($B334,'MOA role matrix'!$B$1:$D$1,0))="Fill","LOA holder 2, ","")IF(INDEX('MOA role matrix'!$B$2:$D$13,8,MATCH($B334,'MOA role matrix'!$B$1:$D$1,0))="If finance","LOA holder 2 (if finance), ","")IF(INDEX('MOA role matrix'!$B$2:$D$13,8,MATCH($B334,'MOA role matrix'!$B$1:$D$1,0))="Auto","LOA holder 2 (auto), ","")IF(INDEX('MOA role matrix'!$B$2:$D$13,9,MATCH($B334,'MOA role matrix'!$B$1:$D$1,0))="Fill","Senior Manager CoSec, ","")IF(INDEX('MOA role matrix'!$B$2:$D$13,9,MATCH($B334,'MOA role matrix'!$B$1:$D$1,0))="If finance","Senior Manager CoSec (if finance), ","")IF(INDEX('MOA role matrix'!$B$2:$D$13,9,MATCH($B334,'MOA role matrix'!$B$1:$D$1,0))="Auto","Senior Manager CoSec (auto), ","")IF(INDEX('MOA role matrix'!$B$2:$D$13,10,MATCH($B334,'MOA role matrix'!$B$1:$D$1,0))="Fill","Division MOI managers, ","")IF(INDEX('MOA role matrix'!$B$2:$D$13,10,MATCH($B334,'MOA role matrix'!$B$1:$D$1,0))="If finance","Division MOI managers (if finance), ","")IF(INDEX('MOA role matrix'!$B$2:$D$13,10,MATCH($B334,'MOA role matrix'!$B$1:$D$1,0))="Auto","Division MOI managers (auto), ","")IF(INDEX('MOA role matrix'!$B$2:$D$13,11,MATCH($B334,'MOA role matrix'!$B$1:$D$1,0))="Fill","Ms Teh (bank), ","")IF(INDEX('MOA role matrix'!$B$2:$D$13,11,MATCH($B334,'MOA role matrix'!$B$1:$D$1,0))="If finance","Ms Teh (bank) (if finance), ","")IF(INDEX('MOA role matrix'!$B$2:$D$13,11,MATCH($B334,'MOA role matrix'!$B$1:$D$1,0))="Auto","Ms Teh (bank) (auto), ","")IF(INDEX('MOA role matrix'!$B$2:$D$13,12,MATCH($B334,'MOA role matrix'!$B$1:$D$1,0))="Fill","DLCM, ","")IF(INDEX('MOA role matrix'!$B$2:$D$13,12,MATCH($B334,'MOA role matrix'!$B$1:$D$1,0))="If finance","DLCM (if finance), ","")IF(INDEX('MOA role matrix'!$B$2:$D$13,12,MATCH($B334,'MOA role matrix'!$B$1:$D$1,0))="Auto","DLCM (auto), ","")))</f>
        <v/>
      </c>
      <c r="D334" s="5">
        <f>IF($A334="","",IFERROR(INDEX(FILTER('Client contacts'!$B$2:$B$500,('Client contacts'!$A$2:$A$500=$A334)*('Client contacts'!$H$2:$H$500="Y"),""),1),""))</f>
        <v/>
      </c>
      <c r="E334" s="5">
        <f>IF($A334="","",IFERROR(INDEX(FILTER('Client contacts'!$C$2:$C$500,('Client contacts'!$A$2:$A$500=$A334)*('Client contacts'!$H$2:$H$500="Y"),""),1),""))</f>
        <v/>
      </c>
      <c r="F334" s="5">
        <f>IF($A334="","",IFERROR(INDEX(FILTER('Client contacts'!$B$2:$B$500,('Client contacts'!$A$2:$A$500=$A334)*('Client contacts'!$G$2:$G$500="Y"),""),1),""))</f>
        <v/>
      </c>
      <c r="G334" s="5">
        <f>IF($A334="","",IFERROR(INDEX(FILTER('Client contacts'!$C$2:$C$500,('Client contacts'!$A$2:$A$500=$A334)*('Client contacts'!$G$2:$G$500="Y"),""),1),""))</f>
        <v/>
      </c>
      <c r="H334" s="5">
        <f>IF($A334="","",IFERROR(INDEX(FILTER('Client contacts'!$B$2:$B$500,('Client contacts'!$A$2:$A$500=$A334)*('Client contacts'!$G$2:$G$500="Y"),""),2),""))</f>
        <v/>
      </c>
      <c r="I334" s="5">
        <f>IF($A334="","",IFERROR(INDEX(FILTER('Client contacts'!$C$2:$C$500,('Client contacts'!$A$2:$A$500=$A334)*('Client contacts'!$G$2:$G$500="Y"),""),2),""))</f>
        <v/>
      </c>
      <c r="J334" s="8" t="n"/>
      <c r="K334" s="8" t="n"/>
      <c r="L334" s="8" t="n"/>
      <c r="M334" s="8" t="n"/>
      <c r="N334" s="8" t="n"/>
      <c r="O334" s="8" t="n"/>
      <c r="P334" s="8" t="n"/>
      <c r="Q334" s="8" t="n"/>
      <c r="R334" s="5">
        <f>IF($A334="","",IFERROR(INDEX(Companies!$I$2:$I$500,MATCH($A334,Companies!$A$2:$A$500,0)),""))</f>
        <v/>
      </c>
      <c r="S334" s="8" t="n"/>
      <c r="T334" s="8" t="n"/>
      <c r="U334" s="8" t="n"/>
      <c r="V334" s="8" t="n"/>
      <c r="W334" s="8" t="n"/>
    </row>
    <row r="335">
      <c r="C335" s="5">
        <f>IF($B335="","",TRIM(IF(INDEX('MOA role matrix'!$B$2:$D$13,1,MATCH($B335,'MOA role matrix'!$B$1:$D$1,0))="Fill","Project initiator, ","")IF(INDEX('MOA role matrix'!$B$2:$D$13,1,MATCH($B335,'MOA role matrix'!$B$1:$D$1,0))="If finance","Project initiator (if finance), ","")IF(INDEX('MOA role matrix'!$B$2:$D$13,1,MATCH($B335,'MOA role matrix'!$B$1:$D$1,0))="Auto","Project initiator (auto), ","")IF(INDEX('MOA role matrix'!$B$2:$D$13,2,MATCH($B335,'MOA role matrix'!$B$1:$D$1,0))="Fill","MOA signers (client), ","")IF(INDEX('MOA role matrix'!$B$2:$D$13,2,MATCH($B335,'MOA role matrix'!$B$1:$D$1,0))="If finance","MOA signers (client) (if finance), ","")IF(INDEX('MOA role matrix'!$B$2:$D$13,2,MATCH($B335,'MOA role matrix'!$B$1:$D$1,0))="Auto","MOA signers (client) (auto), ","")IF(INDEX('MOA role matrix'!$B$2:$D$13,3,MATCH($B335,'MOA role matrix'!$B$1:$D$1,0))="Fill","CFO / Head of Finance, ","")IF(INDEX('MOA role matrix'!$B$2:$D$13,3,MATCH($B335,'MOA role matrix'!$B$1:$D$1,0))="If finance","CFO / Head of Finance (if finance), ","")IF(INDEX('MOA role matrix'!$B$2:$D$13,3,MATCH($B335,'MOA role matrix'!$B$1:$D$1,0))="Auto","CFO / Head of Finance (auto), ","")IF(INDEX('MOA role matrix'!$B$2:$D$13,4,MATCH($B335,'MOA role matrix'!$B$1:$D$1,0))="Fill","CEO / COO / GM, ","")IF(INDEX('MOA role matrix'!$B$2:$D$13,4,MATCH($B335,'MOA role matrix'!$B$1:$D$1,0))="If finance","CEO / COO / GM (if finance), ","")IF(INDEX('MOA role matrix'!$B$2:$D$13,4,MATCH($B335,'MOA role matrix'!$B$1:$D$1,0))="Auto","CEO / COO / GM (auto), ","")IF(INDEX('MOA role matrix'!$B$2:$D$13,5,MATCH($B335,'MOA role matrix'!$B$1:$D$1,0))="Fill","Board member 1, ","")IF(INDEX('MOA role matrix'!$B$2:$D$13,5,MATCH($B335,'MOA role matrix'!$B$1:$D$1,0))="If finance","Board member 1 (if finance), ","")IF(INDEX('MOA role matrix'!$B$2:$D$13,5,MATCH($B335,'MOA role matrix'!$B$1:$D$1,0))="Auto","Board member 1 (auto), ","")IF(INDEX('MOA role matrix'!$B$2:$D$13,6,MATCH($B335,'MOA role matrix'!$B$1:$D$1,0))="Fill","Board member 2, ","")IF(INDEX('MOA role matrix'!$B$2:$D$13,6,MATCH($B335,'MOA role matrix'!$B$1:$D$1,0))="If finance","Board member 2 (if finance), ","")IF(INDEX('MOA role matrix'!$B$2:$D$13,6,MATCH($B335,'MOA role matrix'!$B$1:$D$1,0))="Auto","Board member 2 (auto), ","")IF(INDEX('MOA role matrix'!$B$2:$D$13,7,MATCH($B335,'MOA role matrix'!$B$1:$D$1,0))="Fill","LOA holder 1, ","")IF(INDEX('MOA role matrix'!$B$2:$D$13,7,MATCH($B335,'MOA role matrix'!$B$1:$D$1,0))="If finance","LOA holder 1 (if finance), ","")IF(INDEX('MOA role matrix'!$B$2:$D$13,7,MATCH($B335,'MOA role matrix'!$B$1:$D$1,0))="Auto","LOA holder 1 (auto), ","")IF(INDEX('MOA role matrix'!$B$2:$D$13,8,MATCH($B335,'MOA role matrix'!$B$1:$D$1,0))="Fill","LOA holder 2, ","")IF(INDEX('MOA role matrix'!$B$2:$D$13,8,MATCH($B335,'MOA role matrix'!$B$1:$D$1,0))="If finance","LOA holder 2 (if finance), ","")IF(INDEX('MOA role matrix'!$B$2:$D$13,8,MATCH($B335,'MOA role matrix'!$B$1:$D$1,0))="Auto","LOA holder 2 (auto), ","")IF(INDEX('MOA role matrix'!$B$2:$D$13,9,MATCH($B335,'MOA role matrix'!$B$1:$D$1,0))="Fill","Senior Manager CoSec, ","")IF(INDEX('MOA role matrix'!$B$2:$D$13,9,MATCH($B335,'MOA role matrix'!$B$1:$D$1,0))="If finance","Senior Manager CoSec (if finance), ","")IF(INDEX('MOA role matrix'!$B$2:$D$13,9,MATCH($B335,'MOA role matrix'!$B$1:$D$1,0))="Auto","Senior Manager CoSec (auto), ","")IF(INDEX('MOA role matrix'!$B$2:$D$13,10,MATCH($B335,'MOA role matrix'!$B$1:$D$1,0))="Fill","Division MOI managers, ","")IF(INDEX('MOA role matrix'!$B$2:$D$13,10,MATCH($B335,'MOA role matrix'!$B$1:$D$1,0))="If finance","Division MOI managers (if finance), ","")IF(INDEX('MOA role matrix'!$B$2:$D$13,10,MATCH($B335,'MOA role matrix'!$B$1:$D$1,0))="Auto","Division MOI managers (auto), ","")IF(INDEX('MOA role matrix'!$B$2:$D$13,11,MATCH($B335,'MOA role matrix'!$B$1:$D$1,0))="Fill","Ms Teh (bank), ","")IF(INDEX('MOA role matrix'!$B$2:$D$13,11,MATCH($B335,'MOA role matrix'!$B$1:$D$1,0))="If finance","Ms Teh (bank) (if finance), ","")IF(INDEX('MOA role matrix'!$B$2:$D$13,11,MATCH($B335,'MOA role matrix'!$B$1:$D$1,0))="Auto","Ms Teh (bank) (auto), ","")IF(INDEX('MOA role matrix'!$B$2:$D$13,12,MATCH($B335,'MOA role matrix'!$B$1:$D$1,0))="Fill","DLCM, ","")IF(INDEX('MOA role matrix'!$B$2:$D$13,12,MATCH($B335,'MOA role matrix'!$B$1:$D$1,0))="If finance","DLCM (if finance), ","")IF(INDEX('MOA role matrix'!$B$2:$D$13,12,MATCH($B335,'MOA role matrix'!$B$1:$D$1,0))="Auto","DLCM (auto), ","")))</f>
        <v/>
      </c>
      <c r="D335" s="5">
        <f>IF($A335="","",IFERROR(INDEX(FILTER('Client contacts'!$B$2:$B$500,('Client contacts'!$A$2:$A$500=$A335)*('Client contacts'!$H$2:$H$500="Y"),""),1),""))</f>
        <v/>
      </c>
      <c r="E335" s="5">
        <f>IF($A335="","",IFERROR(INDEX(FILTER('Client contacts'!$C$2:$C$500,('Client contacts'!$A$2:$A$500=$A335)*('Client contacts'!$H$2:$H$500="Y"),""),1),""))</f>
        <v/>
      </c>
      <c r="F335" s="5">
        <f>IF($A335="","",IFERROR(INDEX(FILTER('Client contacts'!$B$2:$B$500,('Client contacts'!$A$2:$A$500=$A335)*('Client contacts'!$G$2:$G$500="Y"),""),1),""))</f>
        <v/>
      </c>
      <c r="G335" s="5">
        <f>IF($A335="","",IFERROR(INDEX(FILTER('Client contacts'!$C$2:$C$500,('Client contacts'!$A$2:$A$500=$A335)*('Client contacts'!$G$2:$G$500="Y"),""),1),""))</f>
        <v/>
      </c>
      <c r="H335" s="5">
        <f>IF($A335="","",IFERROR(INDEX(FILTER('Client contacts'!$B$2:$B$500,('Client contacts'!$A$2:$A$500=$A335)*('Client contacts'!$G$2:$G$500="Y"),""),2),""))</f>
        <v/>
      </c>
      <c r="I335" s="5">
        <f>IF($A335="","",IFERROR(INDEX(FILTER('Client contacts'!$C$2:$C$500,('Client contacts'!$A$2:$A$500=$A335)*('Client contacts'!$G$2:$G$500="Y"),""),2),""))</f>
        <v/>
      </c>
      <c r="J335" s="8" t="n"/>
      <c r="K335" s="8" t="n"/>
      <c r="L335" s="8" t="n"/>
      <c r="M335" s="8" t="n"/>
      <c r="N335" s="8" t="n"/>
      <c r="O335" s="8" t="n"/>
      <c r="P335" s="8" t="n"/>
      <c r="Q335" s="8" t="n"/>
      <c r="R335" s="5">
        <f>IF($A335="","",IFERROR(INDEX(Companies!$I$2:$I$500,MATCH($A335,Companies!$A$2:$A$500,0)),""))</f>
        <v/>
      </c>
      <c r="S335" s="8" t="n"/>
      <c r="T335" s="8" t="n"/>
      <c r="U335" s="8" t="n"/>
      <c r="V335" s="8" t="n"/>
      <c r="W335" s="8" t="n"/>
    </row>
    <row r="336">
      <c r="C336" s="5">
        <f>IF($B336="","",TRIM(IF(INDEX('MOA role matrix'!$B$2:$D$13,1,MATCH($B336,'MOA role matrix'!$B$1:$D$1,0))="Fill","Project initiator, ","")IF(INDEX('MOA role matrix'!$B$2:$D$13,1,MATCH($B336,'MOA role matrix'!$B$1:$D$1,0))="If finance","Project initiator (if finance), ","")IF(INDEX('MOA role matrix'!$B$2:$D$13,1,MATCH($B336,'MOA role matrix'!$B$1:$D$1,0))="Auto","Project initiator (auto), ","")IF(INDEX('MOA role matrix'!$B$2:$D$13,2,MATCH($B336,'MOA role matrix'!$B$1:$D$1,0))="Fill","MOA signers (client), ","")IF(INDEX('MOA role matrix'!$B$2:$D$13,2,MATCH($B336,'MOA role matrix'!$B$1:$D$1,0))="If finance","MOA signers (client) (if finance), ","")IF(INDEX('MOA role matrix'!$B$2:$D$13,2,MATCH($B336,'MOA role matrix'!$B$1:$D$1,0))="Auto","MOA signers (client) (auto), ","")IF(INDEX('MOA role matrix'!$B$2:$D$13,3,MATCH($B336,'MOA role matrix'!$B$1:$D$1,0))="Fill","CFO / Head of Finance, ","")IF(INDEX('MOA role matrix'!$B$2:$D$13,3,MATCH($B336,'MOA role matrix'!$B$1:$D$1,0))="If finance","CFO / Head of Finance (if finance), ","")IF(INDEX('MOA role matrix'!$B$2:$D$13,3,MATCH($B336,'MOA role matrix'!$B$1:$D$1,0))="Auto","CFO / Head of Finance (auto), ","")IF(INDEX('MOA role matrix'!$B$2:$D$13,4,MATCH($B336,'MOA role matrix'!$B$1:$D$1,0))="Fill","CEO / COO / GM, ","")IF(INDEX('MOA role matrix'!$B$2:$D$13,4,MATCH($B336,'MOA role matrix'!$B$1:$D$1,0))="If finance","CEO / COO / GM (if finance), ","")IF(INDEX('MOA role matrix'!$B$2:$D$13,4,MATCH($B336,'MOA role matrix'!$B$1:$D$1,0))="Auto","CEO / COO / GM (auto), ","")IF(INDEX('MOA role matrix'!$B$2:$D$13,5,MATCH($B336,'MOA role matrix'!$B$1:$D$1,0))="Fill","Board member 1, ","")IF(INDEX('MOA role matrix'!$B$2:$D$13,5,MATCH($B336,'MOA role matrix'!$B$1:$D$1,0))="If finance","Board member 1 (if finance), ","")IF(INDEX('MOA role matrix'!$B$2:$D$13,5,MATCH($B336,'MOA role matrix'!$B$1:$D$1,0))="Auto","Board member 1 (auto), ","")IF(INDEX('MOA role matrix'!$B$2:$D$13,6,MATCH($B336,'MOA role matrix'!$B$1:$D$1,0))="Fill","Board member 2, ","")IF(INDEX('MOA role matrix'!$B$2:$D$13,6,MATCH($B336,'MOA role matrix'!$B$1:$D$1,0))="If finance","Board member 2 (if finance), ","")IF(INDEX('MOA role matrix'!$B$2:$D$13,6,MATCH($B336,'MOA role matrix'!$B$1:$D$1,0))="Auto","Board member 2 (auto), ","")IF(INDEX('MOA role matrix'!$B$2:$D$13,7,MATCH($B336,'MOA role matrix'!$B$1:$D$1,0))="Fill","LOA holder 1, ","")IF(INDEX('MOA role matrix'!$B$2:$D$13,7,MATCH($B336,'MOA role matrix'!$B$1:$D$1,0))="If finance","LOA holder 1 (if finance), ","")IF(INDEX('MOA role matrix'!$B$2:$D$13,7,MATCH($B336,'MOA role matrix'!$B$1:$D$1,0))="Auto","LOA holder 1 (auto), ","")IF(INDEX('MOA role matrix'!$B$2:$D$13,8,MATCH($B336,'MOA role matrix'!$B$1:$D$1,0))="Fill","LOA holder 2, ","")IF(INDEX('MOA role matrix'!$B$2:$D$13,8,MATCH($B336,'MOA role matrix'!$B$1:$D$1,0))="If finance","LOA holder 2 (if finance), ","")IF(INDEX('MOA role matrix'!$B$2:$D$13,8,MATCH($B336,'MOA role matrix'!$B$1:$D$1,0))="Auto","LOA holder 2 (auto), ","")IF(INDEX('MOA role matrix'!$B$2:$D$13,9,MATCH($B336,'MOA role matrix'!$B$1:$D$1,0))="Fill","Senior Manager CoSec, ","")IF(INDEX('MOA role matrix'!$B$2:$D$13,9,MATCH($B336,'MOA role matrix'!$B$1:$D$1,0))="If finance","Senior Manager CoSec (if finance), ","")IF(INDEX('MOA role matrix'!$B$2:$D$13,9,MATCH($B336,'MOA role matrix'!$B$1:$D$1,0))="Auto","Senior Manager CoSec (auto), ","")IF(INDEX('MOA role matrix'!$B$2:$D$13,10,MATCH($B336,'MOA role matrix'!$B$1:$D$1,0))="Fill","Division MOI managers, ","")IF(INDEX('MOA role matrix'!$B$2:$D$13,10,MATCH($B336,'MOA role matrix'!$B$1:$D$1,0))="If finance","Division MOI managers (if finance), ","")IF(INDEX('MOA role matrix'!$B$2:$D$13,10,MATCH($B336,'MOA role matrix'!$B$1:$D$1,0))="Auto","Division MOI managers (auto), ","")IF(INDEX('MOA role matrix'!$B$2:$D$13,11,MATCH($B336,'MOA role matrix'!$B$1:$D$1,0))="Fill","Ms Teh (bank), ","")IF(INDEX('MOA role matrix'!$B$2:$D$13,11,MATCH($B336,'MOA role matrix'!$B$1:$D$1,0))="If finance","Ms Teh (bank) (if finance), ","")IF(INDEX('MOA role matrix'!$B$2:$D$13,11,MATCH($B336,'MOA role matrix'!$B$1:$D$1,0))="Auto","Ms Teh (bank) (auto), ","")IF(INDEX('MOA role matrix'!$B$2:$D$13,12,MATCH($B336,'MOA role matrix'!$B$1:$D$1,0))="Fill","DLCM, ","")IF(INDEX('MOA role matrix'!$B$2:$D$13,12,MATCH($B336,'MOA role matrix'!$B$1:$D$1,0))="If finance","DLCM (if finance), ","")IF(INDEX('MOA role matrix'!$B$2:$D$13,12,MATCH($B336,'MOA role matrix'!$B$1:$D$1,0))="Auto","DLCM (auto), ","")))</f>
        <v/>
      </c>
      <c r="D336" s="5">
        <f>IF($A336="","",IFERROR(INDEX(FILTER('Client contacts'!$B$2:$B$500,('Client contacts'!$A$2:$A$500=$A336)*('Client contacts'!$H$2:$H$500="Y"),""),1),""))</f>
        <v/>
      </c>
      <c r="E336" s="5">
        <f>IF($A336="","",IFERROR(INDEX(FILTER('Client contacts'!$C$2:$C$500,('Client contacts'!$A$2:$A$500=$A336)*('Client contacts'!$H$2:$H$500="Y"),""),1),""))</f>
        <v/>
      </c>
      <c r="F336" s="5">
        <f>IF($A336="","",IFERROR(INDEX(FILTER('Client contacts'!$B$2:$B$500,('Client contacts'!$A$2:$A$500=$A336)*('Client contacts'!$G$2:$G$500="Y"),""),1),""))</f>
        <v/>
      </c>
      <c r="G336" s="5">
        <f>IF($A336="","",IFERROR(INDEX(FILTER('Client contacts'!$C$2:$C$500,('Client contacts'!$A$2:$A$500=$A336)*('Client contacts'!$G$2:$G$500="Y"),""),1),""))</f>
        <v/>
      </c>
      <c r="H336" s="5">
        <f>IF($A336="","",IFERROR(INDEX(FILTER('Client contacts'!$B$2:$B$500,('Client contacts'!$A$2:$A$500=$A336)*('Client contacts'!$G$2:$G$500="Y"),""),2),""))</f>
        <v/>
      </c>
      <c r="I336" s="5">
        <f>IF($A336="","",IFERROR(INDEX(FILTER('Client contacts'!$C$2:$C$500,('Client contacts'!$A$2:$A$500=$A336)*('Client contacts'!$G$2:$G$500="Y"),""),2),""))</f>
        <v/>
      </c>
      <c r="J336" s="8" t="n"/>
      <c r="K336" s="8" t="n"/>
      <c r="L336" s="8" t="n"/>
      <c r="M336" s="8" t="n"/>
      <c r="N336" s="8" t="n"/>
      <c r="O336" s="8" t="n"/>
      <c r="P336" s="8" t="n"/>
      <c r="Q336" s="8" t="n"/>
      <c r="R336" s="5">
        <f>IF($A336="","",IFERROR(INDEX(Companies!$I$2:$I$500,MATCH($A336,Companies!$A$2:$A$500,0)),""))</f>
        <v/>
      </c>
      <c r="S336" s="8" t="n"/>
      <c r="T336" s="8" t="n"/>
      <c r="U336" s="8" t="n"/>
      <c r="V336" s="8" t="n"/>
      <c r="W336" s="8" t="n"/>
    </row>
    <row r="337">
      <c r="C337" s="5">
        <f>IF($B337="","",TRIM(IF(INDEX('MOA role matrix'!$B$2:$D$13,1,MATCH($B337,'MOA role matrix'!$B$1:$D$1,0))="Fill","Project initiator, ","")IF(INDEX('MOA role matrix'!$B$2:$D$13,1,MATCH($B337,'MOA role matrix'!$B$1:$D$1,0))="If finance","Project initiator (if finance), ","")IF(INDEX('MOA role matrix'!$B$2:$D$13,1,MATCH($B337,'MOA role matrix'!$B$1:$D$1,0))="Auto","Project initiator (auto), ","")IF(INDEX('MOA role matrix'!$B$2:$D$13,2,MATCH($B337,'MOA role matrix'!$B$1:$D$1,0))="Fill","MOA signers (client), ","")IF(INDEX('MOA role matrix'!$B$2:$D$13,2,MATCH($B337,'MOA role matrix'!$B$1:$D$1,0))="If finance","MOA signers (client) (if finance), ","")IF(INDEX('MOA role matrix'!$B$2:$D$13,2,MATCH($B337,'MOA role matrix'!$B$1:$D$1,0))="Auto","MOA signers (client) (auto), ","")IF(INDEX('MOA role matrix'!$B$2:$D$13,3,MATCH($B337,'MOA role matrix'!$B$1:$D$1,0))="Fill","CFO / Head of Finance, ","")IF(INDEX('MOA role matrix'!$B$2:$D$13,3,MATCH($B337,'MOA role matrix'!$B$1:$D$1,0))="If finance","CFO / Head of Finance (if finance), ","")IF(INDEX('MOA role matrix'!$B$2:$D$13,3,MATCH($B337,'MOA role matrix'!$B$1:$D$1,0))="Auto","CFO / Head of Finance (auto), ","")IF(INDEX('MOA role matrix'!$B$2:$D$13,4,MATCH($B337,'MOA role matrix'!$B$1:$D$1,0))="Fill","CEO / COO / GM, ","")IF(INDEX('MOA role matrix'!$B$2:$D$13,4,MATCH($B337,'MOA role matrix'!$B$1:$D$1,0))="If finance","CEO / COO / GM (if finance), ","")IF(INDEX('MOA role matrix'!$B$2:$D$13,4,MATCH($B337,'MOA role matrix'!$B$1:$D$1,0))="Auto","CEO / COO / GM (auto), ","")IF(INDEX('MOA role matrix'!$B$2:$D$13,5,MATCH($B337,'MOA role matrix'!$B$1:$D$1,0))="Fill","Board member 1, ","")IF(INDEX('MOA role matrix'!$B$2:$D$13,5,MATCH($B337,'MOA role matrix'!$B$1:$D$1,0))="If finance","Board member 1 (if finance), ","")IF(INDEX('MOA role matrix'!$B$2:$D$13,5,MATCH($B337,'MOA role matrix'!$B$1:$D$1,0))="Auto","Board member 1 (auto), ","")IF(INDEX('MOA role matrix'!$B$2:$D$13,6,MATCH($B337,'MOA role matrix'!$B$1:$D$1,0))="Fill","Board member 2, ","")IF(INDEX('MOA role matrix'!$B$2:$D$13,6,MATCH($B337,'MOA role matrix'!$B$1:$D$1,0))="If finance","Board member 2 (if finance), ","")IF(INDEX('MOA role matrix'!$B$2:$D$13,6,MATCH($B337,'MOA role matrix'!$B$1:$D$1,0))="Auto","Board member 2 (auto), ","")IF(INDEX('MOA role matrix'!$B$2:$D$13,7,MATCH($B337,'MOA role matrix'!$B$1:$D$1,0))="Fill","LOA holder 1, ","")IF(INDEX('MOA role matrix'!$B$2:$D$13,7,MATCH($B337,'MOA role matrix'!$B$1:$D$1,0))="If finance","LOA holder 1 (if finance), ","")IF(INDEX('MOA role matrix'!$B$2:$D$13,7,MATCH($B337,'MOA role matrix'!$B$1:$D$1,0))="Auto","LOA holder 1 (auto), ","")IF(INDEX('MOA role matrix'!$B$2:$D$13,8,MATCH($B337,'MOA role matrix'!$B$1:$D$1,0))="Fill","LOA holder 2, ","")IF(INDEX('MOA role matrix'!$B$2:$D$13,8,MATCH($B337,'MOA role matrix'!$B$1:$D$1,0))="If finance","LOA holder 2 (if finance), ","")IF(INDEX('MOA role matrix'!$B$2:$D$13,8,MATCH($B337,'MOA role matrix'!$B$1:$D$1,0))="Auto","LOA holder 2 (auto), ","")IF(INDEX('MOA role matrix'!$B$2:$D$13,9,MATCH($B337,'MOA role matrix'!$B$1:$D$1,0))="Fill","Senior Manager CoSec, ","")IF(INDEX('MOA role matrix'!$B$2:$D$13,9,MATCH($B337,'MOA role matrix'!$B$1:$D$1,0))="If finance","Senior Manager CoSec (if finance), ","")IF(INDEX('MOA role matrix'!$B$2:$D$13,9,MATCH($B337,'MOA role matrix'!$B$1:$D$1,0))="Auto","Senior Manager CoSec (auto), ","")IF(INDEX('MOA role matrix'!$B$2:$D$13,10,MATCH($B337,'MOA role matrix'!$B$1:$D$1,0))="Fill","Division MOI managers, ","")IF(INDEX('MOA role matrix'!$B$2:$D$13,10,MATCH($B337,'MOA role matrix'!$B$1:$D$1,0))="If finance","Division MOI managers (if finance), ","")IF(INDEX('MOA role matrix'!$B$2:$D$13,10,MATCH($B337,'MOA role matrix'!$B$1:$D$1,0))="Auto","Division MOI managers (auto), ","")IF(INDEX('MOA role matrix'!$B$2:$D$13,11,MATCH($B337,'MOA role matrix'!$B$1:$D$1,0))="Fill","Ms Teh (bank), ","")IF(INDEX('MOA role matrix'!$B$2:$D$13,11,MATCH($B337,'MOA role matrix'!$B$1:$D$1,0))="If finance","Ms Teh (bank) (if finance), ","")IF(INDEX('MOA role matrix'!$B$2:$D$13,11,MATCH($B337,'MOA role matrix'!$B$1:$D$1,0))="Auto","Ms Teh (bank) (auto), ","")IF(INDEX('MOA role matrix'!$B$2:$D$13,12,MATCH($B337,'MOA role matrix'!$B$1:$D$1,0))="Fill","DLCM, ","")IF(INDEX('MOA role matrix'!$B$2:$D$13,12,MATCH($B337,'MOA role matrix'!$B$1:$D$1,0))="If finance","DLCM (if finance), ","")IF(INDEX('MOA role matrix'!$B$2:$D$13,12,MATCH($B337,'MOA role matrix'!$B$1:$D$1,0))="Auto","DLCM (auto), ","")))</f>
        <v/>
      </c>
      <c r="D337" s="5">
        <f>IF($A337="","",IFERROR(INDEX(FILTER('Client contacts'!$B$2:$B$500,('Client contacts'!$A$2:$A$500=$A337)*('Client contacts'!$H$2:$H$500="Y"),""),1),""))</f>
        <v/>
      </c>
      <c r="E337" s="5">
        <f>IF($A337="","",IFERROR(INDEX(FILTER('Client contacts'!$C$2:$C$500,('Client contacts'!$A$2:$A$500=$A337)*('Client contacts'!$H$2:$H$500="Y"),""),1),""))</f>
        <v/>
      </c>
      <c r="F337" s="5">
        <f>IF($A337="","",IFERROR(INDEX(FILTER('Client contacts'!$B$2:$B$500,('Client contacts'!$A$2:$A$500=$A337)*('Client contacts'!$G$2:$G$500="Y"),""),1),""))</f>
        <v/>
      </c>
      <c r="G337" s="5">
        <f>IF($A337="","",IFERROR(INDEX(FILTER('Client contacts'!$C$2:$C$500,('Client contacts'!$A$2:$A$500=$A337)*('Client contacts'!$G$2:$G$500="Y"),""),1),""))</f>
        <v/>
      </c>
      <c r="H337" s="5">
        <f>IF($A337="","",IFERROR(INDEX(FILTER('Client contacts'!$B$2:$B$500,('Client contacts'!$A$2:$A$500=$A337)*('Client contacts'!$G$2:$G$500="Y"),""),2),""))</f>
        <v/>
      </c>
      <c r="I337" s="5">
        <f>IF($A337="","",IFERROR(INDEX(FILTER('Client contacts'!$C$2:$C$500,('Client contacts'!$A$2:$A$500=$A337)*('Client contacts'!$G$2:$G$500="Y"),""),2),""))</f>
        <v/>
      </c>
      <c r="J337" s="8" t="n"/>
      <c r="K337" s="8" t="n"/>
      <c r="L337" s="8" t="n"/>
      <c r="M337" s="8" t="n"/>
      <c r="N337" s="8" t="n"/>
      <c r="O337" s="8" t="n"/>
      <c r="P337" s="8" t="n"/>
      <c r="Q337" s="8" t="n"/>
      <c r="R337" s="5">
        <f>IF($A337="","",IFERROR(INDEX(Companies!$I$2:$I$500,MATCH($A337,Companies!$A$2:$A$500,0)),""))</f>
        <v/>
      </c>
      <c r="S337" s="8" t="n"/>
      <c r="T337" s="8" t="n"/>
      <c r="U337" s="8" t="n"/>
      <c r="V337" s="8" t="n"/>
      <c r="W337" s="8" t="n"/>
    </row>
    <row r="338">
      <c r="C338" s="5">
        <f>IF($B338="","",TRIM(IF(INDEX('MOA role matrix'!$B$2:$D$13,1,MATCH($B338,'MOA role matrix'!$B$1:$D$1,0))="Fill","Project initiator, ","")IF(INDEX('MOA role matrix'!$B$2:$D$13,1,MATCH($B338,'MOA role matrix'!$B$1:$D$1,0))="If finance","Project initiator (if finance), ","")IF(INDEX('MOA role matrix'!$B$2:$D$13,1,MATCH($B338,'MOA role matrix'!$B$1:$D$1,0))="Auto","Project initiator (auto), ","")IF(INDEX('MOA role matrix'!$B$2:$D$13,2,MATCH($B338,'MOA role matrix'!$B$1:$D$1,0))="Fill","MOA signers (client), ","")IF(INDEX('MOA role matrix'!$B$2:$D$13,2,MATCH($B338,'MOA role matrix'!$B$1:$D$1,0))="If finance","MOA signers (client) (if finance), ","")IF(INDEX('MOA role matrix'!$B$2:$D$13,2,MATCH($B338,'MOA role matrix'!$B$1:$D$1,0))="Auto","MOA signers (client) (auto), ","")IF(INDEX('MOA role matrix'!$B$2:$D$13,3,MATCH($B338,'MOA role matrix'!$B$1:$D$1,0))="Fill","CFO / Head of Finance, ","")IF(INDEX('MOA role matrix'!$B$2:$D$13,3,MATCH($B338,'MOA role matrix'!$B$1:$D$1,0))="If finance","CFO / Head of Finance (if finance), ","")IF(INDEX('MOA role matrix'!$B$2:$D$13,3,MATCH($B338,'MOA role matrix'!$B$1:$D$1,0))="Auto","CFO / Head of Finance (auto), ","")IF(INDEX('MOA role matrix'!$B$2:$D$13,4,MATCH($B338,'MOA role matrix'!$B$1:$D$1,0))="Fill","CEO / COO / GM, ","")IF(INDEX('MOA role matrix'!$B$2:$D$13,4,MATCH($B338,'MOA role matrix'!$B$1:$D$1,0))="If finance","CEO / COO / GM (if finance), ","")IF(INDEX('MOA role matrix'!$B$2:$D$13,4,MATCH($B338,'MOA role matrix'!$B$1:$D$1,0))="Auto","CEO / COO / GM (auto), ","")IF(INDEX('MOA role matrix'!$B$2:$D$13,5,MATCH($B338,'MOA role matrix'!$B$1:$D$1,0))="Fill","Board member 1, ","")IF(INDEX('MOA role matrix'!$B$2:$D$13,5,MATCH($B338,'MOA role matrix'!$B$1:$D$1,0))="If finance","Board member 1 (if finance), ","")IF(INDEX('MOA role matrix'!$B$2:$D$13,5,MATCH($B338,'MOA role matrix'!$B$1:$D$1,0))="Auto","Board member 1 (auto), ","")IF(INDEX('MOA role matrix'!$B$2:$D$13,6,MATCH($B338,'MOA role matrix'!$B$1:$D$1,0))="Fill","Board member 2, ","")IF(INDEX('MOA role matrix'!$B$2:$D$13,6,MATCH($B338,'MOA role matrix'!$B$1:$D$1,0))="If finance","Board member 2 (if finance), ","")IF(INDEX('MOA role matrix'!$B$2:$D$13,6,MATCH($B338,'MOA role matrix'!$B$1:$D$1,0))="Auto","Board member 2 (auto), ","")IF(INDEX('MOA role matrix'!$B$2:$D$13,7,MATCH($B338,'MOA role matrix'!$B$1:$D$1,0))="Fill","LOA holder 1, ","")IF(INDEX('MOA role matrix'!$B$2:$D$13,7,MATCH($B338,'MOA role matrix'!$B$1:$D$1,0))="If finance","LOA holder 1 (if finance), ","")IF(INDEX('MOA role matrix'!$B$2:$D$13,7,MATCH($B338,'MOA role matrix'!$B$1:$D$1,0))="Auto","LOA holder 1 (auto), ","")IF(INDEX('MOA role matrix'!$B$2:$D$13,8,MATCH($B338,'MOA role matrix'!$B$1:$D$1,0))="Fill","LOA holder 2, ","")IF(INDEX('MOA role matrix'!$B$2:$D$13,8,MATCH($B338,'MOA role matrix'!$B$1:$D$1,0))="If finance","LOA holder 2 (if finance), ","")IF(INDEX('MOA role matrix'!$B$2:$D$13,8,MATCH($B338,'MOA role matrix'!$B$1:$D$1,0))="Auto","LOA holder 2 (auto), ","")IF(INDEX('MOA role matrix'!$B$2:$D$13,9,MATCH($B338,'MOA role matrix'!$B$1:$D$1,0))="Fill","Senior Manager CoSec, ","")IF(INDEX('MOA role matrix'!$B$2:$D$13,9,MATCH($B338,'MOA role matrix'!$B$1:$D$1,0))="If finance","Senior Manager CoSec (if finance), ","")IF(INDEX('MOA role matrix'!$B$2:$D$13,9,MATCH($B338,'MOA role matrix'!$B$1:$D$1,0))="Auto","Senior Manager CoSec (auto), ","")IF(INDEX('MOA role matrix'!$B$2:$D$13,10,MATCH($B338,'MOA role matrix'!$B$1:$D$1,0))="Fill","Division MOI managers, ","")IF(INDEX('MOA role matrix'!$B$2:$D$13,10,MATCH($B338,'MOA role matrix'!$B$1:$D$1,0))="If finance","Division MOI managers (if finance), ","")IF(INDEX('MOA role matrix'!$B$2:$D$13,10,MATCH($B338,'MOA role matrix'!$B$1:$D$1,0))="Auto","Division MOI managers (auto), ","")IF(INDEX('MOA role matrix'!$B$2:$D$13,11,MATCH($B338,'MOA role matrix'!$B$1:$D$1,0))="Fill","Ms Teh (bank), ","")IF(INDEX('MOA role matrix'!$B$2:$D$13,11,MATCH($B338,'MOA role matrix'!$B$1:$D$1,0))="If finance","Ms Teh (bank) (if finance), ","")IF(INDEX('MOA role matrix'!$B$2:$D$13,11,MATCH($B338,'MOA role matrix'!$B$1:$D$1,0))="Auto","Ms Teh (bank) (auto), ","")IF(INDEX('MOA role matrix'!$B$2:$D$13,12,MATCH($B338,'MOA role matrix'!$B$1:$D$1,0))="Fill","DLCM, ","")IF(INDEX('MOA role matrix'!$B$2:$D$13,12,MATCH($B338,'MOA role matrix'!$B$1:$D$1,0))="If finance","DLCM (if finance), ","")IF(INDEX('MOA role matrix'!$B$2:$D$13,12,MATCH($B338,'MOA role matrix'!$B$1:$D$1,0))="Auto","DLCM (auto), ","")))</f>
        <v/>
      </c>
      <c r="D338" s="5">
        <f>IF($A338="","",IFERROR(INDEX(FILTER('Client contacts'!$B$2:$B$500,('Client contacts'!$A$2:$A$500=$A338)*('Client contacts'!$H$2:$H$500="Y"),""),1),""))</f>
        <v/>
      </c>
      <c r="E338" s="5">
        <f>IF($A338="","",IFERROR(INDEX(FILTER('Client contacts'!$C$2:$C$500,('Client contacts'!$A$2:$A$500=$A338)*('Client contacts'!$H$2:$H$500="Y"),""),1),""))</f>
        <v/>
      </c>
      <c r="F338" s="5">
        <f>IF($A338="","",IFERROR(INDEX(FILTER('Client contacts'!$B$2:$B$500,('Client contacts'!$A$2:$A$500=$A338)*('Client contacts'!$G$2:$G$500="Y"),""),1),""))</f>
        <v/>
      </c>
      <c r="G338" s="5">
        <f>IF($A338="","",IFERROR(INDEX(FILTER('Client contacts'!$C$2:$C$500,('Client contacts'!$A$2:$A$500=$A338)*('Client contacts'!$G$2:$G$500="Y"),""),1),""))</f>
        <v/>
      </c>
      <c r="H338" s="5">
        <f>IF($A338="","",IFERROR(INDEX(FILTER('Client contacts'!$B$2:$B$500,('Client contacts'!$A$2:$A$500=$A338)*('Client contacts'!$G$2:$G$500="Y"),""),2),""))</f>
        <v/>
      </c>
      <c r="I338" s="5">
        <f>IF($A338="","",IFERROR(INDEX(FILTER('Client contacts'!$C$2:$C$500,('Client contacts'!$A$2:$A$500=$A338)*('Client contacts'!$G$2:$G$500="Y"),""),2),""))</f>
        <v/>
      </c>
      <c r="J338" s="8" t="n"/>
      <c r="K338" s="8" t="n"/>
      <c r="L338" s="8" t="n"/>
      <c r="M338" s="8" t="n"/>
      <c r="N338" s="8" t="n"/>
      <c r="O338" s="8" t="n"/>
      <c r="P338" s="8" t="n"/>
      <c r="Q338" s="8" t="n"/>
      <c r="R338" s="5">
        <f>IF($A338="","",IFERROR(INDEX(Companies!$I$2:$I$500,MATCH($A338,Companies!$A$2:$A$500,0)),""))</f>
        <v/>
      </c>
      <c r="S338" s="8" t="n"/>
      <c r="T338" s="8" t="n"/>
      <c r="U338" s="8" t="n"/>
      <c r="V338" s="8" t="n"/>
      <c r="W338" s="8" t="n"/>
    </row>
    <row r="339">
      <c r="C339" s="5">
        <f>IF($B339="","",TRIM(IF(INDEX('MOA role matrix'!$B$2:$D$13,1,MATCH($B339,'MOA role matrix'!$B$1:$D$1,0))="Fill","Project initiator, ","")IF(INDEX('MOA role matrix'!$B$2:$D$13,1,MATCH($B339,'MOA role matrix'!$B$1:$D$1,0))="If finance","Project initiator (if finance), ","")IF(INDEX('MOA role matrix'!$B$2:$D$13,1,MATCH($B339,'MOA role matrix'!$B$1:$D$1,0))="Auto","Project initiator (auto), ","")IF(INDEX('MOA role matrix'!$B$2:$D$13,2,MATCH($B339,'MOA role matrix'!$B$1:$D$1,0))="Fill","MOA signers (client), ","")IF(INDEX('MOA role matrix'!$B$2:$D$13,2,MATCH($B339,'MOA role matrix'!$B$1:$D$1,0))="If finance","MOA signers (client) (if finance), ","")IF(INDEX('MOA role matrix'!$B$2:$D$13,2,MATCH($B339,'MOA role matrix'!$B$1:$D$1,0))="Auto","MOA signers (client) (auto), ","")IF(INDEX('MOA role matrix'!$B$2:$D$13,3,MATCH($B339,'MOA role matrix'!$B$1:$D$1,0))="Fill","CFO / Head of Finance, ","")IF(INDEX('MOA role matrix'!$B$2:$D$13,3,MATCH($B339,'MOA role matrix'!$B$1:$D$1,0))="If finance","CFO / Head of Finance (if finance), ","")IF(INDEX('MOA role matrix'!$B$2:$D$13,3,MATCH($B339,'MOA role matrix'!$B$1:$D$1,0))="Auto","CFO / Head of Finance (auto), ","")IF(INDEX('MOA role matrix'!$B$2:$D$13,4,MATCH($B339,'MOA role matrix'!$B$1:$D$1,0))="Fill","CEO / COO / GM, ","")IF(INDEX('MOA role matrix'!$B$2:$D$13,4,MATCH($B339,'MOA role matrix'!$B$1:$D$1,0))="If finance","CEO / COO / GM (if finance), ","")IF(INDEX('MOA role matrix'!$B$2:$D$13,4,MATCH($B339,'MOA role matrix'!$B$1:$D$1,0))="Auto","CEO / COO / GM (auto), ","")IF(INDEX('MOA role matrix'!$B$2:$D$13,5,MATCH($B339,'MOA role matrix'!$B$1:$D$1,0))="Fill","Board member 1, ","")IF(INDEX('MOA role matrix'!$B$2:$D$13,5,MATCH($B339,'MOA role matrix'!$B$1:$D$1,0))="If finance","Board member 1 (if finance), ","")IF(INDEX('MOA role matrix'!$B$2:$D$13,5,MATCH($B339,'MOA role matrix'!$B$1:$D$1,0))="Auto","Board member 1 (auto), ","")IF(INDEX('MOA role matrix'!$B$2:$D$13,6,MATCH($B339,'MOA role matrix'!$B$1:$D$1,0))="Fill","Board member 2, ","")IF(INDEX('MOA role matrix'!$B$2:$D$13,6,MATCH($B339,'MOA role matrix'!$B$1:$D$1,0))="If finance","Board member 2 (if finance), ","")IF(INDEX('MOA role matrix'!$B$2:$D$13,6,MATCH($B339,'MOA role matrix'!$B$1:$D$1,0))="Auto","Board member 2 (auto), ","")IF(INDEX('MOA role matrix'!$B$2:$D$13,7,MATCH($B339,'MOA role matrix'!$B$1:$D$1,0))="Fill","LOA holder 1, ","")IF(INDEX('MOA role matrix'!$B$2:$D$13,7,MATCH($B339,'MOA role matrix'!$B$1:$D$1,0))="If finance","LOA holder 1 (if finance), ","")IF(INDEX('MOA role matrix'!$B$2:$D$13,7,MATCH($B339,'MOA role matrix'!$B$1:$D$1,0))="Auto","LOA holder 1 (auto), ","")IF(INDEX('MOA role matrix'!$B$2:$D$13,8,MATCH($B339,'MOA role matrix'!$B$1:$D$1,0))="Fill","LOA holder 2, ","")IF(INDEX('MOA role matrix'!$B$2:$D$13,8,MATCH($B339,'MOA role matrix'!$B$1:$D$1,0))="If finance","LOA holder 2 (if finance), ","")IF(INDEX('MOA role matrix'!$B$2:$D$13,8,MATCH($B339,'MOA role matrix'!$B$1:$D$1,0))="Auto","LOA holder 2 (auto), ","")IF(INDEX('MOA role matrix'!$B$2:$D$13,9,MATCH($B339,'MOA role matrix'!$B$1:$D$1,0))="Fill","Senior Manager CoSec, ","")IF(INDEX('MOA role matrix'!$B$2:$D$13,9,MATCH($B339,'MOA role matrix'!$B$1:$D$1,0))="If finance","Senior Manager CoSec (if finance), ","")IF(INDEX('MOA role matrix'!$B$2:$D$13,9,MATCH($B339,'MOA role matrix'!$B$1:$D$1,0))="Auto","Senior Manager CoSec (auto), ","")IF(INDEX('MOA role matrix'!$B$2:$D$13,10,MATCH($B339,'MOA role matrix'!$B$1:$D$1,0))="Fill","Division MOI managers, ","")IF(INDEX('MOA role matrix'!$B$2:$D$13,10,MATCH($B339,'MOA role matrix'!$B$1:$D$1,0))="If finance","Division MOI managers (if finance), ","")IF(INDEX('MOA role matrix'!$B$2:$D$13,10,MATCH($B339,'MOA role matrix'!$B$1:$D$1,0))="Auto","Division MOI managers (auto), ","")IF(INDEX('MOA role matrix'!$B$2:$D$13,11,MATCH($B339,'MOA role matrix'!$B$1:$D$1,0))="Fill","Ms Teh (bank), ","")IF(INDEX('MOA role matrix'!$B$2:$D$13,11,MATCH($B339,'MOA role matrix'!$B$1:$D$1,0))="If finance","Ms Teh (bank) (if finance), ","")IF(INDEX('MOA role matrix'!$B$2:$D$13,11,MATCH($B339,'MOA role matrix'!$B$1:$D$1,0))="Auto","Ms Teh (bank) (auto), ","")IF(INDEX('MOA role matrix'!$B$2:$D$13,12,MATCH($B339,'MOA role matrix'!$B$1:$D$1,0))="Fill","DLCM, ","")IF(INDEX('MOA role matrix'!$B$2:$D$13,12,MATCH($B339,'MOA role matrix'!$B$1:$D$1,0))="If finance","DLCM (if finance), ","")IF(INDEX('MOA role matrix'!$B$2:$D$13,12,MATCH($B339,'MOA role matrix'!$B$1:$D$1,0))="Auto","DLCM (auto), ","")))</f>
        <v/>
      </c>
      <c r="D339" s="5">
        <f>IF($A339="","",IFERROR(INDEX(FILTER('Client contacts'!$B$2:$B$500,('Client contacts'!$A$2:$A$500=$A339)*('Client contacts'!$H$2:$H$500="Y"),""),1),""))</f>
        <v/>
      </c>
      <c r="E339" s="5">
        <f>IF($A339="","",IFERROR(INDEX(FILTER('Client contacts'!$C$2:$C$500,('Client contacts'!$A$2:$A$500=$A339)*('Client contacts'!$H$2:$H$500="Y"),""),1),""))</f>
        <v/>
      </c>
      <c r="F339" s="5">
        <f>IF($A339="","",IFERROR(INDEX(FILTER('Client contacts'!$B$2:$B$500,('Client contacts'!$A$2:$A$500=$A339)*('Client contacts'!$G$2:$G$500="Y"),""),1),""))</f>
        <v/>
      </c>
      <c r="G339" s="5">
        <f>IF($A339="","",IFERROR(INDEX(FILTER('Client contacts'!$C$2:$C$500,('Client contacts'!$A$2:$A$500=$A339)*('Client contacts'!$G$2:$G$500="Y"),""),1),""))</f>
        <v/>
      </c>
      <c r="H339" s="5">
        <f>IF($A339="","",IFERROR(INDEX(FILTER('Client contacts'!$B$2:$B$500,('Client contacts'!$A$2:$A$500=$A339)*('Client contacts'!$G$2:$G$500="Y"),""),2),""))</f>
        <v/>
      </c>
      <c r="I339" s="5">
        <f>IF($A339="","",IFERROR(INDEX(FILTER('Client contacts'!$C$2:$C$500,('Client contacts'!$A$2:$A$500=$A339)*('Client contacts'!$G$2:$G$500="Y"),""),2),""))</f>
        <v/>
      </c>
      <c r="J339" s="8" t="n"/>
      <c r="K339" s="8" t="n"/>
      <c r="L339" s="8" t="n"/>
      <c r="M339" s="8" t="n"/>
      <c r="N339" s="8" t="n"/>
      <c r="O339" s="8" t="n"/>
      <c r="P339" s="8" t="n"/>
      <c r="Q339" s="8" t="n"/>
      <c r="R339" s="5">
        <f>IF($A339="","",IFERROR(INDEX(Companies!$I$2:$I$500,MATCH($A339,Companies!$A$2:$A$500,0)),""))</f>
        <v/>
      </c>
      <c r="S339" s="8" t="n"/>
      <c r="T339" s="8" t="n"/>
      <c r="U339" s="8" t="n"/>
      <c r="V339" s="8" t="n"/>
      <c r="W339" s="8" t="n"/>
    </row>
    <row r="340">
      <c r="C340" s="5">
        <f>IF($B340="","",TRIM(IF(INDEX('MOA role matrix'!$B$2:$D$13,1,MATCH($B340,'MOA role matrix'!$B$1:$D$1,0))="Fill","Project initiator, ","")IF(INDEX('MOA role matrix'!$B$2:$D$13,1,MATCH($B340,'MOA role matrix'!$B$1:$D$1,0))="If finance","Project initiator (if finance), ","")IF(INDEX('MOA role matrix'!$B$2:$D$13,1,MATCH($B340,'MOA role matrix'!$B$1:$D$1,0))="Auto","Project initiator (auto), ","")IF(INDEX('MOA role matrix'!$B$2:$D$13,2,MATCH($B340,'MOA role matrix'!$B$1:$D$1,0))="Fill","MOA signers (client), ","")IF(INDEX('MOA role matrix'!$B$2:$D$13,2,MATCH($B340,'MOA role matrix'!$B$1:$D$1,0))="If finance","MOA signers (client) (if finance), ","")IF(INDEX('MOA role matrix'!$B$2:$D$13,2,MATCH($B340,'MOA role matrix'!$B$1:$D$1,0))="Auto","MOA signers (client) (auto), ","")IF(INDEX('MOA role matrix'!$B$2:$D$13,3,MATCH($B340,'MOA role matrix'!$B$1:$D$1,0))="Fill","CFO / Head of Finance, ","")IF(INDEX('MOA role matrix'!$B$2:$D$13,3,MATCH($B340,'MOA role matrix'!$B$1:$D$1,0))="If finance","CFO / Head of Finance (if finance), ","")IF(INDEX('MOA role matrix'!$B$2:$D$13,3,MATCH($B340,'MOA role matrix'!$B$1:$D$1,0))="Auto","CFO / Head of Finance (auto), ","")IF(INDEX('MOA role matrix'!$B$2:$D$13,4,MATCH($B340,'MOA role matrix'!$B$1:$D$1,0))="Fill","CEO / COO / GM, ","")IF(INDEX('MOA role matrix'!$B$2:$D$13,4,MATCH($B340,'MOA role matrix'!$B$1:$D$1,0))="If finance","CEO / COO / GM (if finance), ","")IF(INDEX('MOA role matrix'!$B$2:$D$13,4,MATCH($B340,'MOA role matrix'!$B$1:$D$1,0))="Auto","CEO / COO / GM (auto), ","")IF(INDEX('MOA role matrix'!$B$2:$D$13,5,MATCH($B340,'MOA role matrix'!$B$1:$D$1,0))="Fill","Board member 1, ","")IF(INDEX('MOA role matrix'!$B$2:$D$13,5,MATCH($B340,'MOA role matrix'!$B$1:$D$1,0))="If finance","Board member 1 (if finance), ","")IF(INDEX('MOA role matrix'!$B$2:$D$13,5,MATCH($B340,'MOA role matrix'!$B$1:$D$1,0))="Auto","Board member 1 (auto), ","")IF(INDEX('MOA role matrix'!$B$2:$D$13,6,MATCH($B340,'MOA role matrix'!$B$1:$D$1,0))="Fill","Board member 2, ","")IF(INDEX('MOA role matrix'!$B$2:$D$13,6,MATCH($B340,'MOA role matrix'!$B$1:$D$1,0))="If finance","Board member 2 (if finance), ","")IF(INDEX('MOA role matrix'!$B$2:$D$13,6,MATCH($B340,'MOA role matrix'!$B$1:$D$1,0))="Auto","Board member 2 (auto), ","")IF(INDEX('MOA role matrix'!$B$2:$D$13,7,MATCH($B340,'MOA role matrix'!$B$1:$D$1,0))="Fill","LOA holder 1, ","")IF(INDEX('MOA role matrix'!$B$2:$D$13,7,MATCH($B340,'MOA role matrix'!$B$1:$D$1,0))="If finance","LOA holder 1 (if finance), ","")IF(INDEX('MOA role matrix'!$B$2:$D$13,7,MATCH($B340,'MOA role matrix'!$B$1:$D$1,0))="Auto","LOA holder 1 (auto), ","")IF(INDEX('MOA role matrix'!$B$2:$D$13,8,MATCH($B340,'MOA role matrix'!$B$1:$D$1,0))="Fill","LOA holder 2, ","")IF(INDEX('MOA role matrix'!$B$2:$D$13,8,MATCH($B340,'MOA role matrix'!$B$1:$D$1,0))="If finance","LOA holder 2 (if finance), ","")IF(INDEX('MOA role matrix'!$B$2:$D$13,8,MATCH($B340,'MOA role matrix'!$B$1:$D$1,0))="Auto","LOA holder 2 (auto), ","")IF(INDEX('MOA role matrix'!$B$2:$D$13,9,MATCH($B340,'MOA role matrix'!$B$1:$D$1,0))="Fill","Senior Manager CoSec, ","")IF(INDEX('MOA role matrix'!$B$2:$D$13,9,MATCH($B340,'MOA role matrix'!$B$1:$D$1,0))="If finance","Senior Manager CoSec (if finance), ","")IF(INDEX('MOA role matrix'!$B$2:$D$13,9,MATCH($B340,'MOA role matrix'!$B$1:$D$1,0))="Auto","Senior Manager CoSec (auto), ","")IF(INDEX('MOA role matrix'!$B$2:$D$13,10,MATCH($B340,'MOA role matrix'!$B$1:$D$1,0))="Fill","Division MOI managers, ","")IF(INDEX('MOA role matrix'!$B$2:$D$13,10,MATCH($B340,'MOA role matrix'!$B$1:$D$1,0))="If finance","Division MOI managers (if finance), ","")IF(INDEX('MOA role matrix'!$B$2:$D$13,10,MATCH($B340,'MOA role matrix'!$B$1:$D$1,0))="Auto","Division MOI managers (auto), ","")IF(INDEX('MOA role matrix'!$B$2:$D$13,11,MATCH($B340,'MOA role matrix'!$B$1:$D$1,0))="Fill","Ms Teh (bank), ","")IF(INDEX('MOA role matrix'!$B$2:$D$13,11,MATCH($B340,'MOA role matrix'!$B$1:$D$1,0))="If finance","Ms Teh (bank) (if finance), ","")IF(INDEX('MOA role matrix'!$B$2:$D$13,11,MATCH($B340,'MOA role matrix'!$B$1:$D$1,0))="Auto","Ms Teh (bank) (auto), ","")IF(INDEX('MOA role matrix'!$B$2:$D$13,12,MATCH($B340,'MOA role matrix'!$B$1:$D$1,0))="Fill","DLCM, ","")IF(INDEX('MOA role matrix'!$B$2:$D$13,12,MATCH($B340,'MOA role matrix'!$B$1:$D$1,0))="If finance","DLCM (if finance), ","")IF(INDEX('MOA role matrix'!$B$2:$D$13,12,MATCH($B340,'MOA role matrix'!$B$1:$D$1,0))="Auto","DLCM (auto), ","")))</f>
        <v/>
      </c>
      <c r="D340" s="5">
        <f>IF($A340="","",IFERROR(INDEX(FILTER('Client contacts'!$B$2:$B$500,('Client contacts'!$A$2:$A$500=$A340)*('Client contacts'!$H$2:$H$500="Y"),""),1),""))</f>
        <v/>
      </c>
      <c r="E340" s="5">
        <f>IF($A340="","",IFERROR(INDEX(FILTER('Client contacts'!$C$2:$C$500,('Client contacts'!$A$2:$A$500=$A340)*('Client contacts'!$H$2:$H$500="Y"),""),1),""))</f>
        <v/>
      </c>
      <c r="F340" s="5">
        <f>IF($A340="","",IFERROR(INDEX(FILTER('Client contacts'!$B$2:$B$500,('Client contacts'!$A$2:$A$500=$A340)*('Client contacts'!$G$2:$G$500="Y"),""),1),""))</f>
        <v/>
      </c>
      <c r="G340" s="5">
        <f>IF($A340="","",IFERROR(INDEX(FILTER('Client contacts'!$C$2:$C$500,('Client contacts'!$A$2:$A$500=$A340)*('Client contacts'!$G$2:$G$500="Y"),""),1),""))</f>
        <v/>
      </c>
      <c r="H340" s="5">
        <f>IF($A340="","",IFERROR(INDEX(FILTER('Client contacts'!$B$2:$B$500,('Client contacts'!$A$2:$A$500=$A340)*('Client contacts'!$G$2:$G$500="Y"),""),2),""))</f>
        <v/>
      </c>
      <c r="I340" s="5">
        <f>IF($A340="","",IFERROR(INDEX(FILTER('Client contacts'!$C$2:$C$500,('Client contacts'!$A$2:$A$500=$A340)*('Client contacts'!$G$2:$G$500="Y"),""),2),""))</f>
        <v/>
      </c>
      <c r="J340" s="8" t="n"/>
      <c r="K340" s="8" t="n"/>
      <c r="L340" s="8" t="n"/>
      <c r="M340" s="8" t="n"/>
      <c r="N340" s="8" t="n"/>
      <c r="O340" s="8" t="n"/>
      <c r="P340" s="8" t="n"/>
      <c r="Q340" s="8" t="n"/>
      <c r="R340" s="5">
        <f>IF($A340="","",IFERROR(INDEX(Companies!$I$2:$I$500,MATCH($A340,Companies!$A$2:$A$500,0)),""))</f>
        <v/>
      </c>
      <c r="S340" s="8" t="n"/>
      <c r="T340" s="8" t="n"/>
      <c r="U340" s="8" t="n"/>
      <c r="V340" s="8" t="n"/>
      <c r="W340" s="8" t="n"/>
    </row>
    <row r="341">
      <c r="C341" s="5">
        <f>IF($B341="","",TRIM(IF(INDEX('MOA role matrix'!$B$2:$D$13,1,MATCH($B341,'MOA role matrix'!$B$1:$D$1,0))="Fill","Project initiator, ","")IF(INDEX('MOA role matrix'!$B$2:$D$13,1,MATCH($B341,'MOA role matrix'!$B$1:$D$1,0))="If finance","Project initiator (if finance), ","")IF(INDEX('MOA role matrix'!$B$2:$D$13,1,MATCH($B341,'MOA role matrix'!$B$1:$D$1,0))="Auto","Project initiator (auto), ","")IF(INDEX('MOA role matrix'!$B$2:$D$13,2,MATCH($B341,'MOA role matrix'!$B$1:$D$1,0))="Fill","MOA signers (client), ","")IF(INDEX('MOA role matrix'!$B$2:$D$13,2,MATCH($B341,'MOA role matrix'!$B$1:$D$1,0))="If finance","MOA signers (client) (if finance), ","")IF(INDEX('MOA role matrix'!$B$2:$D$13,2,MATCH($B341,'MOA role matrix'!$B$1:$D$1,0))="Auto","MOA signers (client) (auto), ","")IF(INDEX('MOA role matrix'!$B$2:$D$13,3,MATCH($B341,'MOA role matrix'!$B$1:$D$1,0))="Fill","CFO / Head of Finance, ","")IF(INDEX('MOA role matrix'!$B$2:$D$13,3,MATCH($B341,'MOA role matrix'!$B$1:$D$1,0))="If finance","CFO / Head of Finance (if finance), ","")IF(INDEX('MOA role matrix'!$B$2:$D$13,3,MATCH($B341,'MOA role matrix'!$B$1:$D$1,0))="Auto","CFO / Head of Finance (auto), ","")IF(INDEX('MOA role matrix'!$B$2:$D$13,4,MATCH($B341,'MOA role matrix'!$B$1:$D$1,0))="Fill","CEO / COO / GM, ","")IF(INDEX('MOA role matrix'!$B$2:$D$13,4,MATCH($B341,'MOA role matrix'!$B$1:$D$1,0))="If finance","CEO / COO / GM (if finance), ","")IF(INDEX('MOA role matrix'!$B$2:$D$13,4,MATCH($B341,'MOA role matrix'!$B$1:$D$1,0))="Auto","CEO / COO / GM (auto), ","")IF(INDEX('MOA role matrix'!$B$2:$D$13,5,MATCH($B341,'MOA role matrix'!$B$1:$D$1,0))="Fill","Board member 1, ","")IF(INDEX('MOA role matrix'!$B$2:$D$13,5,MATCH($B341,'MOA role matrix'!$B$1:$D$1,0))="If finance","Board member 1 (if finance), ","")IF(INDEX('MOA role matrix'!$B$2:$D$13,5,MATCH($B341,'MOA role matrix'!$B$1:$D$1,0))="Auto","Board member 1 (auto), ","")IF(INDEX('MOA role matrix'!$B$2:$D$13,6,MATCH($B341,'MOA role matrix'!$B$1:$D$1,0))="Fill","Board member 2, ","")IF(INDEX('MOA role matrix'!$B$2:$D$13,6,MATCH($B341,'MOA role matrix'!$B$1:$D$1,0))="If finance","Board member 2 (if finance), ","")IF(INDEX('MOA role matrix'!$B$2:$D$13,6,MATCH($B341,'MOA role matrix'!$B$1:$D$1,0))="Auto","Board member 2 (auto), ","")IF(INDEX('MOA role matrix'!$B$2:$D$13,7,MATCH($B341,'MOA role matrix'!$B$1:$D$1,0))="Fill","LOA holder 1, ","")IF(INDEX('MOA role matrix'!$B$2:$D$13,7,MATCH($B341,'MOA role matrix'!$B$1:$D$1,0))="If finance","LOA holder 1 (if finance), ","")IF(INDEX('MOA role matrix'!$B$2:$D$13,7,MATCH($B341,'MOA role matrix'!$B$1:$D$1,0))="Auto","LOA holder 1 (auto), ","")IF(INDEX('MOA role matrix'!$B$2:$D$13,8,MATCH($B341,'MOA role matrix'!$B$1:$D$1,0))="Fill","LOA holder 2, ","")IF(INDEX('MOA role matrix'!$B$2:$D$13,8,MATCH($B341,'MOA role matrix'!$B$1:$D$1,0))="If finance","LOA holder 2 (if finance), ","")IF(INDEX('MOA role matrix'!$B$2:$D$13,8,MATCH($B341,'MOA role matrix'!$B$1:$D$1,0))="Auto","LOA holder 2 (auto), ","")IF(INDEX('MOA role matrix'!$B$2:$D$13,9,MATCH($B341,'MOA role matrix'!$B$1:$D$1,0))="Fill","Senior Manager CoSec, ","")IF(INDEX('MOA role matrix'!$B$2:$D$13,9,MATCH($B341,'MOA role matrix'!$B$1:$D$1,0))="If finance","Senior Manager CoSec (if finance), ","")IF(INDEX('MOA role matrix'!$B$2:$D$13,9,MATCH($B341,'MOA role matrix'!$B$1:$D$1,0))="Auto","Senior Manager CoSec (auto), ","")IF(INDEX('MOA role matrix'!$B$2:$D$13,10,MATCH($B341,'MOA role matrix'!$B$1:$D$1,0))="Fill","Division MOI managers, ","")IF(INDEX('MOA role matrix'!$B$2:$D$13,10,MATCH($B341,'MOA role matrix'!$B$1:$D$1,0))="If finance","Division MOI managers (if finance), ","")IF(INDEX('MOA role matrix'!$B$2:$D$13,10,MATCH($B341,'MOA role matrix'!$B$1:$D$1,0))="Auto","Division MOI managers (auto), ","")IF(INDEX('MOA role matrix'!$B$2:$D$13,11,MATCH($B341,'MOA role matrix'!$B$1:$D$1,0))="Fill","Ms Teh (bank), ","")IF(INDEX('MOA role matrix'!$B$2:$D$13,11,MATCH($B341,'MOA role matrix'!$B$1:$D$1,0))="If finance","Ms Teh (bank) (if finance), ","")IF(INDEX('MOA role matrix'!$B$2:$D$13,11,MATCH($B341,'MOA role matrix'!$B$1:$D$1,0))="Auto","Ms Teh (bank) (auto), ","")IF(INDEX('MOA role matrix'!$B$2:$D$13,12,MATCH($B341,'MOA role matrix'!$B$1:$D$1,0))="Fill","DLCM, ","")IF(INDEX('MOA role matrix'!$B$2:$D$13,12,MATCH($B341,'MOA role matrix'!$B$1:$D$1,0))="If finance","DLCM (if finance), ","")IF(INDEX('MOA role matrix'!$B$2:$D$13,12,MATCH($B341,'MOA role matrix'!$B$1:$D$1,0))="Auto","DLCM (auto), ","")))</f>
        <v/>
      </c>
      <c r="D341" s="5">
        <f>IF($A341="","",IFERROR(INDEX(FILTER('Client contacts'!$B$2:$B$500,('Client contacts'!$A$2:$A$500=$A341)*('Client contacts'!$H$2:$H$500="Y"),""),1),""))</f>
        <v/>
      </c>
      <c r="E341" s="5">
        <f>IF($A341="","",IFERROR(INDEX(FILTER('Client contacts'!$C$2:$C$500,('Client contacts'!$A$2:$A$500=$A341)*('Client contacts'!$H$2:$H$500="Y"),""),1),""))</f>
        <v/>
      </c>
      <c r="F341" s="5">
        <f>IF($A341="","",IFERROR(INDEX(FILTER('Client contacts'!$B$2:$B$500,('Client contacts'!$A$2:$A$500=$A341)*('Client contacts'!$G$2:$G$500="Y"),""),1),""))</f>
        <v/>
      </c>
      <c r="G341" s="5">
        <f>IF($A341="","",IFERROR(INDEX(FILTER('Client contacts'!$C$2:$C$500,('Client contacts'!$A$2:$A$500=$A341)*('Client contacts'!$G$2:$G$500="Y"),""),1),""))</f>
        <v/>
      </c>
      <c r="H341" s="5">
        <f>IF($A341="","",IFERROR(INDEX(FILTER('Client contacts'!$B$2:$B$500,('Client contacts'!$A$2:$A$500=$A341)*('Client contacts'!$G$2:$G$500="Y"),""),2),""))</f>
        <v/>
      </c>
      <c r="I341" s="5">
        <f>IF($A341="","",IFERROR(INDEX(FILTER('Client contacts'!$C$2:$C$500,('Client contacts'!$A$2:$A$500=$A341)*('Client contacts'!$G$2:$G$500="Y"),""),2),""))</f>
        <v/>
      </c>
      <c r="J341" s="8" t="n"/>
      <c r="K341" s="8" t="n"/>
      <c r="L341" s="8" t="n"/>
      <c r="M341" s="8" t="n"/>
      <c r="N341" s="8" t="n"/>
      <c r="O341" s="8" t="n"/>
      <c r="P341" s="8" t="n"/>
      <c r="Q341" s="8" t="n"/>
      <c r="R341" s="5">
        <f>IF($A341="","",IFERROR(INDEX(Companies!$I$2:$I$500,MATCH($A341,Companies!$A$2:$A$500,0)),""))</f>
        <v/>
      </c>
      <c r="S341" s="8" t="n"/>
      <c r="T341" s="8" t="n"/>
      <c r="U341" s="8" t="n"/>
      <c r="V341" s="8" t="n"/>
      <c r="W341" s="8" t="n"/>
    </row>
    <row r="342">
      <c r="C342" s="5">
        <f>IF($B342="","",TRIM(IF(INDEX('MOA role matrix'!$B$2:$D$13,1,MATCH($B342,'MOA role matrix'!$B$1:$D$1,0))="Fill","Project initiator, ","")IF(INDEX('MOA role matrix'!$B$2:$D$13,1,MATCH($B342,'MOA role matrix'!$B$1:$D$1,0))="If finance","Project initiator (if finance), ","")IF(INDEX('MOA role matrix'!$B$2:$D$13,1,MATCH($B342,'MOA role matrix'!$B$1:$D$1,0))="Auto","Project initiator (auto), ","")IF(INDEX('MOA role matrix'!$B$2:$D$13,2,MATCH($B342,'MOA role matrix'!$B$1:$D$1,0))="Fill","MOA signers (client), ","")IF(INDEX('MOA role matrix'!$B$2:$D$13,2,MATCH($B342,'MOA role matrix'!$B$1:$D$1,0))="If finance","MOA signers (client) (if finance), ","")IF(INDEX('MOA role matrix'!$B$2:$D$13,2,MATCH($B342,'MOA role matrix'!$B$1:$D$1,0))="Auto","MOA signers (client) (auto), ","")IF(INDEX('MOA role matrix'!$B$2:$D$13,3,MATCH($B342,'MOA role matrix'!$B$1:$D$1,0))="Fill","CFO / Head of Finance, ","")IF(INDEX('MOA role matrix'!$B$2:$D$13,3,MATCH($B342,'MOA role matrix'!$B$1:$D$1,0))="If finance","CFO / Head of Finance (if finance), ","")IF(INDEX('MOA role matrix'!$B$2:$D$13,3,MATCH($B342,'MOA role matrix'!$B$1:$D$1,0))="Auto","CFO / Head of Finance (auto), ","")IF(INDEX('MOA role matrix'!$B$2:$D$13,4,MATCH($B342,'MOA role matrix'!$B$1:$D$1,0))="Fill","CEO / COO / GM, ","")IF(INDEX('MOA role matrix'!$B$2:$D$13,4,MATCH($B342,'MOA role matrix'!$B$1:$D$1,0))="If finance","CEO / COO / GM (if finance), ","")IF(INDEX('MOA role matrix'!$B$2:$D$13,4,MATCH($B342,'MOA role matrix'!$B$1:$D$1,0))="Auto","CEO / COO / GM (auto), ","")IF(INDEX('MOA role matrix'!$B$2:$D$13,5,MATCH($B342,'MOA role matrix'!$B$1:$D$1,0))="Fill","Board member 1, ","")IF(INDEX('MOA role matrix'!$B$2:$D$13,5,MATCH($B342,'MOA role matrix'!$B$1:$D$1,0))="If finance","Board member 1 (if finance), ","")IF(INDEX('MOA role matrix'!$B$2:$D$13,5,MATCH($B342,'MOA role matrix'!$B$1:$D$1,0))="Auto","Board member 1 (auto), ","")IF(INDEX('MOA role matrix'!$B$2:$D$13,6,MATCH($B342,'MOA role matrix'!$B$1:$D$1,0))="Fill","Board member 2, ","")IF(INDEX('MOA role matrix'!$B$2:$D$13,6,MATCH($B342,'MOA role matrix'!$B$1:$D$1,0))="If finance","Board member 2 (if finance), ","")IF(INDEX('MOA role matrix'!$B$2:$D$13,6,MATCH($B342,'MOA role matrix'!$B$1:$D$1,0))="Auto","Board member 2 (auto), ","")IF(INDEX('MOA role matrix'!$B$2:$D$13,7,MATCH($B342,'MOA role matrix'!$B$1:$D$1,0))="Fill","LOA holder 1, ","")IF(INDEX('MOA role matrix'!$B$2:$D$13,7,MATCH($B342,'MOA role matrix'!$B$1:$D$1,0))="If finance","LOA holder 1 (if finance), ","")IF(INDEX('MOA role matrix'!$B$2:$D$13,7,MATCH($B342,'MOA role matrix'!$B$1:$D$1,0))="Auto","LOA holder 1 (auto), ","")IF(INDEX('MOA role matrix'!$B$2:$D$13,8,MATCH($B342,'MOA role matrix'!$B$1:$D$1,0))="Fill","LOA holder 2, ","")IF(INDEX('MOA role matrix'!$B$2:$D$13,8,MATCH($B342,'MOA role matrix'!$B$1:$D$1,0))="If finance","LOA holder 2 (if finance), ","")IF(INDEX('MOA role matrix'!$B$2:$D$13,8,MATCH($B342,'MOA role matrix'!$B$1:$D$1,0))="Auto","LOA holder 2 (auto), ","")IF(INDEX('MOA role matrix'!$B$2:$D$13,9,MATCH($B342,'MOA role matrix'!$B$1:$D$1,0))="Fill","Senior Manager CoSec, ","")IF(INDEX('MOA role matrix'!$B$2:$D$13,9,MATCH($B342,'MOA role matrix'!$B$1:$D$1,0))="If finance","Senior Manager CoSec (if finance), ","")IF(INDEX('MOA role matrix'!$B$2:$D$13,9,MATCH($B342,'MOA role matrix'!$B$1:$D$1,0))="Auto","Senior Manager CoSec (auto), ","")IF(INDEX('MOA role matrix'!$B$2:$D$13,10,MATCH($B342,'MOA role matrix'!$B$1:$D$1,0))="Fill","Division MOI managers, ","")IF(INDEX('MOA role matrix'!$B$2:$D$13,10,MATCH($B342,'MOA role matrix'!$B$1:$D$1,0))="If finance","Division MOI managers (if finance), ","")IF(INDEX('MOA role matrix'!$B$2:$D$13,10,MATCH($B342,'MOA role matrix'!$B$1:$D$1,0))="Auto","Division MOI managers (auto), ","")IF(INDEX('MOA role matrix'!$B$2:$D$13,11,MATCH($B342,'MOA role matrix'!$B$1:$D$1,0))="Fill","Ms Teh (bank), ","")IF(INDEX('MOA role matrix'!$B$2:$D$13,11,MATCH($B342,'MOA role matrix'!$B$1:$D$1,0))="If finance","Ms Teh (bank) (if finance), ","")IF(INDEX('MOA role matrix'!$B$2:$D$13,11,MATCH($B342,'MOA role matrix'!$B$1:$D$1,0))="Auto","Ms Teh (bank) (auto), ","")IF(INDEX('MOA role matrix'!$B$2:$D$13,12,MATCH($B342,'MOA role matrix'!$B$1:$D$1,0))="Fill","DLCM, ","")IF(INDEX('MOA role matrix'!$B$2:$D$13,12,MATCH($B342,'MOA role matrix'!$B$1:$D$1,0))="If finance","DLCM (if finance), ","")IF(INDEX('MOA role matrix'!$B$2:$D$13,12,MATCH($B342,'MOA role matrix'!$B$1:$D$1,0))="Auto","DLCM (auto), ","")))</f>
        <v/>
      </c>
      <c r="D342" s="5">
        <f>IF($A342="","",IFERROR(INDEX(FILTER('Client contacts'!$B$2:$B$500,('Client contacts'!$A$2:$A$500=$A342)*('Client contacts'!$H$2:$H$500="Y"),""),1),""))</f>
        <v/>
      </c>
      <c r="E342" s="5">
        <f>IF($A342="","",IFERROR(INDEX(FILTER('Client contacts'!$C$2:$C$500,('Client contacts'!$A$2:$A$500=$A342)*('Client contacts'!$H$2:$H$500="Y"),""),1),""))</f>
        <v/>
      </c>
      <c r="F342" s="5">
        <f>IF($A342="","",IFERROR(INDEX(FILTER('Client contacts'!$B$2:$B$500,('Client contacts'!$A$2:$A$500=$A342)*('Client contacts'!$G$2:$G$500="Y"),""),1),""))</f>
        <v/>
      </c>
      <c r="G342" s="5">
        <f>IF($A342="","",IFERROR(INDEX(FILTER('Client contacts'!$C$2:$C$500,('Client contacts'!$A$2:$A$500=$A342)*('Client contacts'!$G$2:$G$500="Y"),""),1),""))</f>
        <v/>
      </c>
      <c r="H342" s="5">
        <f>IF($A342="","",IFERROR(INDEX(FILTER('Client contacts'!$B$2:$B$500,('Client contacts'!$A$2:$A$500=$A342)*('Client contacts'!$G$2:$G$500="Y"),""),2),""))</f>
        <v/>
      </c>
      <c r="I342" s="5">
        <f>IF($A342="","",IFERROR(INDEX(FILTER('Client contacts'!$C$2:$C$500,('Client contacts'!$A$2:$A$500=$A342)*('Client contacts'!$G$2:$G$500="Y"),""),2),""))</f>
        <v/>
      </c>
      <c r="J342" s="8" t="n"/>
      <c r="K342" s="8" t="n"/>
      <c r="L342" s="8" t="n"/>
      <c r="M342" s="8" t="n"/>
      <c r="N342" s="8" t="n"/>
      <c r="O342" s="8" t="n"/>
      <c r="P342" s="8" t="n"/>
      <c r="Q342" s="8" t="n"/>
      <c r="R342" s="5">
        <f>IF($A342="","",IFERROR(INDEX(Companies!$I$2:$I$500,MATCH($A342,Companies!$A$2:$A$500,0)),""))</f>
        <v/>
      </c>
      <c r="S342" s="8" t="n"/>
      <c r="T342" s="8" t="n"/>
      <c r="U342" s="8" t="n"/>
      <c r="V342" s="8" t="n"/>
      <c r="W342" s="8" t="n"/>
    </row>
    <row r="343">
      <c r="C343" s="5">
        <f>IF($B343="","",TRIM(IF(INDEX('MOA role matrix'!$B$2:$D$13,1,MATCH($B343,'MOA role matrix'!$B$1:$D$1,0))="Fill","Project initiator, ","")IF(INDEX('MOA role matrix'!$B$2:$D$13,1,MATCH($B343,'MOA role matrix'!$B$1:$D$1,0))="If finance","Project initiator (if finance), ","")IF(INDEX('MOA role matrix'!$B$2:$D$13,1,MATCH($B343,'MOA role matrix'!$B$1:$D$1,0))="Auto","Project initiator (auto), ","")IF(INDEX('MOA role matrix'!$B$2:$D$13,2,MATCH($B343,'MOA role matrix'!$B$1:$D$1,0))="Fill","MOA signers (client), ","")IF(INDEX('MOA role matrix'!$B$2:$D$13,2,MATCH($B343,'MOA role matrix'!$B$1:$D$1,0))="If finance","MOA signers (client) (if finance), ","")IF(INDEX('MOA role matrix'!$B$2:$D$13,2,MATCH($B343,'MOA role matrix'!$B$1:$D$1,0))="Auto","MOA signers (client) (auto), ","")IF(INDEX('MOA role matrix'!$B$2:$D$13,3,MATCH($B343,'MOA role matrix'!$B$1:$D$1,0))="Fill","CFO / Head of Finance, ","")IF(INDEX('MOA role matrix'!$B$2:$D$13,3,MATCH($B343,'MOA role matrix'!$B$1:$D$1,0))="If finance","CFO / Head of Finance (if finance), ","")IF(INDEX('MOA role matrix'!$B$2:$D$13,3,MATCH($B343,'MOA role matrix'!$B$1:$D$1,0))="Auto","CFO / Head of Finance (auto), ","")IF(INDEX('MOA role matrix'!$B$2:$D$13,4,MATCH($B343,'MOA role matrix'!$B$1:$D$1,0))="Fill","CEO / COO / GM, ","")IF(INDEX('MOA role matrix'!$B$2:$D$13,4,MATCH($B343,'MOA role matrix'!$B$1:$D$1,0))="If finance","CEO / COO / GM (if finance), ","")IF(INDEX('MOA role matrix'!$B$2:$D$13,4,MATCH($B343,'MOA role matrix'!$B$1:$D$1,0))="Auto","CEO / COO / GM (auto), ","")IF(INDEX('MOA role matrix'!$B$2:$D$13,5,MATCH($B343,'MOA role matrix'!$B$1:$D$1,0))="Fill","Board member 1, ","")IF(INDEX('MOA role matrix'!$B$2:$D$13,5,MATCH($B343,'MOA role matrix'!$B$1:$D$1,0))="If finance","Board member 1 (if finance), ","")IF(INDEX('MOA role matrix'!$B$2:$D$13,5,MATCH($B343,'MOA role matrix'!$B$1:$D$1,0))="Auto","Board member 1 (auto), ","")IF(INDEX('MOA role matrix'!$B$2:$D$13,6,MATCH($B343,'MOA role matrix'!$B$1:$D$1,0))="Fill","Board member 2, ","")IF(INDEX('MOA role matrix'!$B$2:$D$13,6,MATCH($B343,'MOA role matrix'!$B$1:$D$1,0))="If finance","Board member 2 (if finance), ","")IF(INDEX('MOA role matrix'!$B$2:$D$13,6,MATCH($B343,'MOA role matrix'!$B$1:$D$1,0))="Auto","Board member 2 (auto), ","")IF(INDEX('MOA role matrix'!$B$2:$D$13,7,MATCH($B343,'MOA role matrix'!$B$1:$D$1,0))="Fill","LOA holder 1, ","")IF(INDEX('MOA role matrix'!$B$2:$D$13,7,MATCH($B343,'MOA role matrix'!$B$1:$D$1,0))="If finance","LOA holder 1 (if finance), ","")IF(INDEX('MOA role matrix'!$B$2:$D$13,7,MATCH($B343,'MOA role matrix'!$B$1:$D$1,0))="Auto","LOA holder 1 (auto), ","")IF(INDEX('MOA role matrix'!$B$2:$D$13,8,MATCH($B343,'MOA role matrix'!$B$1:$D$1,0))="Fill","LOA holder 2, ","")IF(INDEX('MOA role matrix'!$B$2:$D$13,8,MATCH($B343,'MOA role matrix'!$B$1:$D$1,0))="If finance","LOA holder 2 (if finance), ","")IF(INDEX('MOA role matrix'!$B$2:$D$13,8,MATCH($B343,'MOA role matrix'!$B$1:$D$1,0))="Auto","LOA holder 2 (auto), ","")IF(INDEX('MOA role matrix'!$B$2:$D$13,9,MATCH($B343,'MOA role matrix'!$B$1:$D$1,0))="Fill","Senior Manager CoSec, ","")IF(INDEX('MOA role matrix'!$B$2:$D$13,9,MATCH($B343,'MOA role matrix'!$B$1:$D$1,0))="If finance","Senior Manager CoSec (if finance), ","")IF(INDEX('MOA role matrix'!$B$2:$D$13,9,MATCH($B343,'MOA role matrix'!$B$1:$D$1,0))="Auto","Senior Manager CoSec (auto), ","")IF(INDEX('MOA role matrix'!$B$2:$D$13,10,MATCH($B343,'MOA role matrix'!$B$1:$D$1,0))="Fill","Division MOI managers, ","")IF(INDEX('MOA role matrix'!$B$2:$D$13,10,MATCH($B343,'MOA role matrix'!$B$1:$D$1,0))="If finance","Division MOI managers (if finance), ","")IF(INDEX('MOA role matrix'!$B$2:$D$13,10,MATCH($B343,'MOA role matrix'!$B$1:$D$1,0))="Auto","Division MOI managers (auto), ","")IF(INDEX('MOA role matrix'!$B$2:$D$13,11,MATCH($B343,'MOA role matrix'!$B$1:$D$1,0))="Fill","Ms Teh (bank), ","")IF(INDEX('MOA role matrix'!$B$2:$D$13,11,MATCH($B343,'MOA role matrix'!$B$1:$D$1,0))="If finance","Ms Teh (bank) (if finance), ","")IF(INDEX('MOA role matrix'!$B$2:$D$13,11,MATCH($B343,'MOA role matrix'!$B$1:$D$1,0))="Auto","Ms Teh (bank) (auto), ","")IF(INDEX('MOA role matrix'!$B$2:$D$13,12,MATCH($B343,'MOA role matrix'!$B$1:$D$1,0))="Fill","DLCM, ","")IF(INDEX('MOA role matrix'!$B$2:$D$13,12,MATCH($B343,'MOA role matrix'!$B$1:$D$1,0))="If finance","DLCM (if finance), ","")IF(INDEX('MOA role matrix'!$B$2:$D$13,12,MATCH($B343,'MOA role matrix'!$B$1:$D$1,0))="Auto","DLCM (auto), ","")))</f>
        <v/>
      </c>
      <c r="D343" s="5">
        <f>IF($A343="","",IFERROR(INDEX(FILTER('Client contacts'!$B$2:$B$500,('Client contacts'!$A$2:$A$500=$A343)*('Client contacts'!$H$2:$H$500="Y"),""),1),""))</f>
        <v/>
      </c>
      <c r="E343" s="5">
        <f>IF($A343="","",IFERROR(INDEX(FILTER('Client contacts'!$C$2:$C$500,('Client contacts'!$A$2:$A$500=$A343)*('Client contacts'!$H$2:$H$500="Y"),""),1),""))</f>
        <v/>
      </c>
      <c r="F343" s="5">
        <f>IF($A343="","",IFERROR(INDEX(FILTER('Client contacts'!$B$2:$B$500,('Client contacts'!$A$2:$A$500=$A343)*('Client contacts'!$G$2:$G$500="Y"),""),1),""))</f>
        <v/>
      </c>
      <c r="G343" s="5">
        <f>IF($A343="","",IFERROR(INDEX(FILTER('Client contacts'!$C$2:$C$500,('Client contacts'!$A$2:$A$500=$A343)*('Client contacts'!$G$2:$G$500="Y"),""),1),""))</f>
        <v/>
      </c>
      <c r="H343" s="5">
        <f>IF($A343="","",IFERROR(INDEX(FILTER('Client contacts'!$B$2:$B$500,('Client contacts'!$A$2:$A$500=$A343)*('Client contacts'!$G$2:$G$500="Y"),""),2),""))</f>
        <v/>
      </c>
      <c r="I343" s="5">
        <f>IF($A343="","",IFERROR(INDEX(FILTER('Client contacts'!$C$2:$C$500,('Client contacts'!$A$2:$A$500=$A343)*('Client contacts'!$G$2:$G$500="Y"),""),2),""))</f>
        <v/>
      </c>
      <c r="J343" s="8" t="n"/>
      <c r="K343" s="8" t="n"/>
      <c r="L343" s="8" t="n"/>
      <c r="M343" s="8" t="n"/>
      <c r="N343" s="8" t="n"/>
      <c r="O343" s="8" t="n"/>
      <c r="P343" s="8" t="n"/>
      <c r="Q343" s="8" t="n"/>
      <c r="R343" s="5">
        <f>IF($A343="","",IFERROR(INDEX(Companies!$I$2:$I$500,MATCH($A343,Companies!$A$2:$A$500,0)),""))</f>
        <v/>
      </c>
      <c r="S343" s="8" t="n"/>
      <c r="T343" s="8" t="n"/>
      <c r="U343" s="8" t="n"/>
      <c r="V343" s="8" t="n"/>
      <c r="W343" s="8" t="n"/>
    </row>
    <row r="344">
      <c r="C344" s="5">
        <f>IF($B344="","",TRIM(IF(INDEX('MOA role matrix'!$B$2:$D$13,1,MATCH($B344,'MOA role matrix'!$B$1:$D$1,0))="Fill","Project initiator, ","")IF(INDEX('MOA role matrix'!$B$2:$D$13,1,MATCH($B344,'MOA role matrix'!$B$1:$D$1,0))="If finance","Project initiator (if finance), ","")IF(INDEX('MOA role matrix'!$B$2:$D$13,1,MATCH($B344,'MOA role matrix'!$B$1:$D$1,0))="Auto","Project initiator (auto), ","")IF(INDEX('MOA role matrix'!$B$2:$D$13,2,MATCH($B344,'MOA role matrix'!$B$1:$D$1,0))="Fill","MOA signers (client), ","")IF(INDEX('MOA role matrix'!$B$2:$D$13,2,MATCH($B344,'MOA role matrix'!$B$1:$D$1,0))="If finance","MOA signers (client) (if finance), ","")IF(INDEX('MOA role matrix'!$B$2:$D$13,2,MATCH($B344,'MOA role matrix'!$B$1:$D$1,0))="Auto","MOA signers (client) (auto), ","")IF(INDEX('MOA role matrix'!$B$2:$D$13,3,MATCH($B344,'MOA role matrix'!$B$1:$D$1,0))="Fill","CFO / Head of Finance, ","")IF(INDEX('MOA role matrix'!$B$2:$D$13,3,MATCH($B344,'MOA role matrix'!$B$1:$D$1,0))="If finance","CFO / Head of Finance (if finance), ","")IF(INDEX('MOA role matrix'!$B$2:$D$13,3,MATCH($B344,'MOA role matrix'!$B$1:$D$1,0))="Auto","CFO / Head of Finance (auto), ","")IF(INDEX('MOA role matrix'!$B$2:$D$13,4,MATCH($B344,'MOA role matrix'!$B$1:$D$1,0))="Fill","CEO / COO / GM, ","")IF(INDEX('MOA role matrix'!$B$2:$D$13,4,MATCH($B344,'MOA role matrix'!$B$1:$D$1,0))="If finance","CEO / COO / GM (if finance), ","")IF(INDEX('MOA role matrix'!$B$2:$D$13,4,MATCH($B344,'MOA role matrix'!$B$1:$D$1,0))="Auto","CEO / COO / GM (auto), ","")IF(INDEX('MOA role matrix'!$B$2:$D$13,5,MATCH($B344,'MOA role matrix'!$B$1:$D$1,0))="Fill","Board member 1, ","")IF(INDEX('MOA role matrix'!$B$2:$D$13,5,MATCH($B344,'MOA role matrix'!$B$1:$D$1,0))="If finance","Board member 1 (if finance), ","")IF(INDEX('MOA role matrix'!$B$2:$D$13,5,MATCH($B344,'MOA role matrix'!$B$1:$D$1,0))="Auto","Board member 1 (auto), ","")IF(INDEX('MOA role matrix'!$B$2:$D$13,6,MATCH($B344,'MOA role matrix'!$B$1:$D$1,0))="Fill","Board member 2, ","")IF(INDEX('MOA role matrix'!$B$2:$D$13,6,MATCH($B344,'MOA role matrix'!$B$1:$D$1,0))="If finance","Board member 2 (if finance), ","")IF(INDEX('MOA role matrix'!$B$2:$D$13,6,MATCH($B344,'MOA role matrix'!$B$1:$D$1,0))="Auto","Board member 2 (auto), ","")IF(INDEX('MOA role matrix'!$B$2:$D$13,7,MATCH($B344,'MOA role matrix'!$B$1:$D$1,0))="Fill","LOA holder 1, ","")IF(INDEX('MOA role matrix'!$B$2:$D$13,7,MATCH($B344,'MOA role matrix'!$B$1:$D$1,0))="If finance","LOA holder 1 (if finance), ","")IF(INDEX('MOA role matrix'!$B$2:$D$13,7,MATCH($B344,'MOA role matrix'!$B$1:$D$1,0))="Auto","LOA holder 1 (auto), ","")IF(INDEX('MOA role matrix'!$B$2:$D$13,8,MATCH($B344,'MOA role matrix'!$B$1:$D$1,0))="Fill","LOA holder 2, ","")IF(INDEX('MOA role matrix'!$B$2:$D$13,8,MATCH($B344,'MOA role matrix'!$B$1:$D$1,0))="If finance","LOA holder 2 (if finance), ","")IF(INDEX('MOA role matrix'!$B$2:$D$13,8,MATCH($B344,'MOA role matrix'!$B$1:$D$1,0))="Auto","LOA holder 2 (auto), ","")IF(INDEX('MOA role matrix'!$B$2:$D$13,9,MATCH($B344,'MOA role matrix'!$B$1:$D$1,0))="Fill","Senior Manager CoSec, ","")IF(INDEX('MOA role matrix'!$B$2:$D$13,9,MATCH($B344,'MOA role matrix'!$B$1:$D$1,0))="If finance","Senior Manager CoSec (if finance), ","")IF(INDEX('MOA role matrix'!$B$2:$D$13,9,MATCH($B344,'MOA role matrix'!$B$1:$D$1,0))="Auto","Senior Manager CoSec (auto), ","")IF(INDEX('MOA role matrix'!$B$2:$D$13,10,MATCH($B344,'MOA role matrix'!$B$1:$D$1,0))="Fill","Division MOI managers, ","")IF(INDEX('MOA role matrix'!$B$2:$D$13,10,MATCH($B344,'MOA role matrix'!$B$1:$D$1,0))="If finance","Division MOI managers (if finance), ","")IF(INDEX('MOA role matrix'!$B$2:$D$13,10,MATCH($B344,'MOA role matrix'!$B$1:$D$1,0))="Auto","Division MOI managers (auto), ","")IF(INDEX('MOA role matrix'!$B$2:$D$13,11,MATCH($B344,'MOA role matrix'!$B$1:$D$1,0))="Fill","Ms Teh (bank), ","")IF(INDEX('MOA role matrix'!$B$2:$D$13,11,MATCH($B344,'MOA role matrix'!$B$1:$D$1,0))="If finance","Ms Teh (bank) (if finance), ","")IF(INDEX('MOA role matrix'!$B$2:$D$13,11,MATCH($B344,'MOA role matrix'!$B$1:$D$1,0))="Auto","Ms Teh (bank) (auto), ","")IF(INDEX('MOA role matrix'!$B$2:$D$13,12,MATCH($B344,'MOA role matrix'!$B$1:$D$1,0))="Fill","DLCM, ","")IF(INDEX('MOA role matrix'!$B$2:$D$13,12,MATCH($B344,'MOA role matrix'!$B$1:$D$1,0))="If finance","DLCM (if finance), ","")IF(INDEX('MOA role matrix'!$B$2:$D$13,12,MATCH($B344,'MOA role matrix'!$B$1:$D$1,0))="Auto","DLCM (auto), ","")))</f>
        <v/>
      </c>
      <c r="D344" s="5">
        <f>IF($A344="","",IFERROR(INDEX(FILTER('Client contacts'!$B$2:$B$500,('Client contacts'!$A$2:$A$500=$A344)*('Client contacts'!$H$2:$H$500="Y"),""),1),""))</f>
        <v/>
      </c>
      <c r="E344" s="5">
        <f>IF($A344="","",IFERROR(INDEX(FILTER('Client contacts'!$C$2:$C$500,('Client contacts'!$A$2:$A$500=$A344)*('Client contacts'!$H$2:$H$500="Y"),""),1),""))</f>
        <v/>
      </c>
      <c r="F344" s="5">
        <f>IF($A344="","",IFERROR(INDEX(FILTER('Client contacts'!$B$2:$B$500,('Client contacts'!$A$2:$A$500=$A344)*('Client contacts'!$G$2:$G$500="Y"),""),1),""))</f>
        <v/>
      </c>
      <c r="G344" s="5">
        <f>IF($A344="","",IFERROR(INDEX(FILTER('Client contacts'!$C$2:$C$500,('Client contacts'!$A$2:$A$500=$A344)*('Client contacts'!$G$2:$G$500="Y"),""),1),""))</f>
        <v/>
      </c>
      <c r="H344" s="5">
        <f>IF($A344="","",IFERROR(INDEX(FILTER('Client contacts'!$B$2:$B$500,('Client contacts'!$A$2:$A$500=$A344)*('Client contacts'!$G$2:$G$500="Y"),""),2),""))</f>
        <v/>
      </c>
      <c r="I344" s="5">
        <f>IF($A344="","",IFERROR(INDEX(FILTER('Client contacts'!$C$2:$C$500,('Client contacts'!$A$2:$A$500=$A344)*('Client contacts'!$G$2:$G$500="Y"),""),2),""))</f>
        <v/>
      </c>
      <c r="J344" s="8" t="n"/>
      <c r="K344" s="8" t="n"/>
      <c r="L344" s="8" t="n"/>
      <c r="M344" s="8" t="n"/>
      <c r="N344" s="8" t="n"/>
      <c r="O344" s="8" t="n"/>
      <c r="P344" s="8" t="n"/>
      <c r="Q344" s="8" t="n"/>
      <c r="R344" s="5">
        <f>IF($A344="","",IFERROR(INDEX(Companies!$I$2:$I$500,MATCH($A344,Companies!$A$2:$A$500,0)),""))</f>
        <v/>
      </c>
      <c r="S344" s="8" t="n"/>
      <c r="T344" s="8" t="n"/>
      <c r="U344" s="8" t="n"/>
      <c r="V344" s="8" t="n"/>
      <c r="W344" s="8" t="n"/>
    </row>
    <row r="345">
      <c r="C345" s="5">
        <f>IF($B345="","",TRIM(IF(INDEX('MOA role matrix'!$B$2:$D$13,1,MATCH($B345,'MOA role matrix'!$B$1:$D$1,0))="Fill","Project initiator, ","")IF(INDEX('MOA role matrix'!$B$2:$D$13,1,MATCH($B345,'MOA role matrix'!$B$1:$D$1,0))="If finance","Project initiator (if finance), ","")IF(INDEX('MOA role matrix'!$B$2:$D$13,1,MATCH($B345,'MOA role matrix'!$B$1:$D$1,0))="Auto","Project initiator (auto), ","")IF(INDEX('MOA role matrix'!$B$2:$D$13,2,MATCH($B345,'MOA role matrix'!$B$1:$D$1,0))="Fill","MOA signers (client), ","")IF(INDEX('MOA role matrix'!$B$2:$D$13,2,MATCH($B345,'MOA role matrix'!$B$1:$D$1,0))="If finance","MOA signers (client) (if finance), ","")IF(INDEX('MOA role matrix'!$B$2:$D$13,2,MATCH($B345,'MOA role matrix'!$B$1:$D$1,0))="Auto","MOA signers (client) (auto), ","")IF(INDEX('MOA role matrix'!$B$2:$D$13,3,MATCH($B345,'MOA role matrix'!$B$1:$D$1,0))="Fill","CFO / Head of Finance, ","")IF(INDEX('MOA role matrix'!$B$2:$D$13,3,MATCH($B345,'MOA role matrix'!$B$1:$D$1,0))="If finance","CFO / Head of Finance (if finance), ","")IF(INDEX('MOA role matrix'!$B$2:$D$13,3,MATCH($B345,'MOA role matrix'!$B$1:$D$1,0))="Auto","CFO / Head of Finance (auto), ","")IF(INDEX('MOA role matrix'!$B$2:$D$13,4,MATCH($B345,'MOA role matrix'!$B$1:$D$1,0))="Fill","CEO / COO / GM, ","")IF(INDEX('MOA role matrix'!$B$2:$D$13,4,MATCH($B345,'MOA role matrix'!$B$1:$D$1,0))="If finance","CEO / COO / GM (if finance), ","")IF(INDEX('MOA role matrix'!$B$2:$D$13,4,MATCH($B345,'MOA role matrix'!$B$1:$D$1,0))="Auto","CEO / COO / GM (auto), ","")IF(INDEX('MOA role matrix'!$B$2:$D$13,5,MATCH($B345,'MOA role matrix'!$B$1:$D$1,0))="Fill","Board member 1, ","")IF(INDEX('MOA role matrix'!$B$2:$D$13,5,MATCH($B345,'MOA role matrix'!$B$1:$D$1,0))="If finance","Board member 1 (if finance), ","")IF(INDEX('MOA role matrix'!$B$2:$D$13,5,MATCH($B345,'MOA role matrix'!$B$1:$D$1,0))="Auto","Board member 1 (auto), ","")IF(INDEX('MOA role matrix'!$B$2:$D$13,6,MATCH($B345,'MOA role matrix'!$B$1:$D$1,0))="Fill","Board member 2, ","")IF(INDEX('MOA role matrix'!$B$2:$D$13,6,MATCH($B345,'MOA role matrix'!$B$1:$D$1,0))="If finance","Board member 2 (if finance), ","")IF(INDEX('MOA role matrix'!$B$2:$D$13,6,MATCH($B345,'MOA role matrix'!$B$1:$D$1,0))="Auto","Board member 2 (auto), ","")IF(INDEX('MOA role matrix'!$B$2:$D$13,7,MATCH($B345,'MOA role matrix'!$B$1:$D$1,0))="Fill","LOA holder 1, ","")IF(INDEX('MOA role matrix'!$B$2:$D$13,7,MATCH($B345,'MOA role matrix'!$B$1:$D$1,0))="If finance","LOA holder 1 (if finance), ","")IF(INDEX('MOA role matrix'!$B$2:$D$13,7,MATCH($B345,'MOA role matrix'!$B$1:$D$1,0))="Auto","LOA holder 1 (auto), ","")IF(INDEX('MOA role matrix'!$B$2:$D$13,8,MATCH($B345,'MOA role matrix'!$B$1:$D$1,0))="Fill","LOA holder 2, ","")IF(INDEX('MOA role matrix'!$B$2:$D$13,8,MATCH($B345,'MOA role matrix'!$B$1:$D$1,0))="If finance","LOA holder 2 (if finance), ","")IF(INDEX('MOA role matrix'!$B$2:$D$13,8,MATCH($B345,'MOA role matrix'!$B$1:$D$1,0))="Auto","LOA holder 2 (auto), ","")IF(INDEX('MOA role matrix'!$B$2:$D$13,9,MATCH($B345,'MOA role matrix'!$B$1:$D$1,0))="Fill","Senior Manager CoSec, ","")IF(INDEX('MOA role matrix'!$B$2:$D$13,9,MATCH($B345,'MOA role matrix'!$B$1:$D$1,0))="If finance","Senior Manager CoSec (if finance), ","")IF(INDEX('MOA role matrix'!$B$2:$D$13,9,MATCH($B345,'MOA role matrix'!$B$1:$D$1,0))="Auto","Senior Manager CoSec (auto), ","")IF(INDEX('MOA role matrix'!$B$2:$D$13,10,MATCH($B345,'MOA role matrix'!$B$1:$D$1,0))="Fill","Division MOI managers, ","")IF(INDEX('MOA role matrix'!$B$2:$D$13,10,MATCH($B345,'MOA role matrix'!$B$1:$D$1,0))="If finance","Division MOI managers (if finance), ","")IF(INDEX('MOA role matrix'!$B$2:$D$13,10,MATCH($B345,'MOA role matrix'!$B$1:$D$1,0))="Auto","Division MOI managers (auto), ","")IF(INDEX('MOA role matrix'!$B$2:$D$13,11,MATCH($B345,'MOA role matrix'!$B$1:$D$1,0))="Fill","Ms Teh (bank), ","")IF(INDEX('MOA role matrix'!$B$2:$D$13,11,MATCH($B345,'MOA role matrix'!$B$1:$D$1,0))="If finance","Ms Teh (bank) (if finance), ","")IF(INDEX('MOA role matrix'!$B$2:$D$13,11,MATCH($B345,'MOA role matrix'!$B$1:$D$1,0))="Auto","Ms Teh (bank) (auto), ","")IF(INDEX('MOA role matrix'!$B$2:$D$13,12,MATCH($B345,'MOA role matrix'!$B$1:$D$1,0))="Fill","DLCM, ","")IF(INDEX('MOA role matrix'!$B$2:$D$13,12,MATCH($B345,'MOA role matrix'!$B$1:$D$1,0))="If finance","DLCM (if finance), ","")IF(INDEX('MOA role matrix'!$B$2:$D$13,12,MATCH($B345,'MOA role matrix'!$B$1:$D$1,0))="Auto","DLCM (auto), ","")))</f>
        <v/>
      </c>
      <c r="D345" s="5">
        <f>IF($A345="","",IFERROR(INDEX(FILTER('Client contacts'!$B$2:$B$500,('Client contacts'!$A$2:$A$500=$A345)*('Client contacts'!$H$2:$H$500="Y"),""),1),""))</f>
        <v/>
      </c>
      <c r="E345" s="5">
        <f>IF($A345="","",IFERROR(INDEX(FILTER('Client contacts'!$C$2:$C$500,('Client contacts'!$A$2:$A$500=$A345)*('Client contacts'!$H$2:$H$500="Y"),""),1),""))</f>
        <v/>
      </c>
      <c r="F345" s="5">
        <f>IF($A345="","",IFERROR(INDEX(FILTER('Client contacts'!$B$2:$B$500,('Client contacts'!$A$2:$A$500=$A345)*('Client contacts'!$G$2:$G$500="Y"),""),1),""))</f>
        <v/>
      </c>
      <c r="G345" s="5">
        <f>IF($A345="","",IFERROR(INDEX(FILTER('Client contacts'!$C$2:$C$500,('Client contacts'!$A$2:$A$500=$A345)*('Client contacts'!$G$2:$G$500="Y"),""),1),""))</f>
        <v/>
      </c>
      <c r="H345" s="5">
        <f>IF($A345="","",IFERROR(INDEX(FILTER('Client contacts'!$B$2:$B$500,('Client contacts'!$A$2:$A$500=$A345)*('Client contacts'!$G$2:$G$500="Y"),""),2),""))</f>
        <v/>
      </c>
      <c r="I345" s="5">
        <f>IF($A345="","",IFERROR(INDEX(FILTER('Client contacts'!$C$2:$C$500,('Client contacts'!$A$2:$A$500=$A345)*('Client contacts'!$G$2:$G$500="Y"),""),2),""))</f>
        <v/>
      </c>
      <c r="J345" s="8" t="n"/>
      <c r="K345" s="8" t="n"/>
      <c r="L345" s="8" t="n"/>
      <c r="M345" s="8" t="n"/>
      <c r="N345" s="8" t="n"/>
      <c r="O345" s="8" t="n"/>
      <c r="P345" s="8" t="n"/>
      <c r="Q345" s="8" t="n"/>
      <c r="R345" s="5">
        <f>IF($A345="","",IFERROR(INDEX(Companies!$I$2:$I$500,MATCH($A345,Companies!$A$2:$A$500,0)),""))</f>
        <v/>
      </c>
      <c r="S345" s="8" t="n"/>
      <c r="T345" s="8" t="n"/>
      <c r="U345" s="8" t="n"/>
      <c r="V345" s="8" t="n"/>
      <c r="W345" s="8" t="n"/>
    </row>
    <row r="346">
      <c r="C346" s="5">
        <f>IF($B346="","",TRIM(IF(INDEX('MOA role matrix'!$B$2:$D$13,1,MATCH($B346,'MOA role matrix'!$B$1:$D$1,0))="Fill","Project initiator, ","")IF(INDEX('MOA role matrix'!$B$2:$D$13,1,MATCH($B346,'MOA role matrix'!$B$1:$D$1,0))="If finance","Project initiator (if finance), ","")IF(INDEX('MOA role matrix'!$B$2:$D$13,1,MATCH($B346,'MOA role matrix'!$B$1:$D$1,0))="Auto","Project initiator (auto), ","")IF(INDEX('MOA role matrix'!$B$2:$D$13,2,MATCH($B346,'MOA role matrix'!$B$1:$D$1,0))="Fill","MOA signers (client), ","")IF(INDEX('MOA role matrix'!$B$2:$D$13,2,MATCH($B346,'MOA role matrix'!$B$1:$D$1,0))="If finance","MOA signers (client) (if finance), ","")IF(INDEX('MOA role matrix'!$B$2:$D$13,2,MATCH($B346,'MOA role matrix'!$B$1:$D$1,0))="Auto","MOA signers (client) (auto), ","")IF(INDEX('MOA role matrix'!$B$2:$D$13,3,MATCH($B346,'MOA role matrix'!$B$1:$D$1,0))="Fill","CFO / Head of Finance, ","")IF(INDEX('MOA role matrix'!$B$2:$D$13,3,MATCH($B346,'MOA role matrix'!$B$1:$D$1,0))="If finance","CFO / Head of Finance (if finance), ","")IF(INDEX('MOA role matrix'!$B$2:$D$13,3,MATCH($B346,'MOA role matrix'!$B$1:$D$1,0))="Auto","CFO / Head of Finance (auto), ","")IF(INDEX('MOA role matrix'!$B$2:$D$13,4,MATCH($B346,'MOA role matrix'!$B$1:$D$1,0))="Fill","CEO / COO / GM, ","")IF(INDEX('MOA role matrix'!$B$2:$D$13,4,MATCH($B346,'MOA role matrix'!$B$1:$D$1,0))="If finance","CEO / COO / GM (if finance), ","")IF(INDEX('MOA role matrix'!$B$2:$D$13,4,MATCH($B346,'MOA role matrix'!$B$1:$D$1,0))="Auto","CEO / COO / GM (auto), ","")IF(INDEX('MOA role matrix'!$B$2:$D$13,5,MATCH($B346,'MOA role matrix'!$B$1:$D$1,0))="Fill","Board member 1, ","")IF(INDEX('MOA role matrix'!$B$2:$D$13,5,MATCH($B346,'MOA role matrix'!$B$1:$D$1,0))="If finance","Board member 1 (if finance), ","")IF(INDEX('MOA role matrix'!$B$2:$D$13,5,MATCH($B346,'MOA role matrix'!$B$1:$D$1,0))="Auto","Board member 1 (auto), ","")IF(INDEX('MOA role matrix'!$B$2:$D$13,6,MATCH($B346,'MOA role matrix'!$B$1:$D$1,0))="Fill","Board member 2, ","")IF(INDEX('MOA role matrix'!$B$2:$D$13,6,MATCH($B346,'MOA role matrix'!$B$1:$D$1,0))="If finance","Board member 2 (if finance), ","")IF(INDEX('MOA role matrix'!$B$2:$D$13,6,MATCH($B346,'MOA role matrix'!$B$1:$D$1,0))="Auto","Board member 2 (auto), ","")IF(INDEX('MOA role matrix'!$B$2:$D$13,7,MATCH($B346,'MOA role matrix'!$B$1:$D$1,0))="Fill","LOA holder 1, ","")IF(INDEX('MOA role matrix'!$B$2:$D$13,7,MATCH($B346,'MOA role matrix'!$B$1:$D$1,0))="If finance","LOA holder 1 (if finance), ","")IF(INDEX('MOA role matrix'!$B$2:$D$13,7,MATCH($B346,'MOA role matrix'!$B$1:$D$1,0))="Auto","LOA holder 1 (auto), ","")IF(INDEX('MOA role matrix'!$B$2:$D$13,8,MATCH($B346,'MOA role matrix'!$B$1:$D$1,0))="Fill","LOA holder 2, ","")IF(INDEX('MOA role matrix'!$B$2:$D$13,8,MATCH($B346,'MOA role matrix'!$B$1:$D$1,0))="If finance","LOA holder 2 (if finance), ","")IF(INDEX('MOA role matrix'!$B$2:$D$13,8,MATCH($B346,'MOA role matrix'!$B$1:$D$1,0))="Auto","LOA holder 2 (auto), ","")IF(INDEX('MOA role matrix'!$B$2:$D$13,9,MATCH($B346,'MOA role matrix'!$B$1:$D$1,0))="Fill","Senior Manager CoSec, ","")IF(INDEX('MOA role matrix'!$B$2:$D$13,9,MATCH($B346,'MOA role matrix'!$B$1:$D$1,0))="If finance","Senior Manager CoSec (if finance), ","")IF(INDEX('MOA role matrix'!$B$2:$D$13,9,MATCH($B346,'MOA role matrix'!$B$1:$D$1,0))="Auto","Senior Manager CoSec (auto), ","")IF(INDEX('MOA role matrix'!$B$2:$D$13,10,MATCH($B346,'MOA role matrix'!$B$1:$D$1,0))="Fill","Division MOI managers, ","")IF(INDEX('MOA role matrix'!$B$2:$D$13,10,MATCH($B346,'MOA role matrix'!$B$1:$D$1,0))="If finance","Division MOI managers (if finance), ","")IF(INDEX('MOA role matrix'!$B$2:$D$13,10,MATCH($B346,'MOA role matrix'!$B$1:$D$1,0))="Auto","Division MOI managers (auto), ","")IF(INDEX('MOA role matrix'!$B$2:$D$13,11,MATCH($B346,'MOA role matrix'!$B$1:$D$1,0))="Fill","Ms Teh (bank), ","")IF(INDEX('MOA role matrix'!$B$2:$D$13,11,MATCH($B346,'MOA role matrix'!$B$1:$D$1,0))="If finance","Ms Teh (bank) (if finance), ","")IF(INDEX('MOA role matrix'!$B$2:$D$13,11,MATCH($B346,'MOA role matrix'!$B$1:$D$1,0))="Auto","Ms Teh (bank) (auto), ","")IF(INDEX('MOA role matrix'!$B$2:$D$13,12,MATCH($B346,'MOA role matrix'!$B$1:$D$1,0))="Fill","DLCM, ","")IF(INDEX('MOA role matrix'!$B$2:$D$13,12,MATCH($B346,'MOA role matrix'!$B$1:$D$1,0))="If finance","DLCM (if finance), ","")IF(INDEX('MOA role matrix'!$B$2:$D$13,12,MATCH($B346,'MOA role matrix'!$B$1:$D$1,0))="Auto","DLCM (auto), ","")))</f>
        <v/>
      </c>
      <c r="D346" s="5">
        <f>IF($A346="","",IFERROR(INDEX(FILTER('Client contacts'!$B$2:$B$500,('Client contacts'!$A$2:$A$500=$A346)*('Client contacts'!$H$2:$H$500="Y"),""),1),""))</f>
        <v/>
      </c>
      <c r="E346" s="5">
        <f>IF($A346="","",IFERROR(INDEX(FILTER('Client contacts'!$C$2:$C$500,('Client contacts'!$A$2:$A$500=$A346)*('Client contacts'!$H$2:$H$500="Y"),""),1),""))</f>
        <v/>
      </c>
      <c r="F346" s="5">
        <f>IF($A346="","",IFERROR(INDEX(FILTER('Client contacts'!$B$2:$B$500,('Client contacts'!$A$2:$A$500=$A346)*('Client contacts'!$G$2:$G$500="Y"),""),1),""))</f>
        <v/>
      </c>
      <c r="G346" s="5">
        <f>IF($A346="","",IFERROR(INDEX(FILTER('Client contacts'!$C$2:$C$500,('Client contacts'!$A$2:$A$500=$A346)*('Client contacts'!$G$2:$G$500="Y"),""),1),""))</f>
        <v/>
      </c>
      <c r="H346" s="5">
        <f>IF($A346="","",IFERROR(INDEX(FILTER('Client contacts'!$B$2:$B$500,('Client contacts'!$A$2:$A$500=$A346)*('Client contacts'!$G$2:$G$500="Y"),""),2),""))</f>
        <v/>
      </c>
      <c r="I346" s="5">
        <f>IF($A346="","",IFERROR(INDEX(FILTER('Client contacts'!$C$2:$C$500,('Client contacts'!$A$2:$A$500=$A346)*('Client contacts'!$G$2:$G$500="Y"),""),2),""))</f>
        <v/>
      </c>
      <c r="J346" s="8" t="n"/>
      <c r="K346" s="8" t="n"/>
      <c r="L346" s="8" t="n"/>
      <c r="M346" s="8" t="n"/>
      <c r="N346" s="8" t="n"/>
      <c r="O346" s="8" t="n"/>
      <c r="P346" s="8" t="n"/>
      <c r="Q346" s="8" t="n"/>
      <c r="R346" s="5">
        <f>IF($A346="","",IFERROR(INDEX(Companies!$I$2:$I$500,MATCH($A346,Companies!$A$2:$A$500,0)),""))</f>
        <v/>
      </c>
      <c r="S346" s="8" t="n"/>
      <c r="T346" s="8" t="n"/>
      <c r="U346" s="8" t="n"/>
      <c r="V346" s="8" t="n"/>
      <c r="W346" s="8" t="n"/>
    </row>
    <row r="347">
      <c r="C347" s="5">
        <f>IF($B347="","",TRIM(IF(INDEX('MOA role matrix'!$B$2:$D$13,1,MATCH($B347,'MOA role matrix'!$B$1:$D$1,0))="Fill","Project initiator, ","")IF(INDEX('MOA role matrix'!$B$2:$D$13,1,MATCH($B347,'MOA role matrix'!$B$1:$D$1,0))="If finance","Project initiator (if finance), ","")IF(INDEX('MOA role matrix'!$B$2:$D$13,1,MATCH($B347,'MOA role matrix'!$B$1:$D$1,0))="Auto","Project initiator (auto), ","")IF(INDEX('MOA role matrix'!$B$2:$D$13,2,MATCH($B347,'MOA role matrix'!$B$1:$D$1,0))="Fill","MOA signers (client), ","")IF(INDEX('MOA role matrix'!$B$2:$D$13,2,MATCH($B347,'MOA role matrix'!$B$1:$D$1,0))="If finance","MOA signers (client) (if finance), ","")IF(INDEX('MOA role matrix'!$B$2:$D$13,2,MATCH($B347,'MOA role matrix'!$B$1:$D$1,0))="Auto","MOA signers (client) (auto), ","")IF(INDEX('MOA role matrix'!$B$2:$D$13,3,MATCH($B347,'MOA role matrix'!$B$1:$D$1,0))="Fill","CFO / Head of Finance, ","")IF(INDEX('MOA role matrix'!$B$2:$D$13,3,MATCH($B347,'MOA role matrix'!$B$1:$D$1,0))="If finance","CFO / Head of Finance (if finance), ","")IF(INDEX('MOA role matrix'!$B$2:$D$13,3,MATCH($B347,'MOA role matrix'!$B$1:$D$1,0))="Auto","CFO / Head of Finance (auto), ","")IF(INDEX('MOA role matrix'!$B$2:$D$13,4,MATCH($B347,'MOA role matrix'!$B$1:$D$1,0))="Fill","CEO / COO / GM, ","")IF(INDEX('MOA role matrix'!$B$2:$D$13,4,MATCH($B347,'MOA role matrix'!$B$1:$D$1,0))="If finance","CEO / COO / GM (if finance), ","")IF(INDEX('MOA role matrix'!$B$2:$D$13,4,MATCH($B347,'MOA role matrix'!$B$1:$D$1,0))="Auto","CEO / COO / GM (auto), ","")IF(INDEX('MOA role matrix'!$B$2:$D$13,5,MATCH($B347,'MOA role matrix'!$B$1:$D$1,0))="Fill","Board member 1, ","")IF(INDEX('MOA role matrix'!$B$2:$D$13,5,MATCH($B347,'MOA role matrix'!$B$1:$D$1,0))="If finance","Board member 1 (if finance), ","")IF(INDEX('MOA role matrix'!$B$2:$D$13,5,MATCH($B347,'MOA role matrix'!$B$1:$D$1,0))="Auto","Board member 1 (auto), ","")IF(INDEX('MOA role matrix'!$B$2:$D$13,6,MATCH($B347,'MOA role matrix'!$B$1:$D$1,0))="Fill","Board member 2, ","")IF(INDEX('MOA role matrix'!$B$2:$D$13,6,MATCH($B347,'MOA role matrix'!$B$1:$D$1,0))="If finance","Board member 2 (if finance), ","")IF(INDEX('MOA role matrix'!$B$2:$D$13,6,MATCH($B347,'MOA role matrix'!$B$1:$D$1,0))="Auto","Board member 2 (auto), ","")IF(INDEX('MOA role matrix'!$B$2:$D$13,7,MATCH($B347,'MOA role matrix'!$B$1:$D$1,0))="Fill","LOA holder 1, ","")IF(INDEX('MOA role matrix'!$B$2:$D$13,7,MATCH($B347,'MOA role matrix'!$B$1:$D$1,0))="If finance","LOA holder 1 (if finance), ","")IF(INDEX('MOA role matrix'!$B$2:$D$13,7,MATCH($B347,'MOA role matrix'!$B$1:$D$1,0))="Auto","LOA holder 1 (auto), ","")IF(INDEX('MOA role matrix'!$B$2:$D$13,8,MATCH($B347,'MOA role matrix'!$B$1:$D$1,0))="Fill","LOA holder 2, ","")IF(INDEX('MOA role matrix'!$B$2:$D$13,8,MATCH($B347,'MOA role matrix'!$B$1:$D$1,0))="If finance","LOA holder 2 (if finance), ","")IF(INDEX('MOA role matrix'!$B$2:$D$13,8,MATCH($B347,'MOA role matrix'!$B$1:$D$1,0))="Auto","LOA holder 2 (auto), ","")IF(INDEX('MOA role matrix'!$B$2:$D$13,9,MATCH($B347,'MOA role matrix'!$B$1:$D$1,0))="Fill","Senior Manager CoSec, ","")IF(INDEX('MOA role matrix'!$B$2:$D$13,9,MATCH($B347,'MOA role matrix'!$B$1:$D$1,0))="If finance","Senior Manager CoSec (if finance), ","")IF(INDEX('MOA role matrix'!$B$2:$D$13,9,MATCH($B347,'MOA role matrix'!$B$1:$D$1,0))="Auto","Senior Manager CoSec (auto), ","")IF(INDEX('MOA role matrix'!$B$2:$D$13,10,MATCH($B347,'MOA role matrix'!$B$1:$D$1,0))="Fill","Division MOI managers, ","")IF(INDEX('MOA role matrix'!$B$2:$D$13,10,MATCH($B347,'MOA role matrix'!$B$1:$D$1,0))="If finance","Division MOI managers (if finance), ","")IF(INDEX('MOA role matrix'!$B$2:$D$13,10,MATCH($B347,'MOA role matrix'!$B$1:$D$1,0))="Auto","Division MOI managers (auto), ","")IF(INDEX('MOA role matrix'!$B$2:$D$13,11,MATCH($B347,'MOA role matrix'!$B$1:$D$1,0))="Fill","Ms Teh (bank), ","")IF(INDEX('MOA role matrix'!$B$2:$D$13,11,MATCH($B347,'MOA role matrix'!$B$1:$D$1,0))="If finance","Ms Teh (bank) (if finance), ","")IF(INDEX('MOA role matrix'!$B$2:$D$13,11,MATCH($B347,'MOA role matrix'!$B$1:$D$1,0))="Auto","Ms Teh (bank) (auto), ","")IF(INDEX('MOA role matrix'!$B$2:$D$13,12,MATCH($B347,'MOA role matrix'!$B$1:$D$1,0))="Fill","DLCM, ","")IF(INDEX('MOA role matrix'!$B$2:$D$13,12,MATCH($B347,'MOA role matrix'!$B$1:$D$1,0))="If finance","DLCM (if finance), ","")IF(INDEX('MOA role matrix'!$B$2:$D$13,12,MATCH($B347,'MOA role matrix'!$B$1:$D$1,0))="Auto","DLCM (auto), ","")))</f>
        <v/>
      </c>
      <c r="D347" s="5">
        <f>IF($A347="","",IFERROR(INDEX(FILTER('Client contacts'!$B$2:$B$500,('Client contacts'!$A$2:$A$500=$A347)*('Client contacts'!$H$2:$H$500="Y"),""),1),""))</f>
        <v/>
      </c>
      <c r="E347" s="5">
        <f>IF($A347="","",IFERROR(INDEX(FILTER('Client contacts'!$C$2:$C$500,('Client contacts'!$A$2:$A$500=$A347)*('Client contacts'!$H$2:$H$500="Y"),""),1),""))</f>
        <v/>
      </c>
      <c r="F347" s="5">
        <f>IF($A347="","",IFERROR(INDEX(FILTER('Client contacts'!$B$2:$B$500,('Client contacts'!$A$2:$A$500=$A347)*('Client contacts'!$G$2:$G$500="Y"),""),1),""))</f>
        <v/>
      </c>
      <c r="G347" s="5">
        <f>IF($A347="","",IFERROR(INDEX(FILTER('Client contacts'!$C$2:$C$500,('Client contacts'!$A$2:$A$500=$A347)*('Client contacts'!$G$2:$G$500="Y"),""),1),""))</f>
        <v/>
      </c>
      <c r="H347" s="5">
        <f>IF($A347="","",IFERROR(INDEX(FILTER('Client contacts'!$B$2:$B$500,('Client contacts'!$A$2:$A$500=$A347)*('Client contacts'!$G$2:$G$500="Y"),""),2),""))</f>
        <v/>
      </c>
      <c r="I347" s="5">
        <f>IF($A347="","",IFERROR(INDEX(FILTER('Client contacts'!$C$2:$C$500,('Client contacts'!$A$2:$A$500=$A347)*('Client contacts'!$G$2:$G$500="Y"),""),2),""))</f>
        <v/>
      </c>
      <c r="J347" s="8" t="n"/>
      <c r="K347" s="8" t="n"/>
      <c r="L347" s="8" t="n"/>
      <c r="M347" s="8" t="n"/>
      <c r="N347" s="8" t="n"/>
      <c r="O347" s="8" t="n"/>
      <c r="P347" s="8" t="n"/>
      <c r="Q347" s="8" t="n"/>
      <c r="R347" s="5">
        <f>IF($A347="","",IFERROR(INDEX(Companies!$I$2:$I$500,MATCH($A347,Companies!$A$2:$A$500,0)),""))</f>
        <v/>
      </c>
      <c r="S347" s="8" t="n"/>
      <c r="T347" s="8" t="n"/>
      <c r="U347" s="8" t="n"/>
      <c r="V347" s="8" t="n"/>
      <c r="W347" s="8" t="n"/>
    </row>
    <row r="348">
      <c r="C348" s="5">
        <f>IF($B348="","",TRIM(IF(INDEX('MOA role matrix'!$B$2:$D$13,1,MATCH($B348,'MOA role matrix'!$B$1:$D$1,0))="Fill","Project initiator, ","")IF(INDEX('MOA role matrix'!$B$2:$D$13,1,MATCH($B348,'MOA role matrix'!$B$1:$D$1,0))="If finance","Project initiator (if finance), ","")IF(INDEX('MOA role matrix'!$B$2:$D$13,1,MATCH($B348,'MOA role matrix'!$B$1:$D$1,0))="Auto","Project initiator (auto), ","")IF(INDEX('MOA role matrix'!$B$2:$D$13,2,MATCH($B348,'MOA role matrix'!$B$1:$D$1,0))="Fill","MOA signers (client), ","")IF(INDEX('MOA role matrix'!$B$2:$D$13,2,MATCH($B348,'MOA role matrix'!$B$1:$D$1,0))="If finance","MOA signers (client) (if finance), ","")IF(INDEX('MOA role matrix'!$B$2:$D$13,2,MATCH($B348,'MOA role matrix'!$B$1:$D$1,0))="Auto","MOA signers (client) (auto), ","")IF(INDEX('MOA role matrix'!$B$2:$D$13,3,MATCH($B348,'MOA role matrix'!$B$1:$D$1,0))="Fill","CFO / Head of Finance, ","")IF(INDEX('MOA role matrix'!$B$2:$D$13,3,MATCH($B348,'MOA role matrix'!$B$1:$D$1,0))="If finance","CFO / Head of Finance (if finance), ","")IF(INDEX('MOA role matrix'!$B$2:$D$13,3,MATCH($B348,'MOA role matrix'!$B$1:$D$1,0))="Auto","CFO / Head of Finance (auto), ","")IF(INDEX('MOA role matrix'!$B$2:$D$13,4,MATCH($B348,'MOA role matrix'!$B$1:$D$1,0))="Fill","CEO / COO / GM, ","")IF(INDEX('MOA role matrix'!$B$2:$D$13,4,MATCH($B348,'MOA role matrix'!$B$1:$D$1,0))="If finance","CEO / COO / GM (if finance), ","")IF(INDEX('MOA role matrix'!$B$2:$D$13,4,MATCH($B348,'MOA role matrix'!$B$1:$D$1,0))="Auto","CEO / COO / GM (auto), ","")IF(INDEX('MOA role matrix'!$B$2:$D$13,5,MATCH($B348,'MOA role matrix'!$B$1:$D$1,0))="Fill","Board member 1, ","")IF(INDEX('MOA role matrix'!$B$2:$D$13,5,MATCH($B348,'MOA role matrix'!$B$1:$D$1,0))="If finance","Board member 1 (if finance), ","")IF(INDEX('MOA role matrix'!$B$2:$D$13,5,MATCH($B348,'MOA role matrix'!$B$1:$D$1,0))="Auto","Board member 1 (auto), ","")IF(INDEX('MOA role matrix'!$B$2:$D$13,6,MATCH($B348,'MOA role matrix'!$B$1:$D$1,0))="Fill","Board member 2, ","")IF(INDEX('MOA role matrix'!$B$2:$D$13,6,MATCH($B348,'MOA role matrix'!$B$1:$D$1,0))="If finance","Board member 2 (if finance), ","")IF(INDEX('MOA role matrix'!$B$2:$D$13,6,MATCH($B348,'MOA role matrix'!$B$1:$D$1,0))="Auto","Board member 2 (auto), ","")IF(INDEX('MOA role matrix'!$B$2:$D$13,7,MATCH($B348,'MOA role matrix'!$B$1:$D$1,0))="Fill","LOA holder 1, ","")IF(INDEX('MOA role matrix'!$B$2:$D$13,7,MATCH($B348,'MOA role matrix'!$B$1:$D$1,0))="If finance","LOA holder 1 (if finance), ","")IF(INDEX('MOA role matrix'!$B$2:$D$13,7,MATCH($B348,'MOA role matrix'!$B$1:$D$1,0))="Auto","LOA holder 1 (auto), ","")IF(INDEX('MOA role matrix'!$B$2:$D$13,8,MATCH($B348,'MOA role matrix'!$B$1:$D$1,0))="Fill","LOA holder 2, ","")IF(INDEX('MOA role matrix'!$B$2:$D$13,8,MATCH($B348,'MOA role matrix'!$B$1:$D$1,0))="If finance","LOA holder 2 (if finance), ","")IF(INDEX('MOA role matrix'!$B$2:$D$13,8,MATCH($B348,'MOA role matrix'!$B$1:$D$1,0))="Auto","LOA holder 2 (auto), ","")IF(INDEX('MOA role matrix'!$B$2:$D$13,9,MATCH($B348,'MOA role matrix'!$B$1:$D$1,0))="Fill","Senior Manager CoSec, ","")IF(INDEX('MOA role matrix'!$B$2:$D$13,9,MATCH($B348,'MOA role matrix'!$B$1:$D$1,0))="If finance","Senior Manager CoSec (if finance), ","")IF(INDEX('MOA role matrix'!$B$2:$D$13,9,MATCH($B348,'MOA role matrix'!$B$1:$D$1,0))="Auto","Senior Manager CoSec (auto), ","")IF(INDEX('MOA role matrix'!$B$2:$D$13,10,MATCH($B348,'MOA role matrix'!$B$1:$D$1,0))="Fill","Division MOI managers, ","")IF(INDEX('MOA role matrix'!$B$2:$D$13,10,MATCH($B348,'MOA role matrix'!$B$1:$D$1,0))="If finance","Division MOI managers (if finance), ","")IF(INDEX('MOA role matrix'!$B$2:$D$13,10,MATCH($B348,'MOA role matrix'!$B$1:$D$1,0))="Auto","Division MOI managers (auto), ","")IF(INDEX('MOA role matrix'!$B$2:$D$13,11,MATCH($B348,'MOA role matrix'!$B$1:$D$1,0))="Fill","Ms Teh (bank), ","")IF(INDEX('MOA role matrix'!$B$2:$D$13,11,MATCH($B348,'MOA role matrix'!$B$1:$D$1,0))="If finance","Ms Teh (bank) (if finance), ","")IF(INDEX('MOA role matrix'!$B$2:$D$13,11,MATCH($B348,'MOA role matrix'!$B$1:$D$1,0))="Auto","Ms Teh (bank) (auto), ","")IF(INDEX('MOA role matrix'!$B$2:$D$13,12,MATCH($B348,'MOA role matrix'!$B$1:$D$1,0))="Fill","DLCM, ","")IF(INDEX('MOA role matrix'!$B$2:$D$13,12,MATCH($B348,'MOA role matrix'!$B$1:$D$1,0))="If finance","DLCM (if finance), ","")IF(INDEX('MOA role matrix'!$B$2:$D$13,12,MATCH($B348,'MOA role matrix'!$B$1:$D$1,0))="Auto","DLCM (auto), ","")))</f>
        <v/>
      </c>
      <c r="D348" s="5">
        <f>IF($A348="","",IFERROR(INDEX(FILTER('Client contacts'!$B$2:$B$500,('Client contacts'!$A$2:$A$500=$A348)*('Client contacts'!$H$2:$H$500="Y"),""),1),""))</f>
        <v/>
      </c>
      <c r="E348" s="5">
        <f>IF($A348="","",IFERROR(INDEX(FILTER('Client contacts'!$C$2:$C$500,('Client contacts'!$A$2:$A$500=$A348)*('Client contacts'!$H$2:$H$500="Y"),""),1),""))</f>
        <v/>
      </c>
      <c r="F348" s="5">
        <f>IF($A348="","",IFERROR(INDEX(FILTER('Client contacts'!$B$2:$B$500,('Client contacts'!$A$2:$A$500=$A348)*('Client contacts'!$G$2:$G$500="Y"),""),1),""))</f>
        <v/>
      </c>
      <c r="G348" s="5">
        <f>IF($A348="","",IFERROR(INDEX(FILTER('Client contacts'!$C$2:$C$500,('Client contacts'!$A$2:$A$500=$A348)*('Client contacts'!$G$2:$G$500="Y"),""),1),""))</f>
        <v/>
      </c>
      <c r="H348" s="5">
        <f>IF($A348="","",IFERROR(INDEX(FILTER('Client contacts'!$B$2:$B$500,('Client contacts'!$A$2:$A$500=$A348)*('Client contacts'!$G$2:$G$500="Y"),""),2),""))</f>
        <v/>
      </c>
      <c r="I348" s="5">
        <f>IF($A348="","",IFERROR(INDEX(FILTER('Client contacts'!$C$2:$C$500,('Client contacts'!$A$2:$A$500=$A348)*('Client contacts'!$G$2:$G$500="Y"),""),2),""))</f>
        <v/>
      </c>
      <c r="J348" s="8" t="n"/>
      <c r="K348" s="8" t="n"/>
      <c r="L348" s="8" t="n"/>
      <c r="M348" s="8" t="n"/>
      <c r="N348" s="8" t="n"/>
      <c r="O348" s="8" t="n"/>
      <c r="P348" s="8" t="n"/>
      <c r="Q348" s="8" t="n"/>
      <c r="R348" s="5">
        <f>IF($A348="","",IFERROR(INDEX(Companies!$I$2:$I$500,MATCH($A348,Companies!$A$2:$A$500,0)),""))</f>
        <v/>
      </c>
      <c r="S348" s="8" t="n"/>
      <c r="T348" s="8" t="n"/>
      <c r="U348" s="8" t="n"/>
      <c r="V348" s="8" t="n"/>
      <c r="W348" s="8" t="n"/>
    </row>
    <row r="349">
      <c r="C349" s="5">
        <f>IF($B349="","",TRIM(IF(INDEX('MOA role matrix'!$B$2:$D$13,1,MATCH($B349,'MOA role matrix'!$B$1:$D$1,0))="Fill","Project initiator, ","")IF(INDEX('MOA role matrix'!$B$2:$D$13,1,MATCH($B349,'MOA role matrix'!$B$1:$D$1,0))="If finance","Project initiator (if finance), ","")IF(INDEX('MOA role matrix'!$B$2:$D$13,1,MATCH($B349,'MOA role matrix'!$B$1:$D$1,0))="Auto","Project initiator (auto), ","")IF(INDEX('MOA role matrix'!$B$2:$D$13,2,MATCH($B349,'MOA role matrix'!$B$1:$D$1,0))="Fill","MOA signers (client), ","")IF(INDEX('MOA role matrix'!$B$2:$D$13,2,MATCH($B349,'MOA role matrix'!$B$1:$D$1,0))="If finance","MOA signers (client) (if finance), ","")IF(INDEX('MOA role matrix'!$B$2:$D$13,2,MATCH($B349,'MOA role matrix'!$B$1:$D$1,0))="Auto","MOA signers (client) (auto), ","")IF(INDEX('MOA role matrix'!$B$2:$D$13,3,MATCH($B349,'MOA role matrix'!$B$1:$D$1,0))="Fill","CFO / Head of Finance, ","")IF(INDEX('MOA role matrix'!$B$2:$D$13,3,MATCH($B349,'MOA role matrix'!$B$1:$D$1,0))="If finance","CFO / Head of Finance (if finance), ","")IF(INDEX('MOA role matrix'!$B$2:$D$13,3,MATCH($B349,'MOA role matrix'!$B$1:$D$1,0))="Auto","CFO / Head of Finance (auto), ","")IF(INDEX('MOA role matrix'!$B$2:$D$13,4,MATCH($B349,'MOA role matrix'!$B$1:$D$1,0))="Fill","CEO / COO / GM, ","")IF(INDEX('MOA role matrix'!$B$2:$D$13,4,MATCH($B349,'MOA role matrix'!$B$1:$D$1,0))="If finance","CEO / COO / GM (if finance), ","")IF(INDEX('MOA role matrix'!$B$2:$D$13,4,MATCH($B349,'MOA role matrix'!$B$1:$D$1,0))="Auto","CEO / COO / GM (auto), ","")IF(INDEX('MOA role matrix'!$B$2:$D$13,5,MATCH($B349,'MOA role matrix'!$B$1:$D$1,0))="Fill","Board member 1, ","")IF(INDEX('MOA role matrix'!$B$2:$D$13,5,MATCH($B349,'MOA role matrix'!$B$1:$D$1,0))="If finance","Board member 1 (if finance), ","")IF(INDEX('MOA role matrix'!$B$2:$D$13,5,MATCH($B349,'MOA role matrix'!$B$1:$D$1,0))="Auto","Board member 1 (auto), ","")IF(INDEX('MOA role matrix'!$B$2:$D$13,6,MATCH($B349,'MOA role matrix'!$B$1:$D$1,0))="Fill","Board member 2, ","")IF(INDEX('MOA role matrix'!$B$2:$D$13,6,MATCH($B349,'MOA role matrix'!$B$1:$D$1,0))="If finance","Board member 2 (if finance), ","")IF(INDEX('MOA role matrix'!$B$2:$D$13,6,MATCH($B349,'MOA role matrix'!$B$1:$D$1,0))="Auto","Board member 2 (auto), ","")IF(INDEX('MOA role matrix'!$B$2:$D$13,7,MATCH($B349,'MOA role matrix'!$B$1:$D$1,0))="Fill","LOA holder 1, ","")IF(INDEX('MOA role matrix'!$B$2:$D$13,7,MATCH($B349,'MOA role matrix'!$B$1:$D$1,0))="If finance","LOA holder 1 (if finance), ","")IF(INDEX('MOA role matrix'!$B$2:$D$13,7,MATCH($B349,'MOA role matrix'!$B$1:$D$1,0))="Auto","LOA holder 1 (auto), ","")IF(INDEX('MOA role matrix'!$B$2:$D$13,8,MATCH($B349,'MOA role matrix'!$B$1:$D$1,0))="Fill","LOA holder 2, ","")IF(INDEX('MOA role matrix'!$B$2:$D$13,8,MATCH($B349,'MOA role matrix'!$B$1:$D$1,0))="If finance","LOA holder 2 (if finance), ","")IF(INDEX('MOA role matrix'!$B$2:$D$13,8,MATCH($B349,'MOA role matrix'!$B$1:$D$1,0))="Auto","LOA holder 2 (auto), ","")IF(INDEX('MOA role matrix'!$B$2:$D$13,9,MATCH($B349,'MOA role matrix'!$B$1:$D$1,0))="Fill","Senior Manager CoSec, ","")IF(INDEX('MOA role matrix'!$B$2:$D$13,9,MATCH($B349,'MOA role matrix'!$B$1:$D$1,0))="If finance","Senior Manager CoSec (if finance), ","")IF(INDEX('MOA role matrix'!$B$2:$D$13,9,MATCH($B349,'MOA role matrix'!$B$1:$D$1,0))="Auto","Senior Manager CoSec (auto), ","")IF(INDEX('MOA role matrix'!$B$2:$D$13,10,MATCH($B349,'MOA role matrix'!$B$1:$D$1,0))="Fill","Division MOI managers, ","")IF(INDEX('MOA role matrix'!$B$2:$D$13,10,MATCH($B349,'MOA role matrix'!$B$1:$D$1,0))="If finance","Division MOI managers (if finance), ","")IF(INDEX('MOA role matrix'!$B$2:$D$13,10,MATCH($B349,'MOA role matrix'!$B$1:$D$1,0))="Auto","Division MOI managers (auto), ","")IF(INDEX('MOA role matrix'!$B$2:$D$13,11,MATCH($B349,'MOA role matrix'!$B$1:$D$1,0))="Fill","Ms Teh (bank), ","")IF(INDEX('MOA role matrix'!$B$2:$D$13,11,MATCH($B349,'MOA role matrix'!$B$1:$D$1,0))="If finance","Ms Teh (bank) (if finance), ","")IF(INDEX('MOA role matrix'!$B$2:$D$13,11,MATCH($B349,'MOA role matrix'!$B$1:$D$1,0))="Auto","Ms Teh (bank) (auto), ","")IF(INDEX('MOA role matrix'!$B$2:$D$13,12,MATCH($B349,'MOA role matrix'!$B$1:$D$1,0))="Fill","DLCM, ","")IF(INDEX('MOA role matrix'!$B$2:$D$13,12,MATCH($B349,'MOA role matrix'!$B$1:$D$1,0))="If finance","DLCM (if finance), ","")IF(INDEX('MOA role matrix'!$B$2:$D$13,12,MATCH($B349,'MOA role matrix'!$B$1:$D$1,0))="Auto","DLCM (auto), ","")))</f>
        <v/>
      </c>
      <c r="D349" s="5">
        <f>IF($A349="","",IFERROR(INDEX(FILTER('Client contacts'!$B$2:$B$500,('Client contacts'!$A$2:$A$500=$A349)*('Client contacts'!$H$2:$H$500="Y"),""),1),""))</f>
        <v/>
      </c>
      <c r="E349" s="5">
        <f>IF($A349="","",IFERROR(INDEX(FILTER('Client contacts'!$C$2:$C$500,('Client contacts'!$A$2:$A$500=$A349)*('Client contacts'!$H$2:$H$500="Y"),""),1),""))</f>
        <v/>
      </c>
      <c r="F349" s="5">
        <f>IF($A349="","",IFERROR(INDEX(FILTER('Client contacts'!$B$2:$B$500,('Client contacts'!$A$2:$A$500=$A349)*('Client contacts'!$G$2:$G$500="Y"),""),1),""))</f>
        <v/>
      </c>
      <c r="G349" s="5">
        <f>IF($A349="","",IFERROR(INDEX(FILTER('Client contacts'!$C$2:$C$500,('Client contacts'!$A$2:$A$500=$A349)*('Client contacts'!$G$2:$G$500="Y"),""),1),""))</f>
        <v/>
      </c>
      <c r="H349" s="5">
        <f>IF($A349="","",IFERROR(INDEX(FILTER('Client contacts'!$B$2:$B$500,('Client contacts'!$A$2:$A$500=$A349)*('Client contacts'!$G$2:$G$500="Y"),""),2),""))</f>
        <v/>
      </c>
      <c r="I349" s="5">
        <f>IF($A349="","",IFERROR(INDEX(FILTER('Client contacts'!$C$2:$C$500,('Client contacts'!$A$2:$A$500=$A349)*('Client contacts'!$G$2:$G$500="Y"),""),2),""))</f>
        <v/>
      </c>
      <c r="J349" s="8" t="n"/>
      <c r="K349" s="8" t="n"/>
      <c r="L349" s="8" t="n"/>
      <c r="M349" s="8" t="n"/>
      <c r="N349" s="8" t="n"/>
      <c r="O349" s="8" t="n"/>
      <c r="P349" s="8" t="n"/>
      <c r="Q349" s="8" t="n"/>
      <c r="R349" s="5">
        <f>IF($A349="","",IFERROR(INDEX(Companies!$I$2:$I$500,MATCH($A349,Companies!$A$2:$A$500,0)),""))</f>
        <v/>
      </c>
      <c r="S349" s="8" t="n"/>
      <c r="T349" s="8" t="n"/>
      <c r="U349" s="8" t="n"/>
      <c r="V349" s="8" t="n"/>
      <c r="W349" s="8" t="n"/>
    </row>
    <row r="350">
      <c r="C350" s="5">
        <f>IF($B350="","",TRIM(IF(INDEX('MOA role matrix'!$B$2:$D$13,1,MATCH($B350,'MOA role matrix'!$B$1:$D$1,0))="Fill","Project initiator, ","")IF(INDEX('MOA role matrix'!$B$2:$D$13,1,MATCH($B350,'MOA role matrix'!$B$1:$D$1,0))="If finance","Project initiator (if finance), ","")IF(INDEX('MOA role matrix'!$B$2:$D$13,1,MATCH($B350,'MOA role matrix'!$B$1:$D$1,0))="Auto","Project initiator (auto), ","")IF(INDEX('MOA role matrix'!$B$2:$D$13,2,MATCH($B350,'MOA role matrix'!$B$1:$D$1,0))="Fill","MOA signers (client), ","")IF(INDEX('MOA role matrix'!$B$2:$D$13,2,MATCH($B350,'MOA role matrix'!$B$1:$D$1,0))="If finance","MOA signers (client) (if finance), ","")IF(INDEX('MOA role matrix'!$B$2:$D$13,2,MATCH($B350,'MOA role matrix'!$B$1:$D$1,0))="Auto","MOA signers (client) (auto), ","")IF(INDEX('MOA role matrix'!$B$2:$D$13,3,MATCH($B350,'MOA role matrix'!$B$1:$D$1,0))="Fill","CFO / Head of Finance, ","")IF(INDEX('MOA role matrix'!$B$2:$D$13,3,MATCH($B350,'MOA role matrix'!$B$1:$D$1,0))="If finance","CFO / Head of Finance (if finance), ","")IF(INDEX('MOA role matrix'!$B$2:$D$13,3,MATCH($B350,'MOA role matrix'!$B$1:$D$1,0))="Auto","CFO / Head of Finance (auto), ","")IF(INDEX('MOA role matrix'!$B$2:$D$13,4,MATCH($B350,'MOA role matrix'!$B$1:$D$1,0))="Fill","CEO / COO / GM, ","")IF(INDEX('MOA role matrix'!$B$2:$D$13,4,MATCH($B350,'MOA role matrix'!$B$1:$D$1,0))="If finance","CEO / COO / GM (if finance), ","")IF(INDEX('MOA role matrix'!$B$2:$D$13,4,MATCH($B350,'MOA role matrix'!$B$1:$D$1,0))="Auto","CEO / COO / GM (auto), ","")IF(INDEX('MOA role matrix'!$B$2:$D$13,5,MATCH($B350,'MOA role matrix'!$B$1:$D$1,0))="Fill","Board member 1, ","")IF(INDEX('MOA role matrix'!$B$2:$D$13,5,MATCH($B350,'MOA role matrix'!$B$1:$D$1,0))="If finance","Board member 1 (if finance), ","")IF(INDEX('MOA role matrix'!$B$2:$D$13,5,MATCH($B350,'MOA role matrix'!$B$1:$D$1,0))="Auto","Board member 1 (auto), ","")IF(INDEX('MOA role matrix'!$B$2:$D$13,6,MATCH($B350,'MOA role matrix'!$B$1:$D$1,0))="Fill","Board member 2, ","")IF(INDEX('MOA role matrix'!$B$2:$D$13,6,MATCH($B350,'MOA role matrix'!$B$1:$D$1,0))="If finance","Board member 2 (if finance), ","")IF(INDEX('MOA role matrix'!$B$2:$D$13,6,MATCH($B350,'MOA role matrix'!$B$1:$D$1,0))="Auto","Board member 2 (auto), ","")IF(INDEX('MOA role matrix'!$B$2:$D$13,7,MATCH($B350,'MOA role matrix'!$B$1:$D$1,0))="Fill","LOA holder 1, ","")IF(INDEX('MOA role matrix'!$B$2:$D$13,7,MATCH($B350,'MOA role matrix'!$B$1:$D$1,0))="If finance","LOA holder 1 (if finance), ","")IF(INDEX('MOA role matrix'!$B$2:$D$13,7,MATCH($B350,'MOA role matrix'!$B$1:$D$1,0))="Auto","LOA holder 1 (auto), ","")IF(INDEX('MOA role matrix'!$B$2:$D$13,8,MATCH($B350,'MOA role matrix'!$B$1:$D$1,0))="Fill","LOA holder 2, ","")IF(INDEX('MOA role matrix'!$B$2:$D$13,8,MATCH($B350,'MOA role matrix'!$B$1:$D$1,0))="If finance","LOA holder 2 (if finance), ","")IF(INDEX('MOA role matrix'!$B$2:$D$13,8,MATCH($B350,'MOA role matrix'!$B$1:$D$1,0))="Auto","LOA holder 2 (auto), ","")IF(INDEX('MOA role matrix'!$B$2:$D$13,9,MATCH($B350,'MOA role matrix'!$B$1:$D$1,0))="Fill","Senior Manager CoSec, ","")IF(INDEX('MOA role matrix'!$B$2:$D$13,9,MATCH($B350,'MOA role matrix'!$B$1:$D$1,0))="If finance","Senior Manager CoSec (if finance), ","")IF(INDEX('MOA role matrix'!$B$2:$D$13,9,MATCH($B350,'MOA role matrix'!$B$1:$D$1,0))="Auto","Senior Manager CoSec (auto), ","")IF(INDEX('MOA role matrix'!$B$2:$D$13,10,MATCH($B350,'MOA role matrix'!$B$1:$D$1,0))="Fill","Division MOI managers, ","")IF(INDEX('MOA role matrix'!$B$2:$D$13,10,MATCH($B350,'MOA role matrix'!$B$1:$D$1,0))="If finance","Division MOI managers (if finance), ","")IF(INDEX('MOA role matrix'!$B$2:$D$13,10,MATCH($B350,'MOA role matrix'!$B$1:$D$1,0))="Auto","Division MOI managers (auto), ","")IF(INDEX('MOA role matrix'!$B$2:$D$13,11,MATCH($B350,'MOA role matrix'!$B$1:$D$1,0))="Fill","Ms Teh (bank), ","")IF(INDEX('MOA role matrix'!$B$2:$D$13,11,MATCH($B350,'MOA role matrix'!$B$1:$D$1,0))="If finance","Ms Teh (bank) (if finance), ","")IF(INDEX('MOA role matrix'!$B$2:$D$13,11,MATCH($B350,'MOA role matrix'!$B$1:$D$1,0))="Auto","Ms Teh (bank) (auto), ","")IF(INDEX('MOA role matrix'!$B$2:$D$13,12,MATCH($B350,'MOA role matrix'!$B$1:$D$1,0))="Fill","DLCM, ","")IF(INDEX('MOA role matrix'!$B$2:$D$13,12,MATCH($B350,'MOA role matrix'!$B$1:$D$1,0))="If finance","DLCM (if finance), ","")IF(INDEX('MOA role matrix'!$B$2:$D$13,12,MATCH($B350,'MOA role matrix'!$B$1:$D$1,0))="Auto","DLCM (auto), ","")))</f>
        <v/>
      </c>
      <c r="D350" s="5">
        <f>IF($A350="","",IFERROR(INDEX(FILTER('Client contacts'!$B$2:$B$500,('Client contacts'!$A$2:$A$500=$A350)*('Client contacts'!$H$2:$H$500="Y"),""),1),""))</f>
        <v/>
      </c>
      <c r="E350" s="5">
        <f>IF($A350="","",IFERROR(INDEX(FILTER('Client contacts'!$C$2:$C$500,('Client contacts'!$A$2:$A$500=$A350)*('Client contacts'!$H$2:$H$500="Y"),""),1),""))</f>
        <v/>
      </c>
      <c r="F350" s="5">
        <f>IF($A350="","",IFERROR(INDEX(FILTER('Client contacts'!$B$2:$B$500,('Client contacts'!$A$2:$A$500=$A350)*('Client contacts'!$G$2:$G$500="Y"),""),1),""))</f>
        <v/>
      </c>
      <c r="G350" s="5">
        <f>IF($A350="","",IFERROR(INDEX(FILTER('Client contacts'!$C$2:$C$500,('Client contacts'!$A$2:$A$500=$A350)*('Client contacts'!$G$2:$G$500="Y"),""),1),""))</f>
        <v/>
      </c>
      <c r="H350" s="5">
        <f>IF($A350="","",IFERROR(INDEX(FILTER('Client contacts'!$B$2:$B$500,('Client contacts'!$A$2:$A$500=$A350)*('Client contacts'!$G$2:$G$500="Y"),""),2),""))</f>
        <v/>
      </c>
      <c r="I350" s="5">
        <f>IF($A350="","",IFERROR(INDEX(FILTER('Client contacts'!$C$2:$C$500,('Client contacts'!$A$2:$A$500=$A350)*('Client contacts'!$G$2:$G$500="Y"),""),2),""))</f>
        <v/>
      </c>
      <c r="J350" s="8" t="n"/>
      <c r="K350" s="8" t="n"/>
      <c r="L350" s="8" t="n"/>
      <c r="M350" s="8" t="n"/>
      <c r="N350" s="8" t="n"/>
      <c r="O350" s="8" t="n"/>
      <c r="P350" s="8" t="n"/>
      <c r="Q350" s="8" t="n"/>
      <c r="R350" s="5">
        <f>IF($A350="","",IFERROR(INDEX(Companies!$I$2:$I$500,MATCH($A350,Companies!$A$2:$A$500,0)),""))</f>
        <v/>
      </c>
      <c r="S350" s="8" t="n"/>
      <c r="T350" s="8" t="n"/>
      <c r="U350" s="8" t="n"/>
      <c r="V350" s="8" t="n"/>
      <c r="W350" s="8" t="n"/>
    </row>
    <row r="351">
      <c r="C351" s="5">
        <f>IF($B351="","",TRIM(IF(INDEX('MOA role matrix'!$B$2:$D$13,1,MATCH($B351,'MOA role matrix'!$B$1:$D$1,0))="Fill","Project initiator, ","")IF(INDEX('MOA role matrix'!$B$2:$D$13,1,MATCH($B351,'MOA role matrix'!$B$1:$D$1,0))="If finance","Project initiator (if finance), ","")IF(INDEX('MOA role matrix'!$B$2:$D$13,1,MATCH($B351,'MOA role matrix'!$B$1:$D$1,0))="Auto","Project initiator (auto), ","")IF(INDEX('MOA role matrix'!$B$2:$D$13,2,MATCH($B351,'MOA role matrix'!$B$1:$D$1,0))="Fill","MOA signers (client), ","")IF(INDEX('MOA role matrix'!$B$2:$D$13,2,MATCH($B351,'MOA role matrix'!$B$1:$D$1,0))="If finance","MOA signers (client) (if finance), ","")IF(INDEX('MOA role matrix'!$B$2:$D$13,2,MATCH($B351,'MOA role matrix'!$B$1:$D$1,0))="Auto","MOA signers (client) (auto), ","")IF(INDEX('MOA role matrix'!$B$2:$D$13,3,MATCH($B351,'MOA role matrix'!$B$1:$D$1,0))="Fill","CFO / Head of Finance, ","")IF(INDEX('MOA role matrix'!$B$2:$D$13,3,MATCH($B351,'MOA role matrix'!$B$1:$D$1,0))="If finance","CFO / Head of Finance (if finance), ","")IF(INDEX('MOA role matrix'!$B$2:$D$13,3,MATCH($B351,'MOA role matrix'!$B$1:$D$1,0))="Auto","CFO / Head of Finance (auto), ","")IF(INDEX('MOA role matrix'!$B$2:$D$13,4,MATCH($B351,'MOA role matrix'!$B$1:$D$1,0))="Fill","CEO / COO / GM, ","")IF(INDEX('MOA role matrix'!$B$2:$D$13,4,MATCH($B351,'MOA role matrix'!$B$1:$D$1,0))="If finance","CEO / COO / GM (if finance), ","")IF(INDEX('MOA role matrix'!$B$2:$D$13,4,MATCH($B351,'MOA role matrix'!$B$1:$D$1,0))="Auto","CEO / COO / GM (auto), ","")IF(INDEX('MOA role matrix'!$B$2:$D$13,5,MATCH($B351,'MOA role matrix'!$B$1:$D$1,0))="Fill","Board member 1, ","")IF(INDEX('MOA role matrix'!$B$2:$D$13,5,MATCH($B351,'MOA role matrix'!$B$1:$D$1,0))="If finance","Board member 1 (if finance), ","")IF(INDEX('MOA role matrix'!$B$2:$D$13,5,MATCH($B351,'MOA role matrix'!$B$1:$D$1,0))="Auto","Board member 1 (auto), ","")IF(INDEX('MOA role matrix'!$B$2:$D$13,6,MATCH($B351,'MOA role matrix'!$B$1:$D$1,0))="Fill","Board member 2, ","")IF(INDEX('MOA role matrix'!$B$2:$D$13,6,MATCH($B351,'MOA role matrix'!$B$1:$D$1,0))="If finance","Board member 2 (if finance), ","")IF(INDEX('MOA role matrix'!$B$2:$D$13,6,MATCH($B351,'MOA role matrix'!$B$1:$D$1,0))="Auto","Board member 2 (auto), ","")IF(INDEX('MOA role matrix'!$B$2:$D$13,7,MATCH($B351,'MOA role matrix'!$B$1:$D$1,0))="Fill","LOA holder 1, ","")IF(INDEX('MOA role matrix'!$B$2:$D$13,7,MATCH($B351,'MOA role matrix'!$B$1:$D$1,0))="If finance","LOA holder 1 (if finance), ","")IF(INDEX('MOA role matrix'!$B$2:$D$13,7,MATCH($B351,'MOA role matrix'!$B$1:$D$1,0))="Auto","LOA holder 1 (auto), ","")IF(INDEX('MOA role matrix'!$B$2:$D$13,8,MATCH($B351,'MOA role matrix'!$B$1:$D$1,0))="Fill","LOA holder 2, ","")IF(INDEX('MOA role matrix'!$B$2:$D$13,8,MATCH($B351,'MOA role matrix'!$B$1:$D$1,0))="If finance","LOA holder 2 (if finance), ","")IF(INDEX('MOA role matrix'!$B$2:$D$13,8,MATCH($B351,'MOA role matrix'!$B$1:$D$1,0))="Auto","LOA holder 2 (auto), ","")IF(INDEX('MOA role matrix'!$B$2:$D$13,9,MATCH($B351,'MOA role matrix'!$B$1:$D$1,0))="Fill","Senior Manager CoSec, ","")IF(INDEX('MOA role matrix'!$B$2:$D$13,9,MATCH($B351,'MOA role matrix'!$B$1:$D$1,0))="If finance","Senior Manager CoSec (if finance), ","")IF(INDEX('MOA role matrix'!$B$2:$D$13,9,MATCH($B351,'MOA role matrix'!$B$1:$D$1,0))="Auto","Senior Manager CoSec (auto), ","")IF(INDEX('MOA role matrix'!$B$2:$D$13,10,MATCH($B351,'MOA role matrix'!$B$1:$D$1,0))="Fill","Division MOI managers, ","")IF(INDEX('MOA role matrix'!$B$2:$D$13,10,MATCH($B351,'MOA role matrix'!$B$1:$D$1,0))="If finance","Division MOI managers (if finance), ","")IF(INDEX('MOA role matrix'!$B$2:$D$13,10,MATCH($B351,'MOA role matrix'!$B$1:$D$1,0))="Auto","Division MOI managers (auto), ","")IF(INDEX('MOA role matrix'!$B$2:$D$13,11,MATCH($B351,'MOA role matrix'!$B$1:$D$1,0))="Fill","Ms Teh (bank), ","")IF(INDEX('MOA role matrix'!$B$2:$D$13,11,MATCH($B351,'MOA role matrix'!$B$1:$D$1,0))="If finance","Ms Teh (bank) (if finance), ","")IF(INDEX('MOA role matrix'!$B$2:$D$13,11,MATCH($B351,'MOA role matrix'!$B$1:$D$1,0))="Auto","Ms Teh (bank) (auto), ","")IF(INDEX('MOA role matrix'!$B$2:$D$13,12,MATCH($B351,'MOA role matrix'!$B$1:$D$1,0))="Fill","DLCM, ","")IF(INDEX('MOA role matrix'!$B$2:$D$13,12,MATCH($B351,'MOA role matrix'!$B$1:$D$1,0))="If finance","DLCM (if finance), ","")IF(INDEX('MOA role matrix'!$B$2:$D$13,12,MATCH($B351,'MOA role matrix'!$B$1:$D$1,0))="Auto","DLCM (auto), ","")))</f>
        <v/>
      </c>
      <c r="D351" s="5">
        <f>IF($A351="","",IFERROR(INDEX(FILTER('Client contacts'!$B$2:$B$500,('Client contacts'!$A$2:$A$500=$A351)*('Client contacts'!$H$2:$H$500="Y"),""),1),""))</f>
        <v/>
      </c>
      <c r="E351" s="5">
        <f>IF($A351="","",IFERROR(INDEX(FILTER('Client contacts'!$C$2:$C$500,('Client contacts'!$A$2:$A$500=$A351)*('Client contacts'!$H$2:$H$500="Y"),""),1),""))</f>
        <v/>
      </c>
      <c r="F351" s="5">
        <f>IF($A351="","",IFERROR(INDEX(FILTER('Client contacts'!$B$2:$B$500,('Client contacts'!$A$2:$A$500=$A351)*('Client contacts'!$G$2:$G$500="Y"),""),1),""))</f>
        <v/>
      </c>
      <c r="G351" s="5">
        <f>IF($A351="","",IFERROR(INDEX(FILTER('Client contacts'!$C$2:$C$500,('Client contacts'!$A$2:$A$500=$A351)*('Client contacts'!$G$2:$G$500="Y"),""),1),""))</f>
        <v/>
      </c>
      <c r="H351" s="5">
        <f>IF($A351="","",IFERROR(INDEX(FILTER('Client contacts'!$B$2:$B$500,('Client contacts'!$A$2:$A$500=$A351)*('Client contacts'!$G$2:$G$500="Y"),""),2),""))</f>
        <v/>
      </c>
      <c r="I351" s="5">
        <f>IF($A351="","",IFERROR(INDEX(FILTER('Client contacts'!$C$2:$C$500,('Client contacts'!$A$2:$A$500=$A351)*('Client contacts'!$G$2:$G$500="Y"),""),2),""))</f>
        <v/>
      </c>
      <c r="J351" s="8" t="n"/>
      <c r="K351" s="8" t="n"/>
      <c r="L351" s="8" t="n"/>
      <c r="M351" s="8" t="n"/>
      <c r="N351" s="8" t="n"/>
      <c r="O351" s="8" t="n"/>
      <c r="P351" s="8" t="n"/>
      <c r="Q351" s="8" t="n"/>
      <c r="R351" s="5">
        <f>IF($A351="","",IFERROR(INDEX(Companies!$I$2:$I$500,MATCH($A351,Companies!$A$2:$A$500,0)),""))</f>
        <v/>
      </c>
      <c r="S351" s="8" t="n"/>
      <c r="T351" s="8" t="n"/>
      <c r="U351" s="8" t="n"/>
      <c r="V351" s="8" t="n"/>
      <c r="W351" s="8" t="n"/>
    </row>
    <row r="352">
      <c r="C352" s="5">
        <f>IF($B352="","",TRIM(IF(INDEX('MOA role matrix'!$B$2:$D$13,1,MATCH($B352,'MOA role matrix'!$B$1:$D$1,0))="Fill","Project initiator, ","")IF(INDEX('MOA role matrix'!$B$2:$D$13,1,MATCH($B352,'MOA role matrix'!$B$1:$D$1,0))="If finance","Project initiator (if finance), ","")IF(INDEX('MOA role matrix'!$B$2:$D$13,1,MATCH($B352,'MOA role matrix'!$B$1:$D$1,0))="Auto","Project initiator (auto), ","")IF(INDEX('MOA role matrix'!$B$2:$D$13,2,MATCH($B352,'MOA role matrix'!$B$1:$D$1,0))="Fill","MOA signers (client), ","")IF(INDEX('MOA role matrix'!$B$2:$D$13,2,MATCH($B352,'MOA role matrix'!$B$1:$D$1,0))="If finance","MOA signers (client) (if finance), ","")IF(INDEX('MOA role matrix'!$B$2:$D$13,2,MATCH($B352,'MOA role matrix'!$B$1:$D$1,0))="Auto","MOA signers (client) (auto), ","")IF(INDEX('MOA role matrix'!$B$2:$D$13,3,MATCH($B352,'MOA role matrix'!$B$1:$D$1,0))="Fill","CFO / Head of Finance, ","")IF(INDEX('MOA role matrix'!$B$2:$D$13,3,MATCH($B352,'MOA role matrix'!$B$1:$D$1,0))="If finance","CFO / Head of Finance (if finance), ","")IF(INDEX('MOA role matrix'!$B$2:$D$13,3,MATCH($B352,'MOA role matrix'!$B$1:$D$1,0))="Auto","CFO / Head of Finance (auto), ","")IF(INDEX('MOA role matrix'!$B$2:$D$13,4,MATCH($B352,'MOA role matrix'!$B$1:$D$1,0))="Fill","CEO / COO / GM, ","")IF(INDEX('MOA role matrix'!$B$2:$D$13,4,MATCH($B352,'MOA role matrix'!$B$1:$D$1,0))="If finance","CEO / COO / GM (if finance), ","")IF(INDEX('MOA role matrix'!$B$2:$D$13,4,MATCH($B352,'MOA role matrix'!$B$1:$D$1,0))="Auto","CEO / COO / GM (auto), ","")IF(INDEX('MOA role matrix'!$B$2:$D$13,5,MATCH($B352,'MOA role matrix'!$B$1:$D$1,0))="Fill","Board member 1, ","")IF(INDEX('MOA role matrix'!$B$2:$D$13,5,MATCH($B352,'MOA role matrix'!$B$1:$D$1,0))="If finance","Board member 1 (if finance), ","")IF(INDEX('MOA role matrix'!$B$2:$D$13,5,MATCH($B352,'MOA role matrix'!$B$1:$D$1,0))="Auto","Board member 1 (auto), ","")IF(INDEX('MOA role matrix'!$B$2:$D$13,6,MATCH($B352,'MOA role matrix'!$B$1:$D$1,0))="Fill","Board member 2, ","")IF(INDEX('MOA role matrix'!$B$2:$D$13,6,MATCH($B352,'MOA role matrix'!$B$1:$D$1,0))="If finance","Board member 2 (if finance), ","")IF(INDEX('MOA role matrix'!$B$2:$D$13,6,MATCH($B352,'MOA role matrix'!$B$1:$D$1,0))="Auto","Board member 2 (auto), ","")IF(INDEX('MOA role matrix'!$B$2:$D$13,7,MATCH($B352,'MOA role matrix'!$B$1:$D$1,0))="Fill","LOA holder 1, ","")IF(INDEX('MOA role matrix'!$B$2:$D$13,7,MATCH($B352,'MOA role matrix'!$B$1:$D$1,0))="If finance","LOA holder 1 (if finance), ","")IF(INDEX('MOA role matrix'!$B$2:$D$13,7,MATCH($B352,'MOA role matrix'!$B$1:$D$1,0))="Auto","LOA holder 1 (auto), ","")IF(INDEX('MOA role matrix'!$B$2:$D$13,8,MATCH($B352,'MOA role matrix'!$B$1:$D$1,0))="Fill","LOA holder 2, ","")IF(INDEX('MOA role matrix'!$B$2:$D$13,8,MATCH($B352,'MOA role matrix'!$B$1:$D$1,0))="If finance","LOA holder 2 (if finance), ","")IF(INDEX('MOA role matrix'!$B$2:$D$13,8,MATCH($B352,'MOA role matrix'!$B$1:$D$1,0))="Auto","LOA holder 2 (auto), ","")IF(INDEX('MOA role matrix'!$B$2:$D$13,9,MATCH($B352,'MOA role matrix'!$B$1:$D$1,0))="Fill","Senior Manager CoSec, ","")IF(INDEX('MOA role matrix'!$B$2:$D$13,9,MATCH($B352,'MOA role matrix'!$B$1:$D$1,0))="If finance","Senior Manager CoSec (if finance), ","")IF(INDEX('MOA role matrix'!$B$2:$D$13,9,MATCH($B352,'MOA role matrix'!$B$1:$D$1,0))="Auto","Senior Manager CoSec (auto), ","")IF(INDEX('MOA role matrix'!$B$2:$D$13,10,MATCH($B352,'MOA role matrix'!$B$1:$D$1,0))="Fill","Division MOI managers, ","")IF(INDEX('MOA role matrix'!$B$2:$D$13,10,MATCH($B352,'MOA role matrix'!$B$1:$D$1,0))="If finance","Division MOI managers (if finance), ","")IF(INDEX('MOA role matrix'!$B$2:$D$13,10,MATCH($B352,'MOA role matrix'!$B$1:$D$1,0))="Auto","Division MOI managers (auto), ","")IF(INDEX('MOA role matrix'!$B$2:$D$13,11,MATCH($B352,'MOA role matrix'!$B$1:$D$1,0))="Fill","Ms Teh (bank), ","")IF(INDEX('MOA role matrix'!$B$2:$D$13,11,MATCH($B352,'MOA role matrix'!$B$1:$D$1,0))="If finance","Ms Teh (bank) (if finance), ","")IF(INDEX('MOA role matrix'!$B$2:$D$13,11,MATCH($B352,'MOA role matrix'!$B$1:$D$1,0))="Auto","Ms Teh (bank) (auto), ","")IF(INDEX('MOA role matrix'!$B$2:$D$13,12,MATCH($B352,'MOA role matrix'!$B$1:$D$1,0))="Fill","DLCM, ","")IF(INDEX('MOA role matrix'!$B$2:$D$13,12,MATCH($B352,'MOA role matrix'!$B$1:$D$1,0))="If finance","DLCM (if finance), ","")IF(INDEX('MOA role matrix'!$B$2:$D$13,12,MATCH($B352,'MOA role matrix'!$B$1:$D$1,0))="Auto","DLCM (auto), ","")))</f>
        <v/>
      </c>
      <c r="D352" s="5">
        <f>IF($A352="","",IFERROR(INDEX(FILTER('Client contacts'!$B$2:$B$500,('Client contacts'!$A$2:$A$500=$A352)*('Client contacts'!$H$2:$H$500="Y"),""),1),""))</f>
        <v/>
      </c>
      <c r="E352" s="5">
        <f>IF($A352="","",IFERROR(INDEX(FILTER('Client contacts'!$C$2:$C$500,('Client contacts'!$A$2:$A$500=$A352)*('Client contacts'!$H$2:$H$500="Y"),""),1),""))</f>
        <v/>
      </c>
      <c r="F352" s="5">
        <f>IF($A352="","",IFERROR(INDEX(FILTER('Client contacts'!$B$2:$B$500,('Client contacts'!$A$2:$A$500=$A352)*('Client contacts'!$G$2:$G$500="Y"),""),1),""))</f>
        <v/>
      </c>
      <c r="G352" s="5">
        <f>IF($A352="","",IFERROR(INDEX(FILTER('Client contacts'!$C$2:$C$500,('Client contacts'!$A$2:$A$500=$A352)*('Client contacts'!$G$2:$G$500="Y"),""),1),""))</f>
        <v/>
      </c>
      <c r="H352" s="5">
        <f>IF($A352="","",IFERROR(INDEX(FILTER('Client contacts'!$B$2:$B$500,('Client contacts'!$A$2:$A$500=$A352)*('Client contacts'!$G$2:$G$500="Y"),""),2),""))</f>
        <v/>
      </c>
      <c r="I352" s="5">
        <f>IF($A352="","",IFERROR(INDEX(FILTER('Client contacts'!$C$2:$C$500,('Client contacts'!$A$2:$A$500=$A352)*('Client contacts'!$G$2:$G$500="Y"),""),2),""))</f>
        <v/>
      </c>
      <c r="J352" s="8" t="n"/>
      <c r="K352" s="8" t="n"/>
      <c r="L352" s="8" t="n"/>
      <c r="M352" s="8" t="n"/>
      <c r="N352" s="8" t="n"/>
      <c r="O352" s="8" t="n"/>
      <c r="P352" s="8" t="n"/>
      <c r="Q352" s="8" t="n"/>
      <c r="R352" s="5">
        <f>IF($A352="","",IFERROR(INDEX(Companies!$I$2:$I$500,MATCH($A352,Companies!$A$2:$A$500,0)),""))</f>
        <v/>
      </c>
      <c r="S352" s="8" t="n"/>
      <c r="T352" s="8" t="n"/>
      <c r="U352" s="8" t="n"/>
      <c r="V352" s="8" t="n"/>
      <c r="W352" s="8" t="n"/>
    </row>
    <row r="353">
      <c r="C353" s="5">
        <f>IF($B353="","",TRIM(IF(INDEX('MOA role matrix'!$B$2:$D$13,1,MATCH($B353,'MOA role matrix'!$B$1:$D$1,0))="Fill","Project initiator, ","")IF(INDEX('MOA role matrix'!$B$2:$D$13,1,MATCH($B353,'MOA role matrix'!$B$1:$D$1,0))="If finance","Project initiator (if finance), ","")IF(INDEX('MOA role matrix'!$B$2:$D$13,1,MATCH($B353,'MOA role matrix'!$B$1:$D$1,0))="Auto","Project initiator (auto), ","")IF(INDEX('MOA role matrix'!$B$2:$D$13,2,MATCH($B353,'MOA role matrix'!$B$1:$D$1,0))="Fill","MOA signers (client), ","")IF(INDEX('MOA role matrix'!$B$2:$D$13,2,MATCH($B353,'MOA role matrix'!$B$1:$D$1,0))="If finance","MOA signers (client) (if finance), ","")IF(INDEX('MOA role matrix'!$B$2:$D$13,2,MATCH($B353,'MOA role matrix'!$B$1:$D$1,0))="Auto","MOA signers (client) (auto), ","")IF(INDEX('MOA role matrix'!$B$2:$D$13,3,MATCH($B353,'MOA role matrix'!$B$1:$D$1,0))="Fill","CFO / Head of Finance, ","")IF(INDEX('MOA role matrix'!$B$2:$D$13,3,MATCH($B353,'MOA role matrix'!$B$1:$D$1,0))="If finance","CFO / Head of Finance (if finance), ","")IF(INDEX('MOA role matrix'!$B$2:$D$13,3,MATCH($B353,'MOA role matrix'!$B$1:$D$1,0))="Auto","CFO / Head of Finance (auto), ","")IF(INDEX('MOA role matrix'!$B$2:$D$13,4,MATCH($B353,'MOA role matrix'!$B$1:$D$1,0))="Fill","CEO / COO / GM, ","")IF(INDEX('MOA role matrix'!$B$2:$D$13,4,MATCH($B353,'MOA role matrix'!$B$1:$D$1,0))="If finance","CEO / COO / GM (if finance), ","")IF(INDEX('MOA role matrix'!$B$2:$D$13,4,MATCH($B353,'MOA role matrix'!$B$1:$D$1,0))="Auto","CEO / COO / GM (auto), ","")IF(INDEX('MOA role matrix'!$B$2:$D$13,5,MATCH($B353,'MOA role matrix'!$B$1:$D$1,0))="Fill","Board member 1, ","")IF(INDEX('MOA role matrix'!$B$2:$D$13,5,MATCH($B353,'MOA role matrix'!$B$1:$D$1,0))="If finance","Board member 1 (if finance), ","")IF(INDEX('MOA role matrix'!$B$2:$D$13,5,MATCH($B353,'MOA role matrix'!$B$1:$D$1,0))="Auto","Board member 1 (auto), ","")IF(INDEX('MOA role matrix'!$B$2:$D$13,6,MATCH($B353,'MOA role matrix'!$B$1:$D$1,0))="Fill","Board member 2, ","")IF(INDEX('MOA role matrix'!$B$2:$D$13,6,MATCH($B353,'MOA role matrix'!$B$1:$D$1,0))="If finance","Board member 2 (if finance), ","")IF(INDEX('MOA role matrix'!$B$2:$D$13,6,MATCH($B353,'MOA role matrix'!$B$1:$D$1,0))="Auto","Board member 2 (auto), ","")IF(INDEX('MOA role matrix'!$B$2:$D$13,7,MATCH($B353,'MOA role matrix'!$B$1:$D$1,0))="Fill","LOA holder 1, ","")IF(INDEX('MOA role matrix'!$B$2:$D$13,7,MATCH($B353,'MOA role matrix'!$B$1:$D$1,0))="If finance","LOA holder 1 (if finance), ","")IF(INDEX('MOA role matrix'!$B$2:$D$13,7,MATCH($B353,'MOA role matrix'!$B$1:$D$1,0))="Auto","LOA holder 1 (auto), ","")IF(INDEX('MOA role matrix'!$B$2:$D$13,8,MATCH($B353,'MOA role matrix'!$B$1:$D$1,0))="Fill","LOA holder 2, ","")IF(INDEX('MOA role matrix'!$B$2:$D$13,8,MATCH($B353,'MOA role matrix'!$B$1:$D$1,0))="If finance","LOA holder 2 (if finance), ","")IF(INDEX('MOA role matrix'!$B$2:$D$13,8,MATCH($B353,'MOA role matrix'!$B$1:$D$1,0))="Auto","LOA holder 2 (auto), ","")IF(INDEX('MOA role matrix'!$B$2:$D$13,9,MATCH($B353,'MOA role matrix'!$B$1:$D$1,0))="Fill","Senior Manager CoSec, ","")IF(INDEX('MOA role matrix'!$B$2:$D$13,9,MATCH($B353,'MOA role matrix'!$B$1:$D$1,0))="If finance","Senior Manager CoSec (if finance), ","")IF(INDEX('MOA role matrix'!$B$2:$D$13,9,MATCH($B353,'MOA role matrix'!$B$1:$D$1,0))="Auto","Senior Manager CoSec (auto), ","")IF(INDEX('MOA role matrix'!$B$2:$D$13,10,MATCH($B353,'MOA role matrix'!$B$1:$D$1,0))="Fill","Division MOI managers, ","")IF(INDEX('MOA role matrix'!$B$2:$D$13,10,MATCH($B353,'MOA role matrix'!$B$1:$D$1,0))="If finance","Division MOI managers (if finance), ","")IF(INDEX('MOA role matrix'!$B$2:$D$13,10,MATCH($B353,'MOA role matrix'!$B$1:$D$1,0))="Auto","Division MOI managers (auto), ","")IF(INDEX('MOA role matrix'!$B$2:$D$13,11,MATCH($B353,'MOA role matrix'!$B$1:$D$1,0))="Fill","Ms Teh (bank), ","")IF(INDEX('MOA role matrix'!$B$2:$D$13,11,MATCH($B353,'MOA role matrix'!$B$1:$D$1,0))="If finance","Ms Teh (bank) (if finance), ","")IF(INDEX('MOA role matrix'!$B$2:$D$13,11,MATCH($B353,'MOA role matrix'!$B$1:$D$1,0))="Auto","Ms Teh (bank) (auto), ","")IF(INDEX('MOA role matrix'!$B$2:$D$13,12,MATCH($B353,'MOA role matrix'!$B$1:$D$1,0))="Fill","DLCM, ","")IF(INDEX('MOA role matrix'!$B$2:$D$13,12,MATCH($B353,'MOA role matrix'!$B$1:$D$1,0))="If finance","DLCM (if finance), ","")IF(INDEX('MOA role matrix'!$B$2:$D$13,12,MATCH($B353,'MOA role matrix'!$B$1:$D$1,0))="Auto","DLCM (auto), ","")))</f>
        <v/>
      </c>
      <c r="D353" s="5">
        <f>IF($A353="","",IFERROR(INDEX(FILTER('Client contacts'!$B$2:$B$500,('Client contacts'!$A$2:$A$500=$A353)*('Client contacts'!$H$2:$H$500="Y"),""),1),""))</f>
        <v/>
      </c>
      <c r="E353" s="5">
        <f>IF($A353="","",IFERROR(INDEX(FILTER('Client contacts'!$C$2:$C$500,('Client contacts'!$A$2:$A$500=$A353)*('Client contacts'!$H$2:$H$500="Y"),""),1),""))</f>
        <v/>
      </c>
      <c r="F353" s="5">
        <f>IF($A353="","",IFERROR(INDEX(FILTER('Client contacts'!$B$2:$B$500,('Client contacts'!$A$2:$A$500=$A353)*('Client contacts'!$G$2:$G$500="Y"),""),1),""))</f>
        <v/>
      </c>
      <c r="G353" s="5">
        <f>IF($A353="","",IFERROR(INDEX(FILTER('Client contacts'!$C$2:$C$500,('Client contacts'!$A$2:$A$500=$A353)*('Client contacts'!$G$2:$G$500="Y"),""),1),""))</f>
        <v/>
      </c>
      <c r="H353" s="5">
        <f>IF($A353="","",IFERROR(INDEX(FILTER('Client contacts'!$B$2:$B$500,('Client contacts'!$A$2:$A$500=$A353)*('Client contacts'!$G$2:$G$500="Y"),""),2),""))</f>
        <v/>
      </c>
      <c r="I353" s="5">
        <f>IF($A353="","",IFERROR(INDEX(FILTER('Client contacts'!$C$2:$C$500,('Client contacts'!$A$2:$A$500=$A353)*('Client contacts'!$G$2:$G$500="Y"),""),2),""))</f>
        <v/>
      </c>
      <c r="J353" s="8" t="n"/>
      <c r="K353" s="8" t="n"/>
      <c r="L353" s="8" t="n"/>
      <c r="M353" s="8" t="n"/>
      <c r="N353" s="8" t="n"/>
      <c r="O353" s="8" t="n"/>
      <c r="P353" s="8" t="n"/>
      <c r="Q353" s="8" t="n"/>
      <c r="R353" s="5">
        <f>IF($A353="","",IFERROR(INDEX(Companies!$I$2:$I$500,MATCH($A353,Companies!$A$2:$A$500,0)),""))</f>
        <v/>
      </c>
      <c r="S353" s="8" t="n"/>
      <c r="T353" s="8" t="n"/>
      <c r="U353" s="8" t="n"/>
      <c r="V353" s="8" t="n"/>
      <c r="W353" s="8" t="n"/>
    </row>
    <row r="354">
      <c r="C354" s="5">
        <f>IF($B354="","",TRIM(IF(INDEX('MOA role matrix'!$B$2:$D$13,1,MATCH($B354,'MOA role matrix'!$B$1:$D$1,0))="Fill","Project initiator, ","")IF(INDEX('MOA role matrix'!$B$2:$D$13,1,MATCH($B354,'MOA role matrix'!$B$1:$D$1,0))="If finance","Project initiator (if finance), ","")IF(INDEX('MOA role matrix'!$B$2:$D$13,1,MATCH($B354,'MOA role matrix'!$B$1:$D$1,0))="Auto","Project initiator (auto), ","")IF(INDEX('MOA role matrix'!$B$2:$D$13,2,MATCH($B354,'MOA role matrix'!$B$1:$D$1,0))="Fill","MOA signers (client), ","")IF(INDEX('MOA role matrix'!$B$2:$D$13,2,MATCH($B354,'MOA role matrix'!$B$1:$D$1,0))="If finance","MOA signers (client) (if finance), ","")IF(INDEX('MOA role matrix'!$B$2:$D$13,2,MATCH($B354,'MOA role matrix'!$B$1:$D$1,0))="Auto","MOA signers (client) (auto), ","")IF(INDEX('MOA role matrix'!$B$2:$D$13,3,MATCH($B354,'MOA role matrix'!$B$1:$D$1,0))="Fill","CFO / Head of Finance, ","")IF(INDEX('MOA role matrix'!$B$2:$D$13,3,MATCH($B354,'MOA role matrix'!$B$1:$D$1,0))="If finance","CFO / Head of Finance (if finance), ","")IF(INDEX('MOA role matrix'!$B$2:$D$13,3,MATCH($B354,'MOA role matrix'!$B$1:$D$1,0))="Auto","CFO / Head of Finance (auto), ","")IF(INDEX('MOA role matrix'!$B$2:$D$13,4,MATCH($B354,'MOA role matrix'!$B$1:$D$1,0))="Fill","CEO / COO / GM, ","")IF(INDEX('MOA role matrix'!$B$2:$D$13,4,MATCH($B354,'MOA role matrix'!$B$1:$D$1,0))="If finance","CEO / COO / GM (if finance), ","")IF(INDEX('MOA role matrix'!$B$2:$D$13,4,MATCH($B354,'MOA role matrix'!$B$1:$D$1,0))="Auto","CEO / COO / GM (auto), ","")IF(INDEX('MOA role matrix'!$B$2:$D$13,5,MATCH($B354,'MOA role matrix'!$B$1:$D$1,0))="Fill","Board member 1, ","")IF(INDEX('MOA role matrix'!$B$2:$D$13,5,MATCH($B354,'MOA role matrix'!$B$1:$D$1,0))="If finance","Board member 1 (if finance), ","")IF(INDEX('MOA role matrix'!$B$2:$D$13,5,MATCH($B354,'MOA role matrix'!$B$1:$D$1,0))="Auto","Board member 1 (auto), ","")IF(INDEX('MOA role matrix'!$B$2:$D$13,6,MATCH($B354,'MOA role matrix'!$B$1:$D$1,0))="Fill","Board member 2, ","")IF(INDEX('MOA role matrix'!$B$2:$D$13,6,MATCH($B354,'MOA role matrix'!$B$1:$D$1,0))="If finance","Board member 2 (if finance), ","")IF(INDEX('MOA role matrix'!$B$2:$D$13,6,MATCH($B354,'MOA role matrix'!$B$1:$D$1,0))="Auto","Board member 2 (auto), ","")IF(INDEX('MOA role matrix'!$B$2:$D$13,7,MATCH($B354,'MOA role matrix'!$B$1:$D$1,0))="Fill","LOA holder 1, ","")IF(INDEX('MOA role matrix'!$B$2:$D$13,7,MATCH($B354,'MOA role matrix'!$B$1:$D$1,0))="If finance","LOA holder 1 (if finance), ","")IF(INDEX('MOA role matrix'!$B$2:$D$13,7,MATCH($B354,'MOA role matrix'!$B$1:$D$1,0))="Auto","LOA holder 1 (auto), ","")IF(INDEX('MOA role matrix'!$B$2:$D$13,8,MATCH($B354,'MOA role matrix'!$B$1:$D$1,0))="Fill","LOA holder 2, ","")IF(INDEX('MOA role matrix'!$B$2:$D$13,8,MATCH($B354,'MOA role matrix'!$B$1:$D$1,0))="If finance","LOA holder 2 (if finance), ","")IF(INDEX('MOA role matrix'!$B$2:$D$13,8,MATCH($B354,'MOA role matrix'!$B$1:$D$1,0))="Auto","LOA holder 2 (auto), ","")IF(INDEX('MOA role matrix'!$B$2:$D$13,9,MATCH($B354,'MOA role matrix'!$B$1:$D$1,0))="Fill","Senior Manager CoSec, ","")IF(INDEX('MOA role matrix'!$B$2:$D$13,9,MATCH($B354,'MOA role matrix'!$B$1:$D$1,0))="If finance","Senior Manager CoSec (if finance), ","")IF(INDEX('MOA role matrix'!$B$2:$D$13,9,MATCH($B354,'MOA role matrix'!$B$1:$D$1,0))="Auto","Senior Manager CoSec (auto), ","")IF(INDEX('MOA role matrix'!$B$2:$D$13,10,MATCH($B354,'MOA role matrix'!$B$1:$D$1,0))="Fill","Division MOI managers, ","")IF(INDEX('MOA role matrix'!$B$2:$D$13,10,MATCH($B354,'MOA role matrix'!$B$1:$D$1,0))="If finance","Division MOI managers (if finance), ","")IF(INDEX('MOA role matrix'!$B$2:$D$13,10,MATCH($B354,'MOA role matrix'!$B$1:$D$1,0))="Auto","Division MOI managers (auto), ","")IF(INDEX('MOA role matrix'!$B$2:$D$13,11,MATCH($B354,'MOA role matrix'!$B$1:$D$1,0))="Fill","Ms Teh (bank), ","")IF(INDEX('MOA role matrix'!$B$2:$D$13,11,MATCH($B354,'MOA role matrix'!$B$1:$D$1,0))="If finance","Ms Teh (bank) (if finance), ","")IF(INDEX('MOA role matrix'!$B$2:$D$13,11,MATCH($B354,'MOA role matrix'!$B$1:$D$1,0))="Auto","Ms Teh (bank) (auto), ","")IF(INDEX('MOA role matrix'!$B$2:$D$13,12,MATCH($B354,'MOA role matrix'!$B$1:$D$1,0))="Fill","DLCM, ","")IF(INDEX('MOA role matrix'!$B$2:$D$13,12,MATCH($B354,'MOA role matrix'!$B$1:$D$1,0))="If finance","DLCM (if finance), ","")IF(INDEX('MOA role matrix'!$B$2:$D$13,12,MATCH($B354,'MOA role matrix'!$B$1:$D$1,0))="Auto","DLCM (auto), ","")))</f>
        <v/>
      </c>
      <c r="D354" s="5">
        <f>IF($A354="","",IFERROR(INDEX(FILTER('Client contacts'!$B$2:$B$500,('Client contacts'!$A$2:$A$500=$A354)*('Client contacts'!$H$2:$H$500="Y"),""),1),""))</f>
        <v/>
      </c>
      <c r="E354" s="5">
        <f>IF($A354="","",IFERROR(INDEX(FILTER('Client contacts'!$C$2:$C$500,('Client contacts'!$A$2:$A$500=$A354)*('Client contacts'!$H$2:$H$500="Y"),""),1),""))</f>
        <v/>
      </c>
      <c r="F354" s="5">
        <f>IF($A354="","",IFERROR(INDEX(FILTER('Client contacts'!$B$2:$B$500,('Client contacts'!$A$2:$A$500=$A354)*('Client contacts'!$G$2:$G$500="Y"),""),1),""))</f>
        <v/>
      </c>
      <c r="G354" s="5">
        <f>IF($A354="","",IFERROR(INDEX(FILTER('Client contacts'!$C$2:$C$500,('Client contacts'!$A$2:$A$500=$A354)*('Client contacts'!$G$2:$G$500="Y"),""),1),""))</f>
        <v/>
      </c>
      <c r="H354" s="5">
        <f>IF($A354="","",IFERROR(INDEX(FILTER('Client contacts'!$B$2:$B$500,('Client contacts'!$A$2:$A$500=$A354)*('Client contacts'!$G$2:$G$500="Y"),""),2),""))</f>
        <v/>
      </c>
      <c r="I354" s="5">
        <f>IF($A354="","",IFERROR(INDEX(FILTER('Client contacts'!$C$2:$C$500,('Client contacts'!$A$2:$A$500=$A354)*('Client contacts'!$G$2:$G$500="Y"),""),2),""))</f>
        <v/>
      </c>
      <c r="J354" s="8" t="n"/>
      <c r="K354" s="8" t="n"/>
      <c r="L354" s="8" t="n"/>
      <c r="M354" s="8" t="n"/>
      <c r="N354" s="8" t="n"/>
      <c r="O354" s="8" t="n"/>
      <c r="P354" s="8" t="n"/>
      <c r="Q354" s="8" t="n"/>
      <c r="R354" s="5">
        <f>IF($A354="","",IFERROR(INDEX(Companies!$I$2:$I$500,MATCH($A354,Companies!$A$2:$A$500,0)),""))</f>
        <v/>
      </c>
      <c r="S354" s="8" t="n"/>
      <c r="T354" s="8" t="n"/>
      <c r="U354" s="8" t="n"/>
      <c r="V354" s="8" t="n"/>
      <c r="W354" s="8" t="n"/>
    </row>
    <row r="355">
      <c r="C355" s="5">
        <f>IF($B355="","",TRIM(IF(INDEX('MOA role matrix'!$B$2:$D$13,1,MATCH($B355,'MOA role matrix'!$B$1:$D$1,0))="Fill","Project initiator, ","")IF(INDEX('MOA role matrix'!$B$2:$D$13,1,MATCH($B355,'MOA role matrix'!$B$1:$D$1,0))="If finance","Project initiator (if finance), ","")IF(INDEX('MOA role matrix'!$B$2:$D$13,1,MATCH($B355,'MOA role matrix'!$B$1:$D$1,0))="Auto","Project initiator (auto), ","")IF(INDEX('MOA role matrix'!$B$2:$D$13,2,MATCH($B355,'MOA role matrix'!$B$1:$D$1,0))="Fill","MOA signers (client), ","")IF(INDEX('MOA role matrix'!$B$2:$D$13,2,MATCH($B355,'MOA role matrix'!$B$1:$D$1,0))="If finance","MOA signers (client) (if finance), ","")IF(INDEX('MOA role matrix'!$B$2:$D$13,2,MATCH($B355,'MOA role matrix'!$B$1:$D$1,0))="Auto","MOA signers (client) (auto), ","")IF(INDEX('MOA role matrix'!$B$2:$D$13,3,MATCH($B355,'MOA role matrix'!$B$1:$D$1,0))="Fill","CFO / Head of Finance, ","")IF(INDEX('MOA role matrix'!$B$2:$D$13,3,MATCH($B355,'MOA role matrix'!$B$1:$D$1,0))="If finance","CFO / Head of Finance (if finance), ","")IF(INDEX('MOA role matrix'!$B$2:$D$13,3,MATCH($B355,'MOA role matrix'!$B$1:$D$1,0))="Auto","CFO / Head of Finance (auto), ","")IF(INDEX('MOA role matrix'!$B$2:$D$13,4,MATCH($B355,'MOA role matrix'!$B$1:$D$1,0))="Fill","CEO / COO / GM, ","")IF(INDEX('MOA role matrix'!$B$2:$D$13,4,MATCH($B355,'MOA role matrix'!$B$1:$D$1,0))="If finance","CEO / COO / GM (if finance), ","")IF(INDEX('MOA role matrix'!$B$2:$D$13,4,MATCH($B355,'MOA role matrix'!$B$1:$D$1,0))="Auto","CEO / COO / GM (auto), ","")IF(INDEX('MOA role matrix'!$B$2:$D$13,5,MATCH($B355,'MOA role matrix'!$B$1:$D$1,0))="Fill","Board member 1, ","")IF(INDEX('MOA role matrix'!$B$2:$D$13,5,MATCH($B355,'MOA role matrix'!$B$1:$D$1,0))="If finance","Board member 1 (if finance), ","")IF(INDEX('MOA role matrix'!$B$2:$D$13,5,MATCH($B355,'MOA role matrix'!$B$1:$D$1,0))="Auto","Board member 1 (auto), ","")IF(INDEX('MOA role matrix'!$B$2:$D$13,6,MATCH($B355,'MOA role matrix'!$B$1:$D$1,0))="Fill","Board member 2, ","")IF(INDEX('MOA role matrix'!$B$2:$D$13,6,MATCH($B355,'MOA role matrix'!$B$1:$D$1,0))="If finance","Board member 2 (if finance), ","")IF(INDEX('MOA role matrix'!$B$2:$D$13,6,MATCH($B355,'MOA role matrix'!$B$1:$D$1,0))="Auto","Board member 2 (auto), ","")IF(INDEX('MOA role matrix'!$B$2:$D$13,7,MATCH($B355,'MOA role matrix'!$B$1:$D$1,0))="Fill","LOA holder 1, ","")IF(INDEX('MOA role matrix'!$B$2:$D$13,7,MATCH($B355,'MOA role matrix'!$B$1:$D$1,0))="If finance","LOA holder 1 (if finance), ","")IF(INDEX('MOA role matrix'!$B$2:$D$13,7,MATCH($B355,'MOA role matrix'!$B$1:$D$1,0))="Auto","LOA holder 1 (auto), ","")IF(INDEX('MOA role matrix'!$B$2:$D$13,8,MATCH($B355,'MOA role matrix'!$B$1:$D$1,0))="Fill","LOA holder 2, ","")IF(INDEX('MOA role matrix'!$B$2:$D$13,8,MATCH($B355,'MOA role matrix'!$B$1:$D$1,0))="If finance","LOA holder 2 (if finance), ","")IF(INDEX('MOA role matrix'!$B$2:$D$13,8,MATCH($B355,'MOA role matrix'!$B$1:$D$1,0))="Auto","LOA holder 2 (auto), ","")IF(INDEX('MOA role matrix'!$B$2:$D$13,9,MATCH($B355,'MOA role matrix'!$B$1:$D$1,0))="Fill","Senior Manager CoSec, ","")IF(INDEX('MOA role matrix'!$B$2:$D$13,9,MATCH($B355,'MOA role matrix'!$B$1:$D$1,0))="If finance","Senior Manager CoSec (if finance), ","")IF(INDEX('MOA role matrix'!$B$2:$D$13,9,MATCH($B355,'MOA role matrix'!$B$1:$D$1,0))="Auto","Senior Manager CoSec (auto), ","")IF(INDEX('MOA role matrix'!$B$2:$D$13,10,MATCH($B355,'MOA role matrix'!$B$1:$D$1,0))="Fill","Division MOI managers, ","")IF(INDEX('MOA role matrix'!$B$2:$D$13,10,MATCH($B355,'MOA role matrix'!$B$1:$D$1,0))="If finance","Division MOI managers (if finance), ","")IF(INDEX('MOA role matrix'!$B$2:$D$13,10,MATCH($B355,'MOA role matrix'!$B$1:$D$1,0))="Auto","Division MOI managers (auto), ","")IF(INDEX('MOA role matrix'!$B$2:$D$13,11,MATCH($B355,'MOA role matrix'!$B$1:$D$1,0))="Fill","Ms Teh (bank), ","")IF(INDEX('MOA role matrix'!$B$2:$D$13,11,MATCH($B355,'MOA role matrix'!$B$1:$D$1,0))="If finance","Ms Teh (bank) (if finance), ","")IF(INDEX('MOA role matrix'!$B$2:$D$13,11,MATCH($B355,'MOA role matrix'!$B$1:$D$1,0))="Auto","Ms Teh (bank) (auto), ","")IF(INDEX('MOA role matrix'!$B$2:$D$13,12,MATCH($B355,'MOA role matrix'!$B$1:$D$1,0))="Fill","DLCM, ","")IF(INDEX('MOA role matrix'!$B$2:$D$13,12,MATCH($B355,'MOA role matrix'!$B$1:$D$1,0))="If finance","DLCM (if finance), ","")IF(INDEX('MOA role matrix'!$B$2:$D$13,12,MATCH($B355,'MOA role matrix'!$B$1:$D$1,0))="Auto","DLCM (auto), ","")))</f>
        <v/>
      </c>
      <c r="D355" s="5">
        <f>IF($A355="","",IFERROR(INDEX(FILTER('Client contacts'!$B$2:$B$500,('Client contacts'!$A$2:$A$500=$A355)*('Client contacts'!$H$2:$H$500="Y"),""),1),""))</f>
        <v/>
      </c>
      <c r="E355" s="5">
        <f>IF($A355="","",IFERROR(INDEX(FILTER('Client contacts'!$C$2:$C$500,('Client contacts'!$A$2:$A$500=$A355)*('Client contacts'!$H$2:$H$500="Y"),""),1),""))</f>
        <v/>
      </c>
      <c r="F355" s="5">
        <f>IF($A355="","",IFERROR(INDEX(FILTER('Client contacts'!$B$2:$B$500,('Client contacts'!$A$2:$A$500=$A355)*('Client contacts'!$G$2:$G$500="Y"),""),1),""))</f>
        <v/>
      </c>
      <c r="G355" s="5">
        <f>IF($A355="","",IFERROR(INDEX(FILTER('Client contacts'!$C$2:$C$500,('Client contacts'!$A$2:$A$500=$A355)*('Client contacts'!$G$2:$G$500="Y"),""),1),""))</f>
        <v/>
      </c>
      <c r="H355" s="5">
        <f>IF($A355="","",IFERROR(INDEX(FILTER('Client contacts'!$B$2:$B$500,('Client contacts'!$A$2:$A$500=$A355)*('Client contacts'!$G$2:$G$500="Y"),""),2),""))</f>
        <v/>
      </c>
      <c r="I355" s="5">
        <f>IF($A355="","",IFERROR(INDEX(FILTER('Client contacts'!$C$2:$C$500,('Client contacts'!$A$2:$A$500=$A355)*('Client contacts'!$G$2:$G$500="Y"),""),2),""))</f>
        <v/>
      </c>
      <c r="J355" s="8" t="n"/>
      <c r="K355" s="8" t="n"/>
      <c r="L355" s="8" t="n"/>
      <c r="M355" s="8" t="n"/>
      <c r="N355" s="8" t="n"/>
      <c r="O355" s="8" t="n"/>
      <c r="P355" s="8" t="n"/>
      <c r="Q355" s="8" t="n"/>
      <c r="R355" s="5">
        <f>IF($A355="","",IFERROR(INDEX(Companies!$I$2:$I$500,MATCH($A355,Companies!$A$2:$A$500,0)),""))</f>
        <v/>
      </c>
      <c r="S355" s="8" t="n"/>
      <c r="T355" s="8" t="n"/>
      <c r="U355" s="8" t="n"/>
      <c r="V355" s="8" t="n"/>
      <c r="W355" s="8" t="n"/>
    </row>
    <row r="356">
      <c r="C356" s="5">
        <f>IF($B356="","",TRIM(IF(INDEX('MOA role matrix'!$B$2:$D$13,1,MATCH($B356,'MOA role matrix'!$B$1:$D$1,0))="Fill","Project initiator, ","")IF(INDEX('MOA role matrix'!$B$2:$D$13,1,MATCH($B356,'MOA role matrix'!$B$1:$D$1,0))="If finance","Project initiator (if finance), ","")IF(INDEX('MOA role matrix'!$B$2:$D$13,1,MATCH($B356,'MOA role matrix'!$B$1:$D$1,0))="Auto","Project initiator (auto), ","")IF(INDEX('MOA role matrix'!$B$2:$D$13,2,MATCH($B356,'MOA role matrix'!$B$1:$D$1,0))="Fill","MOA signers (client), ","")IF(INDEX('MOA role matrix'!$B$2:$D$13,2,MATCH($B356,'MOA role matrix'!$B$1:$D$1,0))="If finance","MOA signers (client) (if finance), ","")IF(INDEX('MOA role matrix'!$B$2:$D$13,2,MATCH($B356,'MOA role matrix'!$B$1:$D$1,0))="Auto","MOA signers (client) (auto), ","")IF(INDEX('MOA role matrix'!$B$2:$D$13,3,MATCH($B356,'MOA role matrix'!$B$1:$D$1,0))="Fill","CFO / Head of Finance, ","")IF(INDEX('MOA role matrix'!$B$2:$D$13,3,MATCH($B356,'MOA role matrix'!$B$1:$D$1,0))="If finance","CFO / Head of Finance (if finance), ","")IF(INDEX('MOA role matrix'!$B$2:$D$13,3,MATCH($B356,'MOA role matrix'!$B$1:$D$1,0))="Auto","CFO / Head of Finance (auto), ","")IF(INDEX('MOA role matrix'!$B$2:$D$13,4,MATCH($B356,'MOA role matrix'!$B$1:$D$1,0))="Fill","CEO / COO / GM, ","")IF(INDEX('MOA role matrix'!$B$2:$D$13,4,MATCH($B356,'MOA role matrix'!$B$1:$D$1,0))="If finance","CEO / COO / GM (if finance), ","")IF(INDEX('MOA role matrix'!$B$2:$D$13,4,MATCH($B356,'MOA role matrix'!$B$1:$D$1,0))="Auto","CEO / COO / GM (auto), ","")IF(INDEX('MOA role matrix'!$B$2:$D$13,5,MATCH($B356,'MOA role matrix'!$B$1:$D$1,0))="Fill","Board member 1, ","")IF(INDEX('MOA role matrix'!$B$2:$D$13,5,MATCH($B356,'MOA role matrix'!$B$1:$D$1,0))="If finance","Board member 1 (if finance), ","")IF(INDEX('MOA role matrix'!$B$2:$D$13,5,MATCH($B356,'MOA role matrix'!$B$1:$D$1,0))="Auto","Board member 1 (auto), ","")IF(INDEX('MOA role matrix'!$B$2:$D$13,6,MATCH($B356,'MOA role matrix'!$B$1:$D$1,0))="Fill","Board member 2, ","")IF(INDEX('MOA role matrix'!$B$2:$D$13,6,MATCH($B356,'MOA role matrix'!$B$1:$D$1,0))="If finance","Board member 2 (if finance), ","")IF(INDEX('MOA role matrix'!$B$2:$D$13,6,MATCH($B356,'MOA role matrix'!$B$1:$D$1,0))="Auto","Board member 2 (auto), ","")IF(INDEX('MOA role matrix'!$B$2:$D$13,7,MATCH($B356,'MOA role matrix'!$B$1:$D$1,0))="Fill","LOA holder 1, ","")IF(INDEX('MOA role matrix'!$B$2:$D$13,7,MATCH($B356,'MOA role matrix'!$B$1:$D$1,0))="If finance","LOA holder 1 (if finance), ","")IF(INDEX('MOA role matrix'!$B$2:$D$13,7,MATCH($B356,'MOA role matrix'!$B$1:$D$1,0))="Auto","LOA holder 1 (auto), ","")IF(INDEX('MOA role matrix'!$B$2:$D$13,8,MATCH($B356,'MOA role matrix'!$B$1:$D$1,0))="Fill","LOA holder 2, ","")IF(INDEX('MOA role matrix'!$B$2:$D$13,8,MATCH($B356,'MOA role matrix'!$B$1:$D$1,0))="If finance","LOA holder 2 (if finance), ","")IF(INDEX('MOA role matrix'!$B$2:$D$13,8,MATCH($B356,'MOA role matrix'!$B$1:$D$1,0))="Auto","LOA holder 2 (auto), ","")IF(INDEX('MOA role matrix'!$B$2:$D$13,9,MATCH($B356,'MOA role matrix'!$B$1:$D$1,0))="Fill","Senior Manager CoSec, ","")IF(INDEX('MOA role matrix'!$B$2:$D$13,9,MATCH($B356,'MOA role matrix'!$B$1:$D$1,0))="If finance","Senior Manager CoSec (if finance), ","")IF(INDEX('MOA role matrix'!$B$2:$D$13,9,MATCH($B356,'MOA role matrix'!$B$1:$D$1,0))="Auto","Senior Manager CoSec (auto), ","")IF(INDEX('MOA role matrix'!$B$2:$D$13,10,MATCH($B356,'MOA role matrix'!$B$1:$D$1,0))="Fill","Division MOI managers, ","")IF(INDEX('MOA role matrix'!$B$2:$D$13,10,MATCH($B356,'MOA role matrix'!$B$1:$D$1,0))="If finance","Division MOI managers (if finance), ","")IF(INDEX('MOA role matrix'!$B$2:$D$13,10,MATCH($B356,'MOA role matrix'!$B$1:$D$1,0))="Auto","Division MOI managers (auto), ","")IF(INDEX('MOA role matrix'!$B$2:$D$13,11,MATCH($B356,'MOA role matrix'!$B$1:$D$1,0))="Fill","Ms Teh (bank), ","")IF(INDEX('MOA role matrix'!$B$2:$D$13,11,MATCH($B356,'MOA role matrix'!$B$1:$D$1,0))="If finance","Ms Teh (bank) (if finance), ","")IF(INDEX('MOA role matrix'!$B$2:$D$13,11,MATCH($B356,'MOA role matrix'!$B$1:$D$1,0))="Auto","Ms Teh (bank) (auto), ","")IF(INDEX('MOA role matrix'!$B$2:$D$13,12,MATCH($B356,'MOA role matrix'!$B$1:$D$1,0))="Fill","DLCM, ","")IF(INDEX('MOA role matrix'!$B$2:$D$13,12,MATCH($B356,'MOA role matrix'!$B$1:$D$1,0))="If finance","DLCM (if finance), ","")IF(INDEX('MOA role matrix'!$B$2:$D$13,12,MATCH($B356,'MOA role matrix'!$B$1:$D$1,0))="Auto","DLCM (auto), ","")))</f>
        <v/>
      </c>
      <c r="D356" s="5">
        <f>IF($A356="","",IFERROR(INDEX(FILTER('Client contacts'!$B$2:$B$500,('Client contacts'!$A$2:$A$500=$A356)*('Client contacts'!$H$2:$H$500="Y"),""),1),""))</f>
        <v/>
      </c>
      <c r="E356" s="5">
        <f>IF($A356="","",IFERROR(INDEX(FILTER('Client contacts'!$C$2:$C$500,('Client contacts'!$A$2:$A$500=$A356)*('Client contacts'!$H$2:$H$500="Y"),""),1),""))</f>
        <v/>
      </c>
      <c r="F356" s="5">
        <f>IF($A356="","",IFERROR(INDEX(FILTER('Client contacts'!$B$2:$B$500,('Client contacts'!$A$2:$A$500=$A356)*('Client contacts'!$G$2:$G$500="Y"),""),1),""))</f>
        <v/>
      </c>
      <c r="G356" s="5">
        <f>IF($A356="","",IFERROR(INDEX(FILTER('Client contacts'!$C$2:$C$500,('Client contacts'!$A$2:$A$500=$A356)*('Client contacts'!$G$2:$G$500="Y"),""),1),""))</f>
        <v/>
      </c>
      <c r="H356" s="5">
        <f>IF($A356="","",IFERROR(INDEX(FILTER('Client contacts'!$B$2:$B$500,('Client contacts'!$A$2:$A$500=$A356)*('Client contacts'!$G$2:$G$500="Y"),""),2),""))</f>
        <v/>
      </c>
      <c r="I356" s="5">
        <f>IF($A356="","",IFERROR(INDEX(FILTER('Client contacts'!$C$2:$C$500,('Client contacts'!$A$2:$A$500=$A356)*('Client contacts'!$G$2:$G$500="Y"),""),2),""))</f>
        <v/>
      </c>
      <c r="J356" s="8" t="n"/>
      <c r="K356" s="8" t="n"/>
      <c r="L356" s="8" t="n"/>
      <c r="M356" s="8" t="n"/>
      <c r="N356" s="8" t="n"/>
      <c r="O356" s="8" t="n"/>
      <c r="P356" s="8" t="n"/>
      <c r="Q356" s="8" t="n"/>
      <c r="R356" s="5">
        <f>IF($A356="","",IFERROR(INDEX(Companies!$I$2:$I$500,MATCH($A356,Companies!$A$2:$A$500,0)),""))</f>
        <v/>
      </c>
      <c r="S356" s="8" t="n"/>
      <c r="T356" s="8" t="n"/>
      <c r="U356" s="8" t="n"/>
      <c r="V356" s="8" t="n"/>
      <c r="W356" s="8" t="n"/>
    </row>
    <row r="357">
      <c r="C357" s="5">
        <f>IF($B357="","",TRIM(IF(INDEX('MOA role matrix'!$B$2:$D$13,1,MATCH($B357,'MOA role matrix'!$B$1:$D$1,0))="Fill","Project initiator, ","")IF(INDEX('MOA role matrix'!$B$2:$D$13,1,MATCH($B357,'MOA role matrix'!$B$1:$D$1,0))="If finance","Project initiator (if finance), ","")IF(INDEX('MOA role matrix'!$B$2:$D$13,1,MATCH($B357,'MOA role matrix'!$B$1:$D$1,0))="Auto","Project initiator (auto), ","")IF(INDEX('MOA role matrix'!$B$2:$D$13,2,MATCH($B357,'MOA role matrix'!$B$1:$D$1,0))="Fill","MOA signers (client), ","")IF(INDEX('MOA role matrix'!$B$2:$D$13,2,MATCH($B357,'MOA role matrix'!$B$1:$D$1,0))="If finance","MOA signers (client) (if finance), ","")IF(INDEX('MOA role matrix'!$B$2:$D$13,2,MATCH($B357,'MOA role matrix'!$B$1:$D$1,0))="Auto","MOA signers (client) (auto), ","")IF(INDEX('MOA role matrix'!$B$2:$D$13,3,MATCH($B357,'MOA role matrix'!$B$1:$D$1,0))="Fill","CFO / Head of Finance, ","")IF(INDEX('MOA role matrix'!$B$2:$D$13,3,MATCH($B357,'MOA role matrix'!$B$1:$D$1,0))="If finance","CFO / Head of Finance (if finance), ","")IF(INDEX('MOA role matrix'!$B$2:$D$13,3,MATCH($B357,'MOA role matrix'!$B$1:$D$1,0))="Auto","CFO / Head of Finance (auto), ","")IF(INDEX('MOA role matrix'!$B$2:$D$13,4,MATCH($B357,'MOA role matrix'!$B$1:$D$1,0))="Fill","CEO / COO / GM, ","")IF(INDEX('MOA role matrix'!$B$2:$D$13,4,MATCH($B357,'MOA role matrix'!$B$1:$D$1,0))="If finance","CEO / COO / GM (if finance), ","")IF(INDEX('MOA role matrix'!$B$2:$D$13,4,MATCH($B357,'MOA role matrix'!$B$1:$D$1,0))="Auto","CEO / COO / GM (auto), ","")IF(INDEX('MOA role matrix'!$B$2:$D$13,5,MATCH($B357,'MOA role matrix'!$B$1:$D$1,0))="Fill","Board member 1, ","")IF(INDEX('MOA role matrix'!$B$2:$D$13,5,MATCH($B357,'MOA role matrix'!$B$1:$D$1,0))="If finance","Board member 1 (if finance), ","")IF(INDEX('MOA role matrix'!$B$2:$D$13,5,MATCH($B357,'MOA role matrix'!$B$1:$D$1,0))="Auto","Board member 1 (auto), ","")IF(INDEX('MOA role matrix'!$B$2:$D$13,6,MATCH($B357,'MOA role matrix'!$B$1:$D$1,0))="Fill","Board member 2, ","")IF(INDEX('MOA role matrix'!$B$2:$D$13,6,MATCH($B357,'MOA role matrix'!$B$1:$D$1,0))="If finance","Board member 2 (if finance), ","")IF(INDEX('MOA role matrix'!$B$2:$D$13,6,MATCH($B357,'MOA role matrix'!$B$1:$D$1,0))="Auto","Board member 2 (auto), ","")IF(INDEX('MOA role matrix'!$B$2:$D$13,7,MATCH($B357,'MOA role matrix'!$B$1:$D$1,0))="Fill","LOA holder 1, ","")IF(INDEX('MOA role matrix'!$B$2:$D$13,7,MATCH($B357,'MOA role matrix'!$B$1:$D$1,0))="If finance","LOA holder 1 (if finance), ","")IF(INDEX('MOA role matrix'!$B$2:$D$13,7,MATCH($B357,'MOA role matrix'!$B$1:$D$1,0))="Auto","LOA holder 1 (auto), ","")IF(INDEX('MOA role matrix'!$B$2:$D$13,8,MATCH($B357,'MOA role matrix'!$B$1:$D$1,0))="Fill","LOA holder 2, ","")IF(INDEX('MOA role matrix'!$B$2:$D$13,8,MATCH($B357,'MOA role matrix'!$B$1:$D$1,0))="If finance","LOA holder 2 (if finance), ","")IF(INDEX('MOA role matrix'!$B$2:$D$13,8,MATCH($B357,'MOA role matrix'!$B$1:$D$1,0))="Auto","LOA holder 2 (auto), ","")IF(INDEX('MOA role matrix'!$B$2:$D$13,9,MATCH($B357,'MOA role matrix'!$B$1:$D$1,0))="Fill","Senior Manager CoSec, ","")IF(INDEX('MOA role matrix'!$B$2:$D$13,9,MATCH($B357,'MOA role matrix'!$B$1:$D$1,0))="If finance","Senior Manager CoSec (if finance), ","")IF(INDEX('MOA role matrix'!$B$2:$D$13,9,MATCH($B357,'MOA role matrix'!$B$1:$D$1,0))="Auto","Senior Manager CoSec (auto), ","")IF(INDEX('MOA role matrix'!$B$2:$D$13,10,MATCH($B357,'MOA role matrix'!$B$1:$D$1,0))="Fill","Division MOI managers, ","")IF(INDEX('MOA role matrix'!$B$2:$D$13,10,MATCH($B357,'MOA role matrix'!$B$1:$D$1,0))="If finance","Division MOI managers (if finance), ","")IF(INDEX('MOA role matrix'!$B$2:$D$13,10,MATCH($B357,'MOA role matrix'!$B$1:$D$1,0))="Auto","Division MOI managers (auto), ","")IF(INDEX('MOA role matrix'!$B$2:$D$13,11,MATCH($B357,'MOA role matrix'!$B$1:$D$1,0))="Fill","Ms Teh (bank), ","")IF(INDEX('MOA role matrix'!$B$2:$D$13,11,MATCH($B357,'MOA role matrix'!$B$1:$D$1,0))="If finance","Ms Teh (bank) (if finance), ","")IF(INDEX('MOA role matrix'!$B$2:$D$13,11,MATCH($B357,'MOA role matrix'!$B$1:$D$1,0))="Auto","Ms Teh (bank) (auto), ","")IF(INDEX('MOA role matrix'!$B$2:$D$13,12,MATCH($B357,'MOA role matrix'!$B$1:$D$1,0))="Fill","DLCM, ","")IF(INDEX('MOA role matrix'!$B$2:$D$13,12,MATCH($B357,'MOA role matrix'!$B$1:$D$1,0))="If finance","DLCM (if finance), ","")IF(INDEX('MOA role matrix'!$B$2:$D$13,12,MATCH($B357,'MOA role matrix'!$B$1:$D$1,0))="Auto","DLCM (auto), ","")))</f>
        <v/>
      </c>
      <c r="D357" s="5">
        <f>IF($A357="","",IFERROR(INDEX(FILTER('Client contacts'!$B$2:$B$500,('Client contacts'!$A$2:$A$500=$A357)*('Client contacts'!$H$2:$H$500="Y"),""),1),""))</f>
        <v/>
      </c>
      <c r="E357" s="5">
        <f>IF($A357="","",IFERROR(INDEX(FILTER('Client contacts'!$C$2:$C$500,('Client contacts'!$A$2:$A$500=$A357)*('Client contacts'!$H$2:$H$500="Y"),""),1),""))</f>
        <v/>
      </c>
      <c r="F357" s="5">
        <f>IF($A357="","",IFERROR(INDEX(FILTER('Client contacts'!$B$2:$B$500,('Client contacts'!$A$2:$A$500=$A357)*('Client contacts'!$G$2:$G$500="Y"),""),1),""))</f>
        <v/>
      </c>
      <c r="G357" s="5">
        <f>IF($A357="","",IFERROR(INDEX(FILTER('Client contacts'!$C$2:$C$500,('Client contacts'!$A$2:$A$500=$A357)*('Client contacts'!$G$2:$G$500="Y"),""),1),""))</f>
        <v/>
      </c>
      <c r="H357" s="5">
        <f>IF($A357="","",IFERROR(INDEX(FILTER('Client contacts'!$B$2:$B$500,('Client contacts'!$A$2:$A$500=$A357)*('Client contacts'!$G$2:$G$500="Y"),""),2),""))</f>
        <v/>
      </c>
      <c r="I357" s="5">
        <f>IF($A357="","",IFERROR(INDEX(FILTER('Client contacts'!$C$2:$C$500,('Client contacts'!$A$2:$A$500=$A357)*('Client contacts'!$G$2:$G$500="Y"),""),2),""))</f>
        <v/>
      </c>
      <c r="J357" s="8" t="n"/>
      <c r="K357" s="8" t="n"/>
      <c r="L357" s="8" t="n"/>
      <c r="M357" s="8" t="n"/>
      <c r="N357" s="8" t="n"/>
      <c r="O357" s="8" t="n"/>
      <c r="P357" s="8" t="n"/>
      <c r="Q357" s="8" t="n"/>
      <c r="R357" s="5">
        <f>IF($A357="","",IFERROR(INDEX(Companies!$I$2:$I$500,MATCH($A357,Companies!$A$2:$A$500,0)),""))</f>
        <v/>
      </c>
      <c r="S357" s="8" t="n"/>
      <c r="T357" s="8" t="n"/>
      <c r="U357" s="8" t="n"/>
      <c r="V357" s="8" t="n"/>
      <c r="W357" s="8" t="n"/>
    </row>
    <row r="358">
      <c r="C358" s="5">
        <f>IF($B358="","",TRIM(IF(INDEX('MOA role matrix'!$B$2:$D$13,1,MATCH($B358,'MOA role matrix'!$B$1:$D$1,0))="Fill","Project initiator, ","")IF(INDEX('MOA role matrix'!$B$2:$D$13,1,MATCH($B358,'MOA role matrix'!$B$1:$D$1,0))="If finance","Project initiator (if finance), ","")IF(INDEX('MOA role matrix'!$B$2:$D$13,1,MATCH($B358,'MOA role matrix'!$B$1:$D$1,0))="Auto","Project initiator (auto), ","")IF(INDEX('MOA role matrix'!$B$2:$D$13,2,MATCH($B358,'MOA role matrix'!$B$1:$D$1,0))="Fill","MOA signers (client), ","")IF(INDEX('MOA role matrix'!$B$2:$D$13,2,MATCH($B358,'MOA role matrix'!$B$1:$D$1,0))="If finance","MOA signers (client) (if finance), ","")IF(INDEX('MOA role matrix'!$B$2:$D$13,2,MATCH($B358,'MOA role matrix'!$B$1:$D$1,0))="Auto","MOA signers (client) (auto), ","")IF(INDEX('MOA role matrix'!$B$2:$D$13,3,MATCH($B358,'MOA role matrix'!$B$1:$D$1,0))="Fill","CFO / Head of Finance, ","")IF(INDEX('MOA role matrix'!$B$2:$D$13,3,MATCH($B358,'MOA role matrix'!$B$1:$D$1,0))="If finance","CFO / Head of Finance (if finance), ","")IF(INDEX('MOA role matrix'!$B$2:$D$13,3,MATCH($B358,'MOA role matrix'!$B$1:$D$1,0))="Auto","CFO / Head of Finance (auto), ","")IF(INDEX('MOA role matrix'!$B$2:$D$13,4,MATCH($B358,'MOA role matrix'!$B$1:$D$1,0))="Fill","CEO / COO / GM, ","")IF(INDEX('MOA role matrix'!$B$2:$D$13,4,MATCH($B358,'MOA role matrix'!$B$1:$D$1,0))="If finance","CEO / COO / GM (if finance), ","")IF(INDEX('MOA role matrix'!$B$2:$D$13,4,MATCH($B358,'MOA role matrix'!$B$1:$D$1,0))="Auto","CEO / COO / GM (auto), ","")IF(INDEX('MOA role matrix'!$B$2:$D$13,5,MATCH($B358,'MOA role matrix'!$B$1:$D$1,0))="Fill","Board member 1, ","")IF(INDEX('MOA role matrix'!$B$2:$D$13,5,MATCH($B358,'MOA role matrix'!$B$1:$D$1,0))="If finance","Board member 1 (if finance), ","")IF(INDEX('MOA role matrix'!$B$2:$D$13,5,MATCH($B358,'MOA role matrix'!$B$1:$D$1,0))="Auto","Board member 1 (auto), ","")IF(INDEX('MOA role matrix'!$B$2:$D$13,6,MATCH($B358,'MOA role matrix'!$B$1:$D$1,0))="Fill","Board member 2, ","")IF(INDEX('MOA role matrix'!$B$2:$D$13,6,MATCH($B358,'MOA role matrix'!$B$1:$D$1,0))="If finance","Board member 2 (if finance), ","")IF(INDEX('MOA role matrix'!$B$2:$D$13,6,MATCH($B358,'MOA role matrix'!$B$1:$D$1,0))="Auto","Board member 2 (auto), ","")IF(INDEX('MOA role matrix'!$B$2:$D$13,7,MATCH($B358,'MOA role matrix'!$B$1:$D$1,0))="Fill","LOA holder 1, ","")IF(INDEX('MOA role matrix'!$B$2:$D$13,7,MATCH($B358,'MOA role matrix'!$B$1:$D$1,0))="If finance","LOA holder 1 (if finance), ","")IF(INDEX('MOA role matrix'!$B$2:$D$13,7,MATCH($B358,'MOA role matrix'!$B$1:$D$1,0))="Auto","LOA holder 1 (auto), ","")IF(INDEX('MOA role matrix'!$B$2:$D$13,8,MATCH($B358,'MOA role matrix'!$B$1:$D$1,0))="Fill","LOA holder 2, ","")IF(INDEX('MOA role matrix'!$B$2:$D$13,8,MATCH($B358,'MOA role matrix'!$B$1:$D$1,0))="If finance","LOA holder 2 (if finance), ","")IF(INDEX('MOA role matrix'!$B$2:$D$13,8,MATCH($B358,'MOA role matrix'!$B$1:$D$1,0))="Auto","LOA holder 2 (auto), ","")IF(INDEX('MOA role matrix'!$B$2:$D$13,9,MATCH($B358,'MOA role matrix'!$B$1:$D$1,0))="Fill","Senior Manager CoSec, ","")IF(INDEX('MOA role matrix'!$B$2:$D$13,9,MATCH($B358,'MOA role matrix'!$B$1:$D$1,0))="If finance","Senior Manager CoSec (if finance), ","")IF(INDEX('MOA role matrix'!$B$2:$D$13,9,MATCH($B358,'MOA role matrix'!$B$1:$D$1,0))="Auto","Senior Manager CoSec (auto), ","")IF(INDEX('MOA role matrix'!$B$2:$D$13,10,MATCH($B358,'MOA role matrix'!$B$1:$D$1,0))="Fill","Division MOI managers, ","")IF(INDEX('MOA role matrix'!$B$2:$D$13,10,MATCH($B358,'MOA role matrix'!$B$1:$D$1,0))="If finance","Division MOI managers (if finance), ","")IF(INDEX('MOA role matrix'!$B$2:$D$13,10,MATCH($B358,'MOA role matrix'!$B$1:$D$1,0))="Auto","Division MOI managers (auto), ","")IF(INDEX('MOA role matrix'!$B$2:$D$13,11,MATCH($B358,'MOA role matrix'!$B$1:$D$1,0))="Fill","Ms Teh (bank), ","")IF(INDEX('MOA role matrix'!$B$2:$D$13,11,MATCH($B358,'MOA role matrix'!$B$1:$D$1,0))="If finance","Ms Teh (bank) (if finance), ","")IF(INDEX('MOA role matrix'!$B$2:$D$13,11,MATCH($B358,'MOA role matrix'!$B$1:$D$1,0))="Auto","Ms Teh (bank) (auto), ","")IF(INDEX('MOA role matrix'!$B$2:$D$13,12,MATCH($B358,'MOA role matrix'!$B$1:$D$1,0))="Fill","DLCM, ","")IF(INDEX('MOA role matrix'!$B$2:$D$13,12,MATCH($B358,'MOA role matrix'!$B$1:$D$1,0))="If finance","DLCM (if finance), ","")IF(INDEX('MOA role matrix'!$B$2:$D$13,12,MATCH($B358,'MOA role matrix'!$B$1:$D$1,0))="Auto","DLCM (auto), ","")))</f>
        <v/>
      </c>
      <c r="D358" s="5">
        <f>IF($A358="","",IFERROR(INDEX(FILTER('Client contacts'!$B$2:$B$500,('Client contacts'!$A$2:$A$500=$A358)*('Client contacts'!$H$2:$H$500="Y"),""),1),""))</f>
        <v/>
      </c>
      <c r="E358" s="5">
        <f>IF($A358="","",IFERROR(INDEX(FILTER('Client contacts'!$C$2:$C$500,('Client contacts'!$A$2:$A$500=$A358)*('Client contacts'!$H$2:$H$500="Y"),""),1),""))</f>
        <v/>
      </c>
      <c r="F358" s="5">
        <f>IF($A358="","",IFERROR(INDEX(FILTER('Client contacts'!$B$2:$B$500,('Client contacts'!$A$2:$A$500=$A358)*('Client contacts'!$G$2:$G$500="Y"),""),1),""))</f>
        <v/>
      </c>
      <c r="G358" s="5">
        <f>IF($A358="","",IFERROR(INDEX(FILTER('Client contacts'!$C$2:$C$500,('Client contacts'!$A$2:$A$500=$A358)*('Client contacts'!$G$2:$G$500="Y"),""),1),""))</f>
        <v/>
      </c>
      <c r="H358" s="5">
        <f>IF($A358="","",IFERROR(INDEX(FILTER('Client contacts'!$B$2:$B$500,('Client contacts'!$A$2:$A$500=$A358)*('Client contacts'!$G$2:$G$500="Y"),""),2),""))</f>
        <v/>
      </c>
      <c r="I358" s="5">
        <f>IF($A358="","",IFERROR(INDEX(FILTER('Client contacts'!$C$2:$C$500,('Client contacts'!$A$2:$A$500=$A358)*('Client contacts'!$G$2:$G$500="Y"),""),2),""))</f>
        <v/>
      </c>
      <c r="J358" s="8" t="n"/>
      <c r="K358" s="8" t="n"/>
      <c r="L358" s="8" t="n"/>
      <c r="M358" s="8" t="n"/>
      <c r="N358" s="8" t="n"/>
      <c r="O358" s="8" t="n"/>
      <c r="P358" s="8" t="n"/>
      <c r="Q358" s="8" t="n"/>
      <c r="R358" s="5">
        <f>IF($A358="","",IFERROR(INDEX(Companies!$I$2:$I$500,MATCH($A358,Companies!$A$2:$A$500,0)),""))</f>
        <v/>
      </c>
      <c r="S358" s="8" t="n"/>
      <c r="T358" s="8" t="n"/>
      <c r="U358" s="8" t="n"/>
      <c r="V358" s="8" t="n"/>
      <c r="W358" s="8" t="n"/>
    </row>
    <row r="359">
      <c r="C359" s="5">
        <f>IF($B359="","",TRIM(IF(INDEX('MOA role matrix'!$B$2:$D$13,1,MATCH($B359,'MOA role matrix'!$B$1:$D$1,0))="Fill","Project initiator, ","")IF(INDEX('MOA role matrix'!$B$2:$D$13,1,MATCH($B359,'MOA role matrix'!$B$1:$D$1,0))="If finance","Project initiator (if finance), ","")IF(INDEX('MOA role matrix'!$B$2:$D$13,1,MATCH($B359,'MOA role matrix'!$B$1:$D$1,0))="Auto","Project initiator (auto), ","")IF(INDEX('MOA role matrix'!$B$2:$D$13,2,MATCH($B359,'MOA role matrix'!$B$1:$D$1,0))="Fill","MOA signers (client), ","")IF(INDEX('MOA role matrix'!$B$2:$D$13,2,MATCH($B359,'MOA role matrix'!$B$1:$D$1,0))="If finance","MOA signers (client) (if finance), ","")IF(INDEX('MOA role matrix'!$B$2:$D$13,2,MATCH($B359,'MOA role matrix'!$B$1:$D$1,0))="Auto","MOA signers (client) (auto), ","")IF(INDEX('MOA role matrix'!$B$2:$D$13,3,MATCH($B359,'MOA role matrix'!$B$1:$D$1,0))="Fill","CFO / Head of Finance, ","")IF(INDEX('MOA role matrix'!$B$2:$D$13,3,MATCH($B359,'MOA role matrix'!$B$1:$D$1,0))="If finance","CFO / Head of Finance (if finance), ","")IF(INDEX('MOA role matrix'!$B$2:$D$13,3,MATCH($B359,'MOA role matrix'!$B$1:$D$1,0))="Auto","CFO / Head of Finance (auto), ","")IF(INDEX('MOA role matrix'!$B$2:$D$13,4,MATCH($B359,'MOA role matrix'!$B$1:$D$1,0))="Fill","CEO / COO / GM, ","")IF(INDEX('MOA role matrix'!$B$2:$D$13,4,MATCH($B359,'MOA role matrix'!$B$1:$D$1,0))="If finance","CEO / COO / GM (if finance), ","")IF(INDEX('MOA role matrix'!$B$2:$D$13,4,MATCH($B359,'MOA role matrix'!$B$1:$D$1,0))="Auto","CEO / COO / GM (auto), ","")IF(INDEX('MOA role matrix'!$B$2:$D$13,5,MATCH($B359,'MOA role matrix'!$B$1:$D$1,0))="Fill","Board member 1, ","")IF(INDEX('MOA role matrix'!$B$2:$D$13,5,MATCH($B359,'MOA role matrix'!$B$1:$D$1,0))="If finance","Board member 1 (if finance), ","")IF(INDEX('MOA role matrix'!$B$2:$D$13,5,MATCH($B359,'MOA role matrix'!$B$1:$D$1,0))="Auto","Board member 1 (auto), ","")IF(INDEX('MOA role matrix'!$B$2:$D$13,6,MATCH($B359,'MOA role matrix'!$B$1:$D$1,0))="Fill","Board member 2, ","")IF(INDEX('MOA role matrix'!$B$2:$D$13,6,MATCH($B359,'MOA role matrix'!$B$1:$D$1,0))="If finance","Board member 2 (if finance), ","")IF(INDEX('MOA role matrix'!$B$2:$D$13,6,MATCH($B359,'MOA role matrix'!$B$1:$D$1,0))="Auto","Board member 2 (auto), ","")IF(INDEX('MOA role matrix'!$B$2:$D$13,7,MATCH($B359,'MOA role matrix'!$B$1:$D$1,0))="Fill","LOA holder 1, ","")IF(INDEX('MOA role matrix'!$B$2:$D$13,7,MATCH($B359,'MOA role matrix'!$B$1:$D$1,0))="If finance","LOA holder 1 (if finance), ","")IF(INDEX('MOA role matrix'!$B$2:$D$13,7,MATCH($B359,'MOA role matrix'!$B$1:$D$1,0))="Auto","LOA holder 1 (auto), ","")IF(INDEX('MOA role matrix'!$B$2:$D$13,8,MATCH($B359,'MOA role matrix'!$B$1:$D$1,0))="Fill","LOA holder 2, ","")IF(INDEX('MOA role matrix'!$B$2:$D$13,8,MATCH($B359,'MOA role matrix'!$B$1:$D$1,0))="If finance","LOA holder 2 (if finance), ","")IF(INDEX('MOA role matrix'!$B$2:$D$13,8,MATCH($B359,'MOA role matrix'!$B$1:$D$1,0))="Auto","LOA holder 2 (auto), ","")IF(INDEX('MOA role matrix'!$B$2:$D$13,9,MATCH($B359,'MOA role matrix'!$B$1:$D$1,0))="Fill","Senior Manager CoSec, ","")IF(INDEX('MOA role matrix'!$B$2:$D$13,9,MATCH($B359,'MOA role matrix'!$B$1:$D$1,0))="If finance","Senior Manager CoSec (if finance), ","")IF(INDEX('MOA role matrix'!$B$2:$D$13,9,MATCH($B359,'MOA role matrix'!$B$1:$D$1,0))="Auto","Senior Manager CoSec (auto), ","")IF(INDEX('MOA role matrix'!$B$2:$D$13,10,MATCH($B359,'MOA role matrix'!$B$1:$D$1,0))="Fill","Division MOI managers, ","")IF(INDEX('MOA role matrix'!$B$2:$D$13,10,MATCH($B359,'MOA role matrix'!$B$1:$D$1,0))="If finance","Division MOI managers (if finance), ","")IF(INDEX('MOA role matrix'!$B$2:$D$13,10,MATCH($B359,'MOA role matrix'!$B$1:$D$1,0))="Auto","Division MOI managers (auto), ","")IF(INDEX('MOA role matrix'!$B$2:$D$13,11,MATCH($B359,'MOA role matrix'!$B$1:$D$1,0))="Fill","Ms Teh (bank), ","")IF(INDEX('MOA role matrix'!$B$2:$D$13,11,MATCH($B359,'MOA role matrix'!$B$1:$D$1,0))="If finance","Ms Teh (bank) (if finance), ","")IF(INDEX('MOA role matrix'!$B$2:$D$13,11,MATCH($B359,'MOA role matrix'!$B$1:$D$1,0))="Auto","Ms Teh (bank) (auto), ","")IF(INDEX('MOA role matrix'!$B$2:$D$13,12,MATCH($B359,'MOA role matrix'!$B$1:$D$1,0))="Fill","DLCM, ","")IF(INDEX('MOA role matrix'!$B$2:$D$13,12,MATCH($B359,'MOA role matrix'!$B$1:$D$1,0))="If finance","DLCM (if finance), ","")IF(INDEX('MOA role matrix'!$B$2:$D$13,12,MATCH($B359,'MOA role matrix'!$B$1:$D$1,0))="Auto","DLCM (auto), ","")))</f>
        <v/>
      </c>
      <c r="D359" s="5">
        <f>IF($A359="","",IFERROR(INDEX(FILTER('Client contacts'!$B$2:$B$500,('Client contacts'!$A$2:$A$500=$A359)*('Client contacts'!$H$2:$H$500="Y"),""),1),""))</f>
        <v/>
      </c>
      <c r="E359" s="5">
        <f>IF($A359="","",IFERROR(INDEX(FILTER('Client contacts'!$C$2:$C$500,('Client contacts'!$A$2:$A$500=$A359)*('Client contacts'!$H$2:$H$500="Y"),""),1),""))</f>
        <v/>
      </c>
      <c r="F359" s="5">
        <f>IF($A359="","",IFERROR(INDEX(FILTER('Client contacts'!$B$2:$B$500,('Client contacts'!$A$2:$A$500=$A359)*('Client contacts'!$G$2:$G$500="Y"),""),1),""))</f>
        <v/>
      </c>
      <c r="G359" s="5">
        <f>IF($A359="","",IFERROR(INDEX(FILTER('Client contacts'!$C$2:$C$500,('Client contacts'!$A$2:$A$500=$A359)*('Client contacts'!$G$2:$G$500="Y"),""),1),""))</f>
        <v/>
      </c>
      <c r="H359" s="5">
        <f>IF($A359="","",IFERROR(INDEX(FILTER('Client contacts'!$B$2:$B$500,('Client contacts'!$A$2:$A$500=$A359)*('Client contacts'!$G$2:$G$500="Y"),""),2),""))</f>
        <v/>
      </c>
      <c r="I359" s="5">
        <f>IF($A359="","",IFERROR(INDEX(FILTER('Client contacts'!$C$2:$C$500,('Client contacts'!$A$2:$A$500=$A359)*('Client contacts'!$G$2:$G$500="Y"),""),2),""))</f>
        <v/>
      </c>
      <c r="J359" s="8" t="n"/>
      <c r="K359" s="8" t="n"/>
      <c r="L359" s="8" t="n"/>
      <c r="M359" s="8" t="n"/>
      <c r="N359" s="8" t="n"/>
      <c r="O359" s="8" t="n"/>
      <c r="P359" s="8" t="n"/>
      <c r="Q359" s="8" t="n"/>
      <c r="R359" s="5">
        <f>IF($A359="","",IFERROR(INDEX(Companies!$I$2:$I$500,MATCH($A359,Companies!$A$2:$A$500,0)),""))</f>
        <v/>
      </c>
      <c r="S359" s="8" t="n"/>
      <c r="T359" s="8" t="n"/>
      <c r="U359" s="8" t="n"/>
      <c r="V359" s="8" t="n"/>
      <c r="W359" s="8" t="n"/>
    </row>
    <row r="360">
      <c r="C360" s="5">
        <f>IF($B360="","",TRIM(IF(INDEX('MOA role matrix'!$B$2:$D$13,1,MATCH($B360,'MOA role matrix'!$B$1:$D$1,0))="Fill","Project initiator, ","")IF(INDEX('MOA role matrix'!$B$2:$D$13,1,MATCH($B360,'MOA role matrix'!$B$1:$D$1,0))="If finance","Project initiator (if finance), ","")IF(INDEX('MOA role matrix'!$B$2:$D$13,1,MATCH($B360,'MOA role matrix'!$B$1:$D$1,0))="Auto","Project initiator (auto), ","")IF(INDEX('MOA role matrix'!$B$2:$D$13,2,MATCH($B360,'MOA role matrix'!$B$1:$D$1,0))="Fill","MOA signers (client), ","")IF(INDEX('MOA role matrix'!$B$2:$D$13,2,MATCH($B360,'MOA role matrix'!$B$1:$D$1,0))="If finance","MOA signers (client) (if finance), ","")IF(INDEX('MOA role matrix'!$B$2:$D$13,2,MATCH($B360,'MOA role matrix'!$B$1:$D$1,0))="Auto","MOA signers (client) (auto), ","")IF(INDEX('MOA role matrix'!$B$2:$D$13,3,MATCH($B360,'MOA role matrix'!$B$1:$D$1,0))="Fill","CFO / Head of Finance, ","")IF(INDEX('MOA role matrix'!$B$2:$D$13,3,MATCH($B360,'MOA role matrix'!$B$1:$D$1,0))="If finance","CFO / Head of Finance (if finance), ","")IF(INDEX('MOA role matrix'!$B$2:$D$13,3,MATCH($B360,'MOA role matrix'!$B$1:$D$1,0))="Auto","CFO / Head of Finance (auto), ","")IF(INDEX('MOA role matrix'!$B$2:$D$13,4,MATCH($B360,'MOA role matrix'!$B$1:$D$1,0))="Fill","CEO / COO / GM, ","")IF(INDEX('MOA role matrix'!$B$2:$D$13,4,MATCH($B360,'MOA role matrix'!$B$1:$D$1,0))="If finance","CEO / COO / GM (if finance), ","")IF(INDEX('MOA role matrix'!$B$2:$D$13,4,MATCH($B360,'MOA role matrix'!$B$1:$D$1,0))="Auto","CEO / COO / GM (auto), ","")IF(INDEX('MOA role matrix'!$B$2:$D$13,5,MATCH($B360,'MOA role matrix'!$B$1:$D$1,0))="Fill","Board member 1, ","")IF(INDEX('MOA role matrix'!$B$2:$D$13,5,MATCH($B360,'MOA role matrix'!$B$1:$D$1,0))="If finance","Board member 1 (if finance), ","")IF(INDEX('MOA role matrix'!$B$2:$D$13,5,MATCH($B360,'MOA role matrix'!$B$1:$D$1,0))="Auto","Board member 1 (auto), ","")IF(INDEX('MOA role matrix'!$B$2:$D$13,6,MATCH($B360,'MOA role matrix'!$B$1:$D$1,0))="Fill","Board member 2, ","")IF(INDEX('MOA role matrix'!$B$2:$D$13,6,MATCH($B360,'MOA role matrix'!$B$1:$D$1,0))="If finance","Board member 2 (if finance), ","")IF(INDEX('MOA role matrix'!$B$2:$D$13,6,MATCH($B360,'MOA role matrix'!$B$1:$D$1,0))="Auto","Board member 2 (auto), ","")IF(INDEX('MOA role matrix'!$B$2:$D$13,7,MATCH($B360,'MOA role matrix'!$B$1:$D$1,0))="Fill","LOA holder 1, ","")IF(INDEX('MOA role matrix'!$B$2:$D$13,7,MATCH($B360,'MOA role matrix'!$B$1:$D$1,0))="If finance","LOA holder 1 (if finance), ","")IF(INDEX('MOA role matrix'!$B$2:$D$13,7,MATCH($B360,'MOA role matrix'!$B$1:$D$1,0))="Auto","LOA holder 1 (auto), ","")IF(INDEX('MOA role matrix'!$B$2:$D$13,8,MATCH($B360,'MOA role matrix'!$B$1:$D$1,0))="Fill","LOA holder 2, ","")IF(INDEX('MOA role matrix'!$B$2:$D$13,8,MATCH($B360,'MOA role matrix'!$B$1:$D$1,0))="If finance","LOA holder 2 (if finance), ","")IF(INDEX('MOA role matrix'!$B$2:$D$13,8,MATCH($B360,'MOA role matrix'!$B$1:$D$1,0))="Auto","LOA holder 2 (auto), ","")IF(INDEX('MOA role matrix'!$B$2:$D$13,9,MATCH($B360,'MOA role matrix'!$B$1:$D$1,0))="Fill","Senior Manager CoSec, ","")IF(INDEX('MOA role matrix'!$B$2:$D$13,9,MATCH($B360,'MOA role matrix'!$B$1:$D$1,0))="If finance","Senior Manager CoSec (if finance), ","")IF(INDEX('MOA role matrix'!$B$2:$D$13,9,MATCH($B360,'MOA role matrix'!$B$1:$D$1,0))="Auto","Senior Manager CoSec (auto), ","")IF(INDEX('MOA role matrix'!$B$2:$D$13,10,MATCH($B360,'MOA role matrix'!$B$1:$D$1,0))="Fill","Division MOI managers, ","")IF(INDEX('MOA role matrix'!$B$2:$D$13,10,MATCH($B360,'MOA role matrix'!$B$1:$D$1,0))="If finance","Division MOI managers (if finance), ","")IF(INDEX('MOA role matrix'!$B$2:$D$13,10,MATCH($B360,'MOA role matrix'!$B$1:$D$1,0))="Auto","Division MOI managers (auto), ","")IF(INDEX('MOA role matrix'!$B$2:$D$13,11,MATCH($B360,'MOA role matrix'!$B$1:$D$1,0))="Fill","Ms Teh (bank), ","")IF(INDEX('MOA role matrix'!$B$2:$D$13,11,MATCH($B360,'MOA role matrix'!$B$1:$D$1,0))="If finance","Ms Teh (bank) (if finance), ","")IF(INDEX('MOA role matrix'!$B$2:$D$13,11,MATCH($B360,'MOA role matrix'!$B$1:$D$1,0))="Auto","Ms Teh (bank) (auto), ","")IF(INDEX('MOA role matrix'!$B$2:$D$13,12,MATCH($B360,'MOA role matrix'!$B$1:$D$1,0))="Fill","DLCM, ","")IF(INDEX('MOA role matrix'!$B$2:$D$13,12,MATCH($B360,'MOA role matrix'!$B$1:$D$1,0))="If finance","DLCM (if finance), ","")IF(INDEX('MOA role matrix'!$B$2:$D$13,12,MATCH($B360,'MOA role matrix'!$B$1:$D$1,0))="Auto","DLCM (auto), ","")))</f>
        <v/>
      </c>
      <c r="D360" s="5">
        <f>IF($A360="","",IFERROR(INDEX(FILTER('Client contacts'!$B$2:$B$500,('Client contacts'!$A$2:$A$500=$A360)*('Client contacts'!$H$2:$H$500="Y"),""),1),""))</f>
        <v/>
      </c>
      <c r="E360" s="5">
        <f>IF($A360="","",IFERROR(INDEX(FILTER('Client contacts'!$C$2:$C$500,('Client contacts'!$A$2:$A$500=$A360)*('Client contacts'!$H$2:$H$500="Y"),""),1),""))</f>
        <v/>
      </c>
      <c r="F360" s="5">
        <f>IF($A360="","",IFERROR(INDEX(FILTER('Client contacts'!$B$2:$B$500,('Client contacts'!$A$2:$A$500=$A360)*('Client contacts'!$G$2:$G$500="Y"),""),1),""))</f>
        <v/>
      </c>
      <c r="G360" s="5">
        <f>IF($A360="","",IFERROR(INDEX(FILTER('Client contacts'!$C$2:$C$500,('Client contacts'!$A$2:$A$500=$A360)*('Client contacts'!$G$2:$G$500="Y"),""),1),""))</f>
        <v/>
      </c>
      <c r="H360" s="5">
        <f>IF($A360="","",IFERROR(INDEX(FILTER('Client contacts'!$B$2:$B$500,('Client contacts'!$A$2:$A$500=$A360)*('Client contacts'!$G$2:$G$500="Y"),""),2),""))</f>
        <v/>
      </c>
      <c r="I360" s="5">
        <f>IF($A360="","",IFERROR(INDEX(FILTER('Client contacts'!$C$2:$C$500,('Client contacts'!$A$2:$A$500=$A360)*('Client contacts'!$G$2:$G$500="Y"),""),2),""))</f>
        <v/>
      </c>
      <c r="J360" s="8" t="n"/>
      <c r="K360" s="8" t="n"/>
      <c r="L360" s="8" t="n"/>
      <c r="M360" s="8" t="n"/>
      <c r="N360" s="8" t="n"/>
      <c r="O360" s="8" t="n"/>
      <c r="P360" s="8" t="n"/>
      <c r="Q360" s="8" t="n"/>
      <c r="R360" s="5">
        <f>IF($A360="","",IFERROR(INDEX(Companies!$I$2:$I$500,MATCH($A360,Companies!$A$2:$A$500,0)),""))</f>
        <v/>
      </c>
      <c r="S360" s="8" t="n"/>
      <c r="T360" s="8" t="n"/>
      <c r="U360" s="8" t="n"/>
      <c r="V360" s="8" t="n"/>
      <c r="W360" s="8" t="n"/>
    </row>
    <row r="361">
      <c r="C361" s="5">
        <f>IF($B361="","",TRIM(IF(INDEX('MOA role matrix'!$B$2:$D$13,1,MATCH($B361,'MOA role matrix'!$B$1:$D$1,0))="Fill","Project initiator, ","")IF(INDEX('MOA role matrix'!$B$2:$D$13,1,MATCH($B361,'MOA role matrix'!$B$1:$D$1,0))="If finance","Project initiator (if finance), ","")IF(INDEX('MOA role matrix'!$B$2:$D$13,1,MATCH($B361,'MOA role matrix'!$B$1:$D$1,0))="Auto","Project initiator (auto), ","")IF(INDEX('MOA role matrix'!$B$2:$D$13,2,MATCH($B361,'MOA role matrix'!$B$1:$D$1,0))="Fill","MOA signers (client), ","")IF(INDEX('MOA role matrix'!$B$2:$D$13,2,MATCH($B361,'MOA role matrix'!$B$1:$D$1,0))="If finance","MOA signers (client) (if finance), ","")IF(INDEX('MOA role matrix'!$B$2:$D$13,2,MATCH($B361,'MOA role matrix'!$B$1:$D$1,0))="Auto","MOA signers (client) (auto), ","")IF(INDEX('MOA role matrix'!$B$2:$D$13,3,MATCH($B361,'MOA role matrix'!$B$1:$D$1,0))="Fill","CFO / Head of Finance, ","")IF(INDEX('MOA role matrix'!$B$2:$D$13,3,MATCH($B361,'MOA role matrix'!$B$1:$D$1,0))="If finance","CFO / Head of Finance (if finance), ","")IF(INDEX('MOA role matrix'!$B$2:$D$13,3,MATCH($B361,'MOA role matrix'!$B$1:$D$1,0))="Auto","CFO / Head of Finance (auto), ","")IF(INDEX('MOA role matrix'!$B$2:$D$13,4,MATCH($B361,'MOA role matrix'!$B$1:$D$1,0))="Fill","CEO / COO / GM, ","")IF(INDEX('MOA role matrix'!$B$2:$D$13,4,MATCH($B361,'MOA role matrix'!$B$1:$D$1,0))="If finance","CEO / COO / GM (if finance), ","")IF(INDEX('MOA role matrix'!$B$2:$D$13,4,MATCH($B361,'MOA role matrix'!$B$1:$D$1,0))="Auto","CEO / COO / GM (auto), ","")IF(INDEX('MOA role matrix'!$B$2:$D$13,5,MATCH($B361,'MOA role matrix'!$B$1:$D$1,0))="Fill","Board member 1, ","")IF(INDEX('MOA role matrix'!$B$2:$D$13,5,MATCH($B361,'MOA role matrix'!$B$1:$D$1,0))="If finance","Board member 1 (if finance), ","")IF(INDEX('MOA role matrix'!$B$2:$D$13,5,MATCH($B361,'MOA role matrix'!$B$1:$D$1,0))="Auto","Board member 1 (auto), ","")IF(INDEX('MOA role matrix'!$B$2:$D$13,6,MATCH($B361,'MOA role matrix'!$B$1:$D$1,0))="Fill","Board member 2, ","")IF(INDEX('MOA role matrix'!$B$2:$D$13,6,MATCH($B361,'MOA role matrix'!$B$1:$D$1,0))="If finance","Board member 2 (if finance), ","")IF(INDEX('MOA role matrix'!$B$2:$D$13,6,MATCH($B361,'MOA role matrix'!$B$1:$D$1,0))="Auto","Board member 2 (auto), ","")IF(INDEX('MOA role matrix'!$B$2:$D$13,7,MATCH($B361,'MOA role matrix'!$B$1:$D$1,0))="Fill","LOA holder 1, ","")IF(INDEX('MOA role matrix'!$B$2:$D$13,7,MATCH($B361,'MOA role matrix'!$B$1:$D$1,0))="If finance","LOA holder 1 (if finance), ","")IF(INDEX('MOA role matrix'!$B$2:$D$13,7,MATCH($B361,'MOA role matrix'!$B$1:$D$1,0))="Auto","LOA holder 1 (auto), ","")IF(INDEX('MOA role matrix'!$B$2:$D$13,8,MATCH($B361,'MOA role matrix'!$B$1:$D$1,0))="Fill","LOA holder 2, ","")IF(INDEX('MOA role matrix'!$B$2:$D$13,8,MATCH($B361,'MOA role matrix'!$B$1:$D$1,0))="If finance","LOA holder 2 (if finance), ","")IF(INDEX('MOA role matrix'!$B$2:$D$13,8,MATCH($B361,'MOA role matrix'!$B$1:$D$1,0))="Auto","LOA holder 2 (auto), ","")IF(INDEX('MOA role matrix'!$B$2:$D$13,9,MATCH($B361,'MOA role matrix'!$B$1:$D$1,0))="Fill","Senior Manager CoSec, ","")IF(INDEX('MOA role matrix'!$B$2:$D$13,9,MATCH($B361,'MOA role matrix'!$B$1:$D$1,0))="If finance","Senior Manager CoSec (if finance), ","")IF(INDEX('MOA role matrix'!$B$2:$D$13,9,MATCH($B361,'MOA role matrix'!$B$1:$D$1,0))="Auto","Senior Manager CoSec (auto), ","")IF(INDEX('MOA role matrix'!$B$2:$D$13,10,MATCH($B361,'MOA role matrix'!$B$1:$D$1,0))="Fill","Division MOI managers, ","")IF(INDEX('MOA role matrix'!$B$2:$D$13,10,MATCH($B361,'MOA role matrix'!$B$1:$D$1,0))="If finance","Division MOI managers (if finance), ","")IF(INDEX('MOA role matrix'!$B$2:$D$13,10,MATCH($B361,'MOA role matrix'!$B$1:$D$1,0))="Auto","Division MOI managers (auto), ","")IF(INDEX('MOA role matrix'!$B$2:$D$13,11,MATCH($B361,'MOA role matrix'!$B$1:$D$1,0))="Fill","Ms Teh (bank), ","")IF(INDEX('MOA role matrix'!$B$2:$D$13,11,MATCH($B361,'MOA role matrix'!$B$1:$D$1,0))="If finance","Ms Teh (bank) (if finance), ","")IF(INDEX('MOA role matrix'!$B$2:$D$13,11,MATCH($B361,'MOA role matrix'!$B$1:$D$1,0))="Auto","Ms Teh (bank) (auto), ","")IF(INDEX('MOA role matrix'!$B$2:$D$13,12,MATCH($B361,'MOA role matrix'!$B$1:$D$1,0))="Fill","DLCM, ","")IF(INDEX('MOA role matrix'!$B$2:$D$13,12,MATCH($B361,'MOA role matrix'!$B$1:$D$1,0))="If finance","DLCM (if finance), ","")IF(INDEX('MOA role matrix'!$B$2:$D$13,12,MATCH($B361,'MOA role matrix'!$B$1:$D$1,0))="Auto","DLCM (auto), ","")))</f>
        <v/>
      </c>
      <c r="D361" s="5">
        <f>IF($A361="","",IFERROR(INDEX(FILTER('Client contacts'!$B$2:$B$500,('Client contacts'!$A$2:$A$500=$A361)*('Client contacts'!$H$2:$H$500="Y"),""),1),""))</f>
        <v/>
      </c>
      <c r="E361" s="5">
        <f>IF($A361="","",IFERROR(INDEX(FILTER('Client contacts'!$C$2:$C$500,('Client contacts'!$A$2:$A$500=$A361)*('Client contacts'!$H$2:$H$500="Y"),""),1),""))</f>
        <v/>
      </c>
      <c r="F361" s="5">
        <f>IF($A361="","",IFERROR(INDEX(FILTER('Client contacts'!$B$2:$B$500,('Client contacts'!$A$2:$A$500=$A361)*('Client contacts'!$G$2:$G$500="Y"),""),1),""))</f>
        <v/>
      </c>
      <c r="G361" s="5">
        <f>IF($A361="","",IFERROR(INDEX(FILTER('Client contacts'!$C$2:$C$500,('Client contacts'!$A$2:$A$500=$A361)*('Client contacts'!$G$2:$G$500="Y"),""),1),""))</f>
        <v/>
      </c>
      <c r="H361" s="5">
        <f>IF($A361="","",IFERROR(INDEX(FILTER('Client contacts'!$B$2:$B$500,('Client contacts'!$A$2:$A$500=$A361)*('Client contacts'!$G$2:$G$500="Y"),""),2),""))</f>
        <v/>
      </c>
      <c r="I361" s="5">
        <f>IF($A361="","",IFERROR(INDEX(FILTER('Client contacts'!$C$2:$C$500,('Client contacts'!$A$2:$A$500=$A361)*('Client contacts'!$G$2:$G$500="Y"),""),2),""))</f>
        <v/>
      </c>
      <c r="J361" s="8" t="n"/>
      <c r="K361" s="8" t="n"/>
      <c r="L361" s="8" t="n"/>
      <c r="M361" s="8" t="n"/>
      <c r="N361" s="8" t="n"/>
      <c r="O361" s="8" t="n"/>
      <c r="P361" s="8" t="n"/>
      <c r="Q361" s="8" t="n"/>
      <c r="R361" s="5">
        <f>IF($A361="","",IFERROR(INDEX(Companies!$I$2:$I$500,MATCH($A361,Companies!$A$2:$A$500,0)),""))</f>
        <v/>
      </c>
      <c r="S361" s="8" t="n"/>
      <c r="T361" s="8" t="n"/>
      <c r="U361" s="8" t="n"/>
      <c r="V361" s="8" t="n"/>
      <c r="W361" s="8" t="n"/>
    </row>
    <row r="362">
      <c r="C362" s="5">
        <f>IF($B362="","",TRIM(IF(INDEX('MOA role matrix'!$B$2:$D$13,1,MATCH($B362,'MOA role matrix'!$B$1:$D$1,0))="Fill","Project initiator, ","")IF(INDEX('MOA role matrix'!$B$2:$D$13,1,MATCH($B362,'MOA role matrix'!$B$1:$D$1,0))="If finance","Project initiator (if finance), ","")IF(INDEX('MOA role matrix'!$B$2:$D$13,1,MATCH($B362,'MOA role matrix'!$B$1:$D$1,0))="Auto","Project initiator (auto), ","")IF(INDEX('MOA role matrix'!$B$2:$D$13,2,MATCH($B362,'MOA role matrix'!$B$1:$D$1,0))="Fill","MOA signers (client), ","")IF(INDEX('MOA role matrix'!$B$2:$D$13,2,MATCH($B362,'MOA role matrix'!$B$1:$D$1,0))="If finance","MOA signers (client) (if finance), ","")IF(INDEX('MOA role matrix'!$B$2:$D$13,2,MATCH($B362,'MOA role matrix'!$B$1:$D$1,0))="Auto","MOA signers (client) (auto), ","")IF(INDEX('MOA role matrix'!$B$2:$D$13,3,MATCH($B362,'MOA role matrix'!$B$1:$D$1,0))="Fill","CFO / Head of Finance, ","")IF(INDEX('MOA role matrix'!$B$2:$D$13,3,MATCH($B362,'MOA role matrix'!$B$1:$D$1,0))="If finance","CFO / Head of Finance (if finance), ","")IF(INDEX('MOA role matrix'!$B$2:$D$13,3,MATCH($B362,'MOA role matrix'!$B$1:$D$1,0))="Auto","CFO / Head of Finance (auto), ","")IF(INDEX('MOA role matrix'!$B$2:$D$13,4,MATCH($B362,'MOA role matrix'!$B$1:$D$1,0))="Fill","CEO / COO / GM, ","")IF(INDEX('MOA role matrix'!$B$2:$D$13,4,MATCH($B362,'MOA role matrix'!$B$1:$D$1,0))="If finance","CEO / COO / GM (if finance), ","")IF(INDEX('MOA role matrix'!$B$2:$D$13,4,MATCH($B362,'MOA role matrix'!$B$1:$D$1,0))="Auto","CEO / COO / GM (auto), ","")IF(INDEX('MOA role matrix'!$B$2:$D$13,5,MATCH($B362,'MOA role matrix'!$B$1:$D$1,0))="Fill","Board member 1, ","")IF(INDEX('MOA role matrix'!$B$2:$D$13,5,MATCH($B362,'MOA role matrix'!$B$1:$D$1,0))="If finance","Board member 1 (if finance), ","")IF(INDEX('MOA role matrix'!$B$2:$D$13,5,MATCH($B362,'MOA role matrix'!$B$1:$D$1,0))="Auto","Board member 1 (auto), ","")IF(INDEX('MOA role matrix'!$B$2:$D$13,6,MATCH($B362,'MOA role matrix'!$B$1:$D$1,0))="Fill","Board member 2, ","")IF(INDEX('MOA role matrix'!$B$2:$D$13,6,MATCH($B362,'MOA role matrix'!$B$1:$D$1,0))="If finance","Board member 2 (if finance), ","")IF(INDEX('MOA role matrix'!$B$2:$D$13,6,MATCH($B362,'MOA role matrix'!$B$1:$D$1,0))="Auto","Board member 2 (auto), ","")IF(INDEX('MOA role matrix'!$B$2:$D$13,7,MATCH($B362,'MOA role matrix'!$B$1:$D$1,0))="Fill","LOA holder 1, ","")IF(INDEX('MOA role matrix'!$B$2:$D$13,7,MATCH($B362,'MOA role matrix'!$B$1:$D$1,0))="If finance","LOA holder 1 (if finance), ","")IF(INDEX('MOA role matrix'!$B$2:$D$13,7,MATCH($B362,'MOA role matrix'!$B$1:$D$1,0))="Auto","LOA holder 1 (auto), ","")IF(INDEX('MOA role matrix'!$B$2:$D$13,8,MATCH($B362,'MOA role matrix'!$B$1:$D$1,0))="Fill","LOA holder 2, ","")IF(INDEX('MOA role matrix'!$B$2:$D$13,8,MATCH($B362,'MOA role matrix'!$B$1:$D$1,0))="If finance","LOA holder 2 (if finance), ","")IF(INDEX('MOA role matrix'!$B$2:$D$13,8,MATCH($B362,'MOA role matrix'!$B$1:$D$1,0))="Auto","LOA holder 2 (auto), ","")IF(INDEX('MOA role matrix'!$B$2:$D$13,9,MATCH($B362,'MOA role matrix'!$B$1:$D$1,0))="Fill","Senior Manager CoSec, ","")IF(INDEX('MOA role matrix'!$B$2:$D$13,9,MATCH($B362,'MOA role matrix'!$B$1:$D$1,0))="If finance","Senior Manager CoSec (if finance), ","")IF(INDEX('MOA role matrix'!$B$2:$D$13,9,MATCH($B362,'MOA role matrix'!$B$1:$D$1,0))="Auto","Senior Manager CoSec (auto), ","")IF(INDEX('MOA role matrix'!$B$2:$D$13,10,MATCH($B362,'MOA role matrix'!$B$1:$D$1,0))="Fill","Division MOI managers, ","")IF(INDEX('MOA role matrix'!$B$2:$D$13,10,MATCH($B362,'MOA role matrix'!$B$1:$D$1,0))="If finance","Division MOI managers (if finance), ","")IF(INDEX('MOA role matrix'!$B$2:$D$13,10,MATCH($B362,'MOA role matrix'!$B$1:$D$1,0))="Auto","Division MOI managers (auto), ","")IF(INDEX('MOA role matrix'!$B$2:$D$13,11,MATCH($B362,'MOA role matrix'!$B$1:$D$1,0))="Fill","Ms Teh (bank), ","")IF(INDEX('MOA role matrix'!$B$2:$D$13,11,MATCH($B362,'MOA role matrix'!$B$1:$D$1,0))="If finance","Ms Teh (bank) (if finance), ","")IF(INDEX('MOA role matrix'!$B$2:$D$13,11,MATCH($B362,'MOA role matrix'!$B$1:$D$1,0))="Auto","Ms Teh (bank) (auto), ","")IF(INDEX('MOA role matrix'!$B$2:$D$13,12,MATCH($B362,'MOA role matrix'!$B$1:$D$1,0))="Fill","DLCM, ","")IF(INDEX('MOA role matrix'!$B$2:$D$13,12,MATCH($B362,'MOA role matrix'!$B$1:$D$1,0))="If finance","DLCM (if finance), ","")IF(INDEX('MOA role matrix'!$B$2:$D$13,12,MATCH($B362,'MOA role matrix'!$B$1:$D$1,0))="Auto","DLCM (auto), ","")))</f>
        <v/>
      </c>
      <c r="D362" s="5">
        <f>IF($A362="","",IFERROR(INDEX(FILTER('Client contacts'!$B$2:$B$500,('Client contacts'!$A$2:$A$500=$A362)*('Client contacts'!$H$2:$H$500="Y"),""),1),""))</f>
        <v/>
      </c>
      <c r="E362" s="5">
        <f>IF($A362="","",IFERROR(INDEX(FILTER('Client contacts'!$C$2:$C$500,('Client contacts'!$A$2:$A$500=$A362)*('Client contacts'!$H$2:$H$500="Y"),""),1),""))</f>
        <v/>
      </c>
      <c r="F362" s="5">
        <f>IF($A362="","",IFERROR(INDEX(FILTER('Client contacts'!$B$2:$B$500,('Client contacts'!$A$2:$A$500=$A362)*('Client contacts'!$G$2:$G$500="Y"),""),1),""))</f>
        <v/>
      </c>
      <c r="G362" s="5">
        <f>IF($A362="","",IFERROR(INDEX(FILTER('Client contacts'!$C$2:$C$500,('Client contacts'!$A$2:$A$500=$A362)*('Client contacts'!$G$2:$G$500="Y"),""),1),""))</f>
        <v/>
      </c>
      <c r="H362" s="5">
        <f>IF($A362="","",IFERROR(INDEX(FILTER('Client contacts'!$B$2:$B$500,('Client contacts'!$A$2:$A$500=$A362)*('Client contacts'!$G$2:$G$500="Y"),""),2),""))</f>
        <v/>
      </c>
      <c r="I362" s="5">
        <f>IF($A362="","",IFERROR(INDEX(FILTER('Client contacts'!$C$2:$C$500,('Client contacts'!$A$2:$A$500=$A362)*('Client contacts'!$G$2:$G$500="Y"),""),2),""))</f>
        <v/>
      </c>
      <c r="J362" s="8" t="n"/>
      <c r="K362" s="8" t="n"/>
      <c r="L362" s="8" t="n"/>
      <c r="M362" s="8" t="n"/>
      <c r="N362" s="8" t="n"/>
      <c r="O362" s="8" t="n"/>
      <c r="P362" s="8" t="n"/>
      <c r="Q362" s="8" t="n"/>
      <c r="R362" s="5">
        <f>IF($A362="","",IFERROR(INDEX(Companies!$I$2:$I$500,MATCH($A362,Companies!$A$2:$A$500,0)),""))</f>
        <v/>
      </c>
      <c r="S362" s="8" t="n"/>
      <c r="T362" s="8" t="n"/>
      <c r="U362" s="8" t="n"/>
      <c r="V362" s="8" t="n"/>
      <c r="W362" s="8" t="n"/>
    </row>
    <row r="363">
      <c r="C363" s="5">
        <f>IF($B363="","",TRIM(IF(INDEX('MOA role matrix'!$B$2:$D$13,1,MATCH($B363,'MOA role matrix'!$B$1:$D$1,0))="Fill","Project initiator, ","")IF(INDEX('MOA role matrix'!$B$2:$D$13,1,MATCH($B363,'MOA role matrix'!$B$1:$D$1,0))="If finance","Project initiator (if finance), ","")IF(INDEX('MOA role matrix'!$B$2:$D$13,1,MATCH($B363,'MOA role matrix'!$B$1:$D$1,0))="Auto","Project initiator (auto), ","")IF(INDEX('MOA role matrix'!$B$2:$D$13,2,MATCH($B363,'MOA role matrix'!$B$1:$D$1,0))="Fill","MOA signers (client), ","")IF(INDEX('MOA role matrix'!$B$2:$D$13,2,MATCH($B363,'MOA role matrix'!$B$1:$D$1,0))="If finance","MOA signers (client) (if finance), ","")IF(INDEX('MOA role matrix'!$B$2:$D$13,2,MATCH($B363,'MOA role matrix'!$B$1:$D$1,0))="Auto","MOA signers (client) (auto), ","")IF(INDEX('MOA role matrix'!$B$2:$D$13,3,MATCH($B363,'MOA role matrix'!$B$1:$D$1,0))="Fill","CFO / Head of Finance, ","")IF(INDEX('MOA role matrix'!$B$2:$D$13,3,MATCH($B363,'MOA role matrix'!$B$1:$D$1,0))="If finance","CFO / Head of Finance (if finance), ","")IF(INDEX('MOA role matrix'!$B$2:$D$13,3,MATCH($B363,'MOA role matrix'!$B$1:$D$1,0))="Auto","CFO / Head of Finance (auto), ","")IF(INDEX('MOA role matrix'!$B$2:$D$13,4,MATCH($B363,'MOA role matrix'!$B$1:$D$1,0))="Fill","CEO / COO / GM, ","")IF(INDEX('MOA role matrix'!$B$2:$D$13,4,MATCH($B363,'MOA role matrix'!$B$1:$D$1,0))="If finance","CEO / COO / GM (if finance), ","")IF(INDEX('MOA role matrix'!$B$2:$D$13,4,MATCH($B363,'MOA role matrix'!$B$1:$D$1,0))="Auto","CEO / COO / GM (auto), ","")IF(INDEX('MOA role matrix'!$B$2:$D$13,5,MATCH($B363,'MOA role matrix'!$B$1:$D$1,0))="Fill","Board member 1, ","")IF(INDEX('MOA role matrix'!$B$2:$D$13,5,MATCH($B363,'MOA role matrix'!$B$1:$D$1,0))="If finance","Board member 1 (if finance), ","")IF(INDEX('MOA role matrix'!$B$2:$D$13,5,MATCH($B363,'MOA role matrix'!$B$1:$D$1,0))="Auto","Board member 1 (auto), ","")IF(INDEX('MOA role matrix'!$B$2:$D$13,6,MATCH($B363,'MOA role matrix'!$B$1:$D$1,0))="Fill","Board member 2, ","")IF(INDEX('MOA role matrix'!$B$2:$D$13,6,MATCH($B363,'MOA role matrix'!$B$1:$D$1,0))="If finance","Board member 2 (if finance), ","")IF(INDEX('MOA role matrix'!$B$2:$D$13,6,MATCH($B363,'MOA role matrix'!$B$1:$D$1,0))="Auto","Board member 2 (auto), ","")IF(INDEX('MOA role matrix'!$B$2:$D$13,7,MATCH($B363,'MOA role matrix'!$B$1:$D$1,0))="Fill","LOA holder 1, ","")IF(INDEX('MOA role matrix'!$B$2:$D$13,7,MATCH($B363,'MOA role matrix'!$B$1:$D$1,0))="If finance","LOA holder 1 (if finance), ","")IF(INDEX('MOA role matrix'!$B$2:$D$13,7,MATCH($B363,'MOA role matrix'!$B$1:$D$1,0))="Auto","LOA holder 1 (auto), ","")IF(INDEX('MOA role matrix'!$B$2:$D$13,8,MATCH($B363,'MOA role matrix'!$B$1:$D$1,0))="Fill","LOA holder 2, ","")IF(INDEX('MOA role matrix'!$B$2:$D$13,8,MATCH($B363,'MOA role matrix'!$B$1:$D$1,0))="If finance","LOA holder 2 (if finance), ","")IF(INDEX('MOA role matrix'!$B$2:$D$13,8,MATCH($B363,'MOA role matrix'!$B$1:$D$1,0))="Auto","LOA holder 2 (auto), ","")IF(INDEX('MOA role matrix'!$B$2:$D$13,9,MATCH($B363,'MOA role matrix'!$B$1:$D$1,0))="Fill","Senior Manager CoSec, ","")IF(INDEX('MOA role matrix'!$B$2:$D$13,9,MATCH($B363,'MOA role matrix'!$B$1:$D$1,0))="If finance","Senior Manager CoSec (if finance), ","")IF(INDEX('MOA role matrix'!$B$2:$D$13,9,MATCH($B363,'MOA role matrix'!$B$1:$D$1,0))="Auto","Senior Manager CoSec (auto), ","")IF(INDEX('MOA role matrix'!$B$2:$D$13,10,MATCH($B363,'MOA role matrix'!$B$1:$D$1,0))="Fill","Division MOI managers, ","")IF(INDEX('MOA role matrix'!$B$2:$D$13,10,MATCH($B363,'MOA role matrix'!$B$1:$D$1,0))="If finance","Division MOI managers (if finance), ","")IF(INDEX('MOA role matrix'!$B$2:$D$13,10,MATCH($B363,'MOA role matrix'!$B$1:$D$1,0))="Auto","Division MOI managers (auto), ","")IF(INDEX('MOA role matrix'!$B$2:$D$13,11,MATCH($B363,'MOA role matrix'!$B$1:$D$1,0))="Fill","Ms Teh (bank), ","")IF(INDEX('MOA role matrix'!$B$2:$D$13,11,MATCH($B363,'MOA role matrix'!$B$1:$D$1,0))="If finance","Ms Teh (bank) (if finance), ","")IF(INDEX('MOA role matrix'!$B$2:$D$13,11,MATCH($B363,'MOA role matrix'!$B$1:$D$1,0))="Auto","Ms Teh (bank) (auto), ","")IF(INDEX('MOA role matrix'!$B$2:$D$13,12,MATCH($B363,'MOA role matrix'!$B$1:$D$1,0))="Fill","DLCM, ","")IF(INDEX('MOA role matrix'!$B$2:$D$13,12,MATCH($B363,'MOA role matrix'!$B$1:$D$1,0))="If finance","DLCM (if finance), ","")IF(INDEX('MOA role matrix'!$B$2:$D$13,12,MATCH($B363,'MOA role matrix'!$B$1:$D$1,0))="Auto","DLCM (auto), ","")))</f>
        <v/>
      </c>
      <c r="D363" s="5">
        <f>IF($A363="","",IFERROR(INDEX(FILTER('Client contacts'!$B$2:$B$500,('Client contacts'!$A$2:$A$500=$A363)*('Client contacts'!$H$2:$H$500="Y"),""),1),""))</f>
        <v/>
      </c>
      <c r="E363" s="5">
        <f>IF($A363="","",IFERROR(INDEX(FILTER('Client contacts'!$C$2:$C$500,('Client contacts'!$A$2:$A$500=$A363)*('Client contacts'!$H$2:$H$500="Y"),""),1),""))</f>
        <v/>
      </c>
      <c r="F363" s="5">
        <f>IF($A363="","",IFERROR(INDEX(FILTER('Client contacts'!$B$2:$B$500,('Client contacts'!$A$2:$A$500=$A363)*('Client contacts'!$G$2:$G$500="Y"),""),1),""))</f>
        <v/>
      </c>
      <c r="G363" s="5">
        <f>IF($A363="","",IFERROR(INDEX(FILTER('Client contacts'!$C$2:$C$500,('Client contacts'!$A$2:$A$500=$A363)*('Client contacts'!$G$2:$G$500="Y"),""),1),""))</f>
        <v/>
      </c>
      <c r="H363" s="5">
        <f>IF($A363="","",IFERROR(INDEX(FILTER('Client contacts'!$B$2:$B$500,('Client contacts'!$A$2:$A$500=$A363)*('Client contacts'!$G$2:$G$500="Y"),""),2),""))</f>
        <v/>
      </c>
      <c r="I363" s="5">
        <f>IF($A363="","",IFERROR(INDEX(FILTER('Client contacts'!$C$2:$C$500,('Client contacts'!$A$2:$A$500=$A363)*('Client contacts'!$G$2:$G$500="Y"),""),2),""))</f>
        <v/>
      </c>
      <c r="J363" s="8" t="n"/>
      <c r="K363" s="8" t="n"/>
      <c r="L363" s="8" t="n"/>
      <c r="M363" s="8" t="n"/>
      <c r="N363" s="8" t="n"/>
      <c r="O363" s="8" t="n"/>
      <c r="P363" s="8" t="n"/>
      <c r="Q363" s="8" t="n"/>
      <c r="R363" s="5">
        <f>IF($A363="","",IFERROR(INDEX(Companies!$I$2:$I$500,MATCH($A363,Companies!$A$2:$A$500,0)),""))</f>
        <v/>
      </c>
      <c r="S363" s="8" t="n"/>
      <c r="T363" s="8" t="n"/>
      <c r="U363" s="8" t="n"/>
      <c r="V363" s="8" t="n"/>
      <c r="W363" s="8" t="n"/>
    </row>
    <row r="364">
      <c r="C364" s="5">
        <f>IF($B364="","",TRIM(IF(INDEX('MOA role matrix'!$B$2:$D$13,1,MATCH($B364,'MOA role matrix'!$B$1:$D$1,0))="Fill","Project initiator, ","")IF(INDEX('MOA role matrix'!$B$2:$D$13,1,MATCH($B364,'MOA role matrix'!$B$1:$D$1,0))="If finance","Project initiator (if finance), ","")IF(INDEX('MOA role matrix'!$B$2:$D$13,1,MATCH($B364,'MOA role matrix'!$B$1:$D$1,0))="Auto","Project initiator (auto), ","")IF(INDEX('MOA role matrix'!$B$2:$D$13,2,MATCH($B364,'MOA role matrix'!$B$1:$D$1,0))="Fill","MOA signers (client), ","")IF(INDEX('MOA role matrix'!$B$2:$D$13,2,MATCH($B364,'MOA role matrix'!$B$1:$D$1,0))="If finance","MOA signers (client) (if finance), ","")IF(INDEX('MOA role matrix'!$B$2:$D$13,2,MATCH($B364,'MOA role matrix'!$B$1:$D$1,0))="Auto","MOA signers (client) (auto), ","")IF(INDEX('MOA role matrix'!$B$2:$D$13,3,MATCH($B364,'MOA role matrix'!$B$1:$D$1,0))="Fill","CFO / Head of Finance, ","")IF(INDEX('MOA role matrix'!$B$2:$D$13,3,MATCH($B364,'MOA role matrix'!$B$1:$D$1,0))="If finance","CFO / Head of Finance (if finance), ","")IF(INDEX('MOA role matrix'!$B$2:$D$13,3,MATCH($B364,'MOA role matrix'!$B$1:$D$1,0))="Auto","CFO / Head of Finance (auto), ","")IF(INDEX('MOA role matrix'!$B$2:$D$13,4,MATCH($B364,'MOA role matrix'!$B$1:$D$1,0))="Fill","CEO / COO / GM, ","")IF(INDEX('MOA role matrix'!$B$2:$D$13,4,MATCH($B364,'MOA role matrix'!$B$1:$D$1,0))="If finance","CEO / COO / GM (if finance), ","")IF(INDEX('MOA role matrix'!$B$2:$D$13,4,MATCH($B364,'MOA role matrix'!$B$1:$D$1,0))="Auto","CEO / COO / GM (auto), ","")IF(INDEX('MOA role matrix'!$B$2:$D$13,5,MATCH($B364,'MOA role matrix'!$B$1:$D$1,0))="Fill","Board member 1, ","")IF(INDEX('MOA role matrix'!$B$2:$D$13,5,MATCH($B364,'MOA role matrix'!$B$1:$D$1,0))="If finance","Board member 1 (if finance), ","")IF(INDEX('MOA role matrix'!$B$2:$D$13,5,MATCH($B364,'MOA role matrix'!$B$1:$D$1,0))="Auto","Board member 1 (auto), ","")IF(INDEX('MOA role matrix'!$B$2:$D$13,6,MATCH($B364,'MOA role matrix'!$B$1:$D$1,0))="Fill","Board member 2, ","")IF(INDEX('MOA role matrix'!$B$2:$D$13,6,MATCH($B364,'MOA role matrix'!$B$1:$D$1,0))="If finance","Board member 2 (if finance), ","")IF(INDEX('MOA role matrix'!$B$2:$D$13,6,MATCH($B364,'MOA role matrix'!$B$1:$D$1,0))="Auto","Board member 2 (auto), ","")IF(INDEX('MOA role matrix'!$B$2:$D$13,7,MATCH($B364,'MOA role matrix'!$B$1:$D$1,0))="Fill","LOA holder 1, ","")IF(INDEX('MOA role matrix'!$B$2:$D$13,7,MATCH($B364,'MOA role matrix'!$B$1:$D$1,0))="If finance","LOA holder 1 (if finance), ","")IF(INDEX('MOA role matrix'!$B$2:$D$13,7,MATCH($B364,'MOA role matrix'!$B$1:$D$1,0))="Auto","LOA holder 1 (auto), ","")IF(INDEX('MOA role matrix'!$B$2:$D$13,8,MATCH($B364,'MOA role matrix'!$B$1:$D$1,0))="Fill","LOA holder 2, ","")IF(INDEX('MOA role matrix'!$B$2:$D$13,8,MATCH($B364,'MOA role matrix'!$B$1:$D$1,0))="If finance","LOA holder 2 (if finance), ","")IF(INDEX('MOA role matrix'!$B$2:$D$13,8,MATCH($B364,'MOA role matrix'!$B$1:$D$1,0))="Auto","LOA holder 2 (auto), ","")IF(INDEX('MOA role matrix'!$B$2:$D$13,9,MATCH($B364,'MOA role matrix'!$B$1:$D$1,0))="Fill","Senior Manager CoSec, ","")IF(INDEX('MOA role matrix'!$B$2:$D$13,9,MATCH($B364,'MOA role matrix'!$B$1:$D$1,0))="If finance","Senior Manager CoSec (if finance), ","")IF(INDEX('MOA role matrix'!$B$2:$D$13,9,MATCH($B364,'MOA role matrix'!$B$1:$D$1,0))="Auto","Senior Manager CoSec (auto), ","")IF(INDEX('MOA role matrix'!$B$2:$D$13,10,MATCH($B364,'MOA role matrix'!$B$1:$D$1,0))="Fill","Division MOI managers, ","")IF(INDEX('MOA role matrix'!$B$2:$D$13,10,MATCH($B364,'MOA role matrix'!$B$1:$D$1,0))="If finance","Division MOI managers (if finance), ","")IF(INDEX('MOA role matrix'!$B$2:$D$13,10,MATCH($B364,'MOA role matrix'!$B$1:$D$1,0))="Auto","Division MOI managers (auto), ","")IF(INDEX('MOA role matrix'!$B$2:$D$13,11,MATCH($B364,'MOA role matrix'!$B$1:$D$1,0))="Fill","Ms Teh (bank), ","")IF(INDEX('MOA role matrix'!$B$2:$D$13,11,MATCH($B364,'MOA role matrix'!$B$1:$D$1,0))="If finance","Ms Teh (bank) (if finance), ","")IF(INDEX('MOA role matrix'!$B$2:$D$13,11,MATCH($B364,'MOA role matrix'!$B$1:$D$1,0))="Auto","Ms Teh (bank) (auto), ","")IF(INDEX('MOA role matrix'!$B$2:$D$13,12,MATCH($B364,'MOA role matrix'!$B$1:$D$1,0))="Fill","DLCM, ","")IF(INDEX('MOA role matrix'!$B$2:$D$13,12,MATCH($B364,'MOA role matrix'!$B$1:$D$1,0))="If finance","DLCM (if finance), ","")IF(INDEX('MOA role matrix'!$B$2:$D$13,12,MATCH($B364,'MOA role matrix'!$B$1:$D$1,0))="Auto","DLCM (auto), ","")))</f>
        <v/>
      </c>
      <c r="D364" s="5">
        <f>IF($A364="","",IFERROR(INDEX(FILTER('Client contacts'!$B$2:$B$500,('Client contacts'!$A$2:$A$500=$A364)*('Client contacts'!$H$2:$H$500="Y"),""),1),""))</f>
        <v/>
      </c>
      <c r="E364" s="5">
        <f>IF($A364="","",IFERROR(INDEX(FILTER('Client contacts'!$C$2:$C$500,('Client contacts'!$A$2:$A$500=$A364)*('Client contacts'!$H$2:$H$500="Y"),""),1),""))</f>
        <v/>
      </c>
      <c r="F364" s="5">
        <f>IF($A364="","",IFERROR(INDEX(FILTER('Client contacts'!$B$2:$B$500,('Client contacts'!$A$2:$A$500=$A364)*('Client contacts'!$G$2:$G$500="Y"),""),1),""))</f>
        <v/>
      </c>
      <c r="G364" s="5">
        <f>IF($A364="","",IFERROR(INDEX(FILTER('Client contacts'!$C$2:$C$500,('Client contacts'!$A$2:$A$500=$A364)*('Client contacts'!$G$2:$G$500="Y"),""),1),""))</f>
        <v/>
      </c>
      <c r="H364" s="5">
        <f>IF($A364="","",IFERROR(INDEX(FILTER('Client contacts'!$B$2:$B$500,('Client contacts'!$A$2:$A$500=$A364)*('Client contacts'!$G$2:$G$500="Y"),""),2),""))</f>
        <v/>
      </c>
      <c r="I364" s="5">
        <f>IF($A364="","",IFERROR(INDEX(FILTER('Client contacts'!$C$2:$C$500,('Client contacts'!$A$2:$A$500=$A364)*('Client contacts'!$G$2:$G$500="Y"),""),2),""))</f>
        <v/>
      </c>
      <c r="J364" s="8" t="n"/>
      <c r="K364" s="8" t="n"/>
      <c r="L364" s="8" t="n"/>
      <c r="M364" s="8" t="n"/>
      <c r="N364" s="8" t="n"/>
      <c r="O364" s="8" t="n"/>
      <c r="P364" s="8" t="n"/>
      <c r="Q364" s="8" t="n"/>
      <c r="R364" s="5">
        <f>IF($A364="","",IFERROR(INDEX(Companies!$I$2:$I$500,MATCH($A364,Companies!$A$2:$A$500,0)),""))</f>
        <v/>
      </c>
      <c r="S364" s="8" t="n"/>
      <c r="T364" s="8" t="n"/>
      <c r="U364" s="8" t="n"/>
      <c r="V364" s="8" t="n"/>
      <c r="W364" s="8" t="n"/>
    </row>
    <row r="365">
      <c r="C365" s="5">
        <f>IF($B365="","",TRIM(IF(INDEX('MOA role matrix'!$B$2:$D$13,1,MATCH($B365,'MOA role matrix'!$B$1:$D$1,0))="Fill","Project initiator, ","")IF(INDEX('MOA role matrix'!$B$2:$D$13,1,MATCH($B365,'MOA role matrix'!$B$1:$D$1,0))="If finance","Project initiator (if finance), ","")IF(INDEX('MOA role matrix'!$B$2:$D$13,1,MATCH($B365,'MOA role matrix'!$B$1:$D$1,0))="Auto","Project initiator (auto), ","")IF(INDEX('MOA role matrix'!$B$2:$D$13,2,MATCH($B365,'MOA role matrix'!$B$1:$D$1,0))="Fill","MOA signers (client), ","")IF(INDEX('MOA role matrix'!$B$2:$D$13,2,MATCH($B365,'MOA role matrix'!$B$1:$D$1,0))="If finance","MOA signers (client) (if finance), ","")IF(INDEX('MOA role matrix'!$B$2:$D$13,2,MATCH($B365,'MOA role matrix'!$B$1:$D$1,0))="Auto","MOA signers (client) (auto), ","")IF(INDEX('MOA role matrix'!$B$2:$D$13,3,MATCH($B365,'MOA role matrix'!$B$1:$D$1,0))="Fill","CFO / Head of Finance, ","")IF(INDEX('MOA role matrix'!$B$2:$D$13,3,MATCH($B365,'MOA role matrix'!$B$1:$D$1,0))="If finance","CFO / Head of Finance (if finance), ","")IF(INDEX('MOA role matrix'!$B$2:$D$13,3,MATCH($B365,'MOA role matrix'!$B$1:$D$1,0))="Auto","CFO / Head of Finance (auto), ","")IF(INDEX('MOA role matrix'!$B$2:$D$13,4,MATCH($B365,'MOA role matrix'!$B$1:$D$1,0))="Fill","CEO / COO / GM, ","")IF(INDEX('MOA role matrix'!$B$2:$D$13,4,MATCH($B365,'MOA role matrix'!$B$1:$D$1,0))="If finance","CEO / COO / GM (if finance), ","")IF(INDEX('MOA role matrix'!$B$2:$D$13,4,MATCH($B365,'MOA role matrix'!$B$1:$D$1,0))="Auto","CEO / COO / GM (auto), ","")IF(INDEX('MOA role matrix'!$B$2:$D$13,5,MATCH($B365,'MOA role matrix'!$B$1:$D$1,0))="Fill","Board member 1, ","")IF(INDEX('MOA role matrix'!$B$2:$D$13,5,MATCH($B365,'MOA role matrix'!$B$1:$D$1,0))="If finance","Board member 1 (if finance), ","")IF(INDEX('MOA role matrix'!$B$2:$D$13,5,MATCH($B365,'MOA role matrix'!$B$1:$D$1,0))="Auto","Board member 1 (auto), ","")IF(INDEX('MOA role matrix'!$B$2:$D$13,6,MATCH($B365,'MOA role matrix'!$B$1:$D$1,0))="Fill","Board member 2, ","")IF(INDEX('MOA role matrix'!$B$2:$D$13,6,MATCH($B365,'MOA role matrix'!$B$1:$D$1,0))="If finance","Board member 2 (if finance), ","")IF(INDEX('MOA role matrix'!$B$2:$D$13,6,MATCH($B365,'MOA role matrix'!$B$1:$D$1,0))="Auto","Board member 2 (auto), ","")IF(INDEX('MOA role matrix'!$B$2:$D$13,7,MATCH($B365,'MOA role matrix'!$B$1:$D$1,0))="Fill","LOA holder 1, ","")IF(INDEX('MOA role matrix'!$B$2:$D$13,7,MATCH($B365,'MOA role matrix'!$B$1:$D$1,0))="If finance","LOA holder 1 (if finance), ","")IF(INDEX('MOA role matrix'!$B$2:$D$13,7,MATCH($B365,'MOA role matrix'!$B$1:$D$1,0))="Auto","LOA holder 1 (auto), ","")IF(INDEX('MOA role matrix'!$B$2:$D$13,8,MATCH($B365,'MOA role matrix'!$B$1:$D$1,0))="Fill","LOA holder 2, ","")IF(INDEX('MOA role matrix'!$B$2:$D$13,8,MATCH($B365,'MOA role matrix'!$B$1:$D$1,0))="If finance","LOA holder 2 (if finance), ","")IF(INDEX('MOA role matrix'!$B$2:$D$13,8,MATCH($B365,'MOA role matrix'!$B$1:$D$1,0))="Auto","LOA holder 2 (auto), ","")IF(INDEX('MOA role matrix'!$B$2:$D$13,9,MATCH($B365,'MOA role matrix'!$B$1:$D$1,0))="Fill","Senior Manager CoSec, ","")IF(INDEX('MOA role matrix'!$B$2:$D$13,9,MATCH($B365,'MOA role matrix'!$B$1:$D$1,0))="If finance","Senior Manager CoSec (if finance), ","")IF(INDEX('MOA role matrix'!$B$2:$D$13,9,MATCH($B365,'MOA role matrix'!$B$1:$D$1,0))="Auto","Senior Manager CoSec (auto), ","")IF(INDEX('MOA role matrix'!$B$2:$D$13,10,MATCH($B365,'MOA role matrix'!$B$1:$D$1,0))="Fill","Division MOI managers, ","")IF(INDEX('MOA role matrix'!$B$2:$D$13,10,MATCH($B365,'MOA role matrix'!$B$1:$D$1,0))="If finance","Division MOI managers (if finance), ","")IF(INDEX('MOA role matrix'!$B$2:$D$13,10,MATCH($B365,'MOA role matrix'!$B$1:$D$1,0))="Auto","Division MOI managers (auto), ","")IF(INDEX('MOA role matrix'!$B$2:$D$13,11,MATCH($B365,'MOA role matrix'!$B$1:$D$1,0))="Fill","Ms Teh (bank), ","")IF(INDEX('MOA role matrix'!$B$2:$D$13,11,MATCH($B365,'MOA role matrix'!$B$1:$D$1,0))="If finance","Ms Teh (bank) (if finance), ","")IF(INDEX('MOA role matrix'!$B$2:$D$13,11,MATCH($B365,'MOA role matrix'!$B$1:$D$1,0))="Auto","Ms Teh (bank) (auto), ","")IF(INDEX('MOA role matrix'!$B$2:$D$13,12,MATCH($B365,'MOA role matrix'!$B$1:$D$1,0))="Fill","DLCM, ","")IF(INDEX('MOA role matrix'!$B$2:$D$13,12,MATCH($B365,'MOA role matrix'!$B$1:$D$1,0))="If finance","DLCM (if finance), ","")IF(INDEX('MOA role matrix'!$B$2:$D$13,12,MATCH($B365,'MOA role matrix'!$B$1:$D$1,0))="Auto","DLCM (auto), ","")))</f>
        <v/>
      </c>
      <c r="D365" s="5">
        <f>IF($A365="","",IFERROR(INDEX(FILTER('Client contacts'!$B$2:$B$500,('Client contacts'!$A$2:$A$500=$A365)*('Client contacts'!$H$2:$H$500="Y"),""),1),""))</f>
        <v/>
      </c>
      <c r="E365" s="5">
        <f>IF($A365="","",IFERROR(INDEX(FILTER('Client contacts'!$C$2:$C$500,('Client contacts'!$A$2:$A$500=$A365)*('Client contacts'!$H$2:$H$500="Y"),""),1),""))</f>
        <v/>
      </c>
      <c r="F365" s="5">
        <f>IF($A365="","",IFERROR(INDEX(FILTER('Client contacts'!$B$2:$B$500,('Client contacts'!$A$2:$A$500=$A365)*('Client contacts'!$G$2:$G$500="Y"),""),1),""))</f>
        <v/>
      </c>
      <c r="G365" s="5">
        <f>IF($A365="","",IFERROR(INDEX(FILTER('Client contacts'!$C$2:$C$500,('Client contacts'!$A$2:$A$500=$A365)*('Client contacts'!$G$2:$G$500="Y"),""),1),""))</f>
        <v/>
      </c>
      <c r="H365" s="5">
        <f>IF($A365="","",IFERROR(INDEX(FILTER('Client contacts'!$B$2:$B$500,('Client contacts'!$A$2:$A$500=$A365)*('Client contacts'!$G$2:$G$500="Y"),""),2),""))</f>
        <v/>
      </c>
      <c r="I365" s="5">
        <f>IF($A365="","",IFERROR(INDEX(FILTER('Client contacts'!$C$2:$C$500,('Client contacts'!$A$2:$A$500=$A365)*('Client contacts'!$G$2:$G$500="Y"),""),2),""))</f>
        <v/>
      </c>
      <c r="J365" s="8" t="n"/>
      <c r="K365" s="8" t="n"/>
      <c r="L365" s="8" t="n"/>
      <c r="M365" s="8" t="n"/>
      <c r="N365" s="8" t="n"/>
      <c r="O365" s="8" t="n"/>
      <c r="P365" s="8" t="n"/>
      <c r="Q365" s="8" t="n"/>
      <c r="R365" s="5">
        <f>IF($A365="","",IFERROR(INDEX(Companies!$I$2:$I$500,MATCH($A365,Companies!$A$2:$A$500,0)),""))</f>
        <v/>
      </c>
      <c r="S365" s="8" t="n"/>
      <c r="T365" s="8" t="n"/>
      <c r="U365" s="8" t="n"/>
      <c r="V365" s="8" t="n"/>
      <c r="W365" s="8" t="n"/>
    </row>
    <row r="366">
      <c r="C366" s="5">
        <f>IF($B366="","",TRIM(IF(INDEX('MOA role matrix'!$B$2:$D$13,1,MATCH($B366,'MOA role matrix'!$B$1:$D$1,0))="Fill","Project initiator, ","")IF(INDEX('MOA role matrix'!$B$2:$D$13,1,MATCH($B366,'MOA role matrix'!$B$1:$D$1,0))="If finance","Project initiator (if finance), ","")IF(INDEX('MOA role matrix'!$B$2:$D$13,1,MATCH($B366,'MOA role matrix'!$B$1:$D$1,0))="Auto","Project initiator (auto), ","")IF(INDEX('MOA role matrix'!$B$2:$D$13,2,MATCH($B366,'MOA role matrix'!$B$1:$D$1,0))="Fill","MOA signers (client), ","")IF(INDEX('MOA role matrix'!$B$2:$D$13,2,MATCH($B366,'MOA role matrix'!$B$1:$D$1,0))="If finance","MOA signers (client) (if finance), ","")IF(INDEX('MOA role matrix'!$B$2:$D$13,2,MATCH($B366,'MOA role matrix'!$B$1:$D$1,0))="Auto","MOA signers (client) (auto), ","")IF(INDEX('MOA role matrix'!$B$2:$D$13,3,MATCH($B366,'MOA role matrix'!$B$1:$D$1,0))="Fill","CFO / Head of Finance, ","")IF(INDEX('MOA role matrix'!$B$2:$D$13,3,MATCH($B366,'MOA role matrix'!$B$1:$D$1,0))="If finance","CFO / Head of Finance (if finance), ","")IF(INDEX('MOA role matrix'!$B$2:$D$13,3,MATCH($B366,'MOA role matrix'!$B$1:$D$1,0))="Auto","CFO / Head of Finance (auto), ","")IF(INDEX('MOA role matrix'!$B$2:$D$13,4,MATCH($B366,'MOA role matrix'!$B$1:$D$1,0))="Fill","CEO / COO / GM, ","")IF(INDEX('MOA role matrix'!$B$2:$D$13,4,MATCH($B366,'MOA role matrix'!$B$1:$D$1,0))="If finance","CEO / COO / GM (if finance), ","")IF(INDEX('MOA role matrix'!$B$2:$D$13,4,MATCH($B366,'MOA role matrix'!$B$1:$D$1,0))="Auto","CEO / COO / GM (auto), ","")IF(INDEX('MOA role matrix'!$B$2:$D$13,5,MATCH($B366,'MOA role matrix'!$B$1:$D$1,0))="Fill","Board member 1, ","")IF(INDEX('MOA role matrix'!$B$2:$D$13,5,MATCH($B366,'MOA role matrix'!$B$1:$D$1,0))="If finance","Board member 1 (if finance), ","")IF(INDEX('MOA role matrix'!$B$2:$D$13,5,MATCH($B366,'MOA role matrix'!$B$1:$D$1,0))="Auto","Board member 1 (auto), ","")IF(INDEX('MOA role matrix'!$B$2:$D$13,6,MATCH($B366,'MOA role matrix'!$B$1:$D$1,0))="Fill","Board member 2, ","")IF(INDEX('MOA role matrix'!$B$2:$D$13,6,MATCH($B366,'MOA role matrix'!$B$1:$D$1,0))="If finance","Board member 2 (if finance), ","")IF(INDEX('MOA role matrix'!$B$2:$D$13,6,MATCH($B366,'MOA role matrix'!$B$1:$D$1,0))="Auto","Board member 2 (auto), ","")IF(INDEX('MOA role matrix'!$B$2:$D$13,7,MATCH($B366,'MOA role matrix'!$B$1:$D$1,0))="Fill","LOA holder 1, ","")IF(INDEX('MOA role matrix'!$B$2:$D$13,7,MATCH($B366,'MOA role matrix'!$B$1:$D$1,0))="If finance","LOA holder 1 (if finance), ","")IF(INDEX('MOA role matrix'!$B$2:$D$13,7,MATCH($B366,'MOA role matrix'!$B$1:$D$1,0))="Auto","LOA holder 1 (auto), ","")IF(INDEX('MOA role matrix'!$B$2:$D$13,8,MATCH($B366,'MOA role matrix'!$B$1:$D$1,0))="Fill","LOA holder 2, ","")IF(INDEX('MOA role matrix'!$B$2:$D$13,8,MATCH($B366,'MOA role matrix'!$B$1:$D$1,0))="If finance","LOA holder 2 (if finance), ","")IF(INDEX('MOA role matrix'!$B$2:$D$13,8,MATCH($B366,'MOA role matrix'!$B$1:$D$1,0))="Auto","LOA holder 2 (auto), ","")IF(INDEX('MOA role matrix'!$B$2:$D$13,9,MATCH($B366,'MOA role matrix'!$B$1:$D$1,0))="Fill","Senior Manager CoSec, ","")IF(INDEX('MOA role matrix'!$B$2:$D$13,9,MATCH($B366,'MOA role matrix'!$B$1:$D$1,0))="If finance","Senior Manager CoSec (if finance), ","")IF(INDEX('MOA role matrix'!$B$2:$D$13,9,MATCH($B366,'MOA role matrix'!$B$1:$D$1,0))="Auto","Senior Manager CoSec (auto), ","")IF(INDEX('MOA role matrix'!$B$2:$D$13,10,MATCH($B366,'MOA role matrix'!$B$1:$D$1,0))="Fill","Division MOI managers, ","")IF(INDEX('MOA role matrix'!$B$2:$D$13,10,MATCH($B366,'MOA role matrix'!$B$1:$D$1,0))="If finance","Division MOI managers (if finance), ","")IF(INDEX('MOA role matrix'!$B$2:$D$13,10,MATCH($B366,'MOA role matrix'!$B$1:$D$1,0))="Auto","Division MOI managers (auto), ","")IF(INDEX('MOA role matrix'!$B$2:$D$13,11,MATCH($B366,'MOA role matrix'!$B$1:$D$1,0))="Fill","Ms Teh (bank), ","")IF(INDEX('MOA role matrix'!$B$2:$D$13,11,MATCH($B366,'MOA role matrix'!$B$1:$D$1,0))="If finance","Ms Teh (bank) (if finance), ","")IF(INDEX('MOA role matrix'!$B$2:$D$13,11,MATCH($B366,'MOA role matrix'!$B$1:$D$1,0))="Auto","Ms Teh (bank) (auto), ","")IF(INDEX('MOA role matrix'!$B$2:$D$13,12,MATCH($B366,'MOA role matrix'!$B$1:$D$1,0))="Fill","DLCM, ","")IF(INDEX('MOA role matrix'!$B$2:$D$13,12,MATCH($B366,'MOA role matrix'!$B$1:$D$1,0))="If finance","DLCM (if finance), ","")IF(INDEX('MOA role matrix'!$B$2:$D$13,12,MATCH($B366,'MOA role matrix'!$B$1:$D$1,0))="Auto","DLCM (auto), ","")))</f>
        <v/>
      </c>
      <c r="D366" s="5">
        <f>IF($A366="","",IFERROR(INDEX(FILTER('Client contacts'!$B$2:$B$500,('Client contacts'!$A$2:$A$500=$A366)*('Client contacts'!$H$2:$H$500="Y"),""),1),""))</f>
        <v/>
      </c>
      <c r="E366" s="5">
        <f>IF($A366="","",IFERROR(INDEX(FILTER('Client contacts'!$C$2:$C$500,('Client contacts'!$A$2:$A$500=$A366)*('Client contacts'!$H$2:$H$500="Y"),""),1),""))</f>
        <v/>
      </c>
      <c r="F366" s="5">
        <f>IF($A366="","",IFERROR(INDEX(FILTER('Client contacts'!$B$2:$B$500,('Client contacts'!$A$2:$A$500=$A366)*('Client contacts'!$G$2:$G$500="Y"),""),1),""))</f>
        <v/>
      </c>
      <c r="G366" s="5">
        <f>IF($A366="","",IFERROR(INDEX(FILTER('Client contacts'!$C$2:$C$500,('Client contacts'!$A$2:$A$500=$A366)*('Client contacts'!$G$2:$G$500="Y"),""),1),""))</f>
        <v/>
      </c>
      <c r="H366" s="5">
        <f>IF($A366="","",IFERROR(INDEX(FILTER('Client contacts'!$B$2:$B$500,('Client contacts'!$A$2:$A$500=$A366)*('Client contacts'!$G$2:$G$500="Y"),""),2),""))</f>
        <v/>
      </c>
      <c r="I366" s="5">
        <f>IF($A366="","",IFERROR(INDEX(FILTER('Client contacts'!$C$2:$C$500,('Client contacts'!$A$2:$A$500=$A366)*('Client contacts'!$G$2:$G$500="Y"),""),2),""))</f>
        <v/>
      </c>
      <c r="J366" s="8" t="n"/>
      <c r="K366" s="8" t="n"/>
      <c r="L366" s="8" t="n"/>
      <c r="M366" s="8" t="n"/>
      <c r="N366" s="8" t="n"/>
      <c r="O366" s="8" t="n"/>
      <c r="P366" s="8" t="n"/>
      <c r="Q366" s="8" t="n"/>
      <c r="R366" s="5">
        <f>IF($A366="","",IFERROR(INDEX(Companies!$I$2:$I$500,MATCH($A366,Companies!$A$2:$A$500,0)),""))</f>
        <v/>
      </c>
      <c r="S366" s="8" t="n"/>
      <c r="T366" s="8" t="n"/>
      <c r="U366" s="8" t="n"/>
      <c r="V366" s="8" t="n"/>
      <c r="W366" s="8" t="n"/>
    </row>
    <row r="367">
      <c r="C367" s="5">
        <f>IF($B367="","",TRIM(IF(INDEX('MOA role matrix'!$B$2:$D$13,1,MATCH($B367,'MOA role matrix'!$B$1:$D$1,0))="Fill","Project initiator, ","")IF(INDEX('MOA role matrix'!$B$2:$D$13,1,MATCH($B367,'MOA role matrix'!$B$1:$D$1,0))="If finance","Project initiator (if finance), ","")IF(INDEX('MOA role matrix'!$B$2:$D$13,1,MATCH($B367,'MOA role matrix'!$B$1:$D$1,0))="Auto","Project initiator (auto), ","")IF(INDEX('MOA role matrix'!$B$2:$D$13,2,MATCH($B367,'MOA role matrix'!$B$1:$D$1,0))="Fill","MOA signers (client), ","")IF(INDEX('MOA role matrix'!$B$2:$D$13,2,MATCH($B367,'MOA role matrix'!$B$1:$D$1,0))="If finance","MOA signers (client) (if finance), ","")IF(INDEX('MOA role matrix'!$B$2:$D$13,2,MATCH($B367,'MOA role matrix'!$B$1:$D$1,0))="Auto","MOA signers (client) (auto), ","")IF(INDEX('MOA role matrix'!$B$2:$D$13,3,MATCH($B367,'MOA role matrix'!$B$1:$D$1,0))="Fill","CFO / Head of Finance, ","")IF(INDEX('MOA role matrix'!$B$2:$D$13,3,MATCH($B367,'MOA role matrix'!$B$1:$D$1,0))="If finance","CFO / Head of Finance (if finance), ","")IF(INDEX('MOA role matrix'!$B$2:$D$13,3,MATCH($B367,'MOA role matrix'!$B$1:$D$1,0))="Auto","CFO / Head of Finance (auto), ","")IF(INDEX('MOA role matrix'!$B$2:$D$13,4,MATCH($B367,'MOA role matrix'!$B$1:$D$1,0))="Fill","CEO / COO / GM, ","")IF(INDEX('MOA role matrix'!$B$2:$D$13,4,MATCH($B367,'MOA role matrix'!$B$1:$D$1,0))="If finance","CEO / COO / GM (if finance), ","")IF(INDEX('MOA role matrix'!$B$2:$D$13,4,MATCH($B367,'MOA role matrix'!$B$1:$D$1,0))="Auto","CEO / COO / GM (auto), ","")IF(INDEX('MOA role matrix'!$B$2:$D$13,5,MATCH($B367,'MOA role matrix'!$B$1:$D$1,0))="Fill","Board member 1, ","")IF(INDEX('MOA role matrix'!$B$2:$D$13,5,MATCH($B367,'MOA role matrix'!$B$1:$D$1,0))="If finance","Board member 1 (if finance), ","")IF(INDEX('MOA role matrix'!$B$2:$D$13,5,MATCH($B367,'MOA role matrix'!$B$1:$D$1,0))="Auto","Board member 1 (auto), ","")IF(INDEX('MOA role matrix'!$B$2:$D$13,6,MATCH($B367,'MOA role matrix'!$B$1:$D$1,0))="Fill","Board member 2, ","")IF(INDEX('MOA role matrix'!$B$2:$D$13,6,MATCH($B367,'MOA role matrix'!$B$1:$D$1,0))="If finance","Board member 2 (if finance), ","")IF(INDEX('MOA role matrix'!$B$2:$D$13,6,MATCH($B367,'MOA role matrix'!$B$1:$D$1,0))="Auto","Board member 2 (auto), ","")IF(INDEX('MOA role matrix'!$B$2:$D$13,7,MATCH($B367,'MOA role matrix'!$B$1:$D$1,0))="Fill","LOA holder 1, ","")IF(INDEX('MOA role matrix'!$B$2:$D$13,7,MATCH($B367,'MOA role matrix'!$B$1:$D$1,0))="If finance","LOA holder 1 (if finance), ","")IF(INDEX('MOA role matrix'!$B$2:$D$13,7,MATCH($B367,'MOA role matrix'!$B$1:$D$1,0))="Auto","LOA holder 1 (auto), ","")IF(INDEX('MOA role matrix'!$B$2:$D$13,8,MATCH($B367,'MOA role matrix'!$B$1:$D$1,0))="Fill","LOA holder 2, ","")IF(INDEX('MOA role matrix'!$B$2:$D$13,8,MATCH($B367,'MOA role matrix'!$B$1:$D$1,0))="If finance","LOA holder 2 (if finance), ","")IF(INDEX('MOA role matrix'!$B$2:$D$13,8,MATCH($B367,'MOA role matrix'!$B$1:$D$1,0))="Auto","LOA holder 2 (auto), ","")IF(INDEX('MOA role matrix'!$B$2:$D$13,9,MATCH($B367,'MOA role matrix'!$B$1:$D$1,0))="Fill","Senior Manager CoSec, ","")IF(INDEX('MOA role matrix'!$B$2:$D$13,9,MATCH($B367,'MOA role matrix'!$B$1:$D$1,0))="If finance","Senior Manager CoSec (if finance), ","")IF(INDEX('MOA role matrix'!$B$2:$D$13,9,MATCH($B367,'MOA role matrix'!$B$1:$D$1,0))="Auto","Senior Manager CoSec (auto), ","")IF(INDEX('MOA role matrix'!$B$2:$D$13,10,MATCH($B367,'MOA role matrix'!$B$1:$D$1,0))="Fill","Division MOI managers, ","")IF(INDEX('MOA role matrix'!$B$2:$D$13,10,MATCH($B367,'MOA role matrix'!$B$1:$D$1,0))="If finance","Division MOI managers (if finance), ","")IF(INDEX('MOA role matrix'!$B$2:$D$13,10,MATCH($B367,'MOA role matrix'!$B$1:$D$1,0))="Auto","Division MOI managers (auto), ","")IF(INDEX('MOA role matrix'!$B$2:$D$13,11,MATCH($B367,'MOA role matrix'!$B$1:$D$1,0))="Fill","Ms Teh (bank), ","")IF(INDEX('MOA role matrix'!$B$2:$D$13,11,MATCH($B367,'MOA role matrix'!$B$1:$D$1,0))="If finance","Ms Teh (bank) (if finance), ","")IF(INDEX('MOA role matrix'!$B$2:$D$13,11,MATCH($B367,'MOA role matrix'!$B$1:$D$1,0))="Auto","Ms Teh (bank) (auto), ","")IF(INDEX('MOA role matrix'!$B$2:$D$13,12,MATCH($B367,'MOA role matrix'!$B$1:$D$1,0))="Fill","DLCM, ","")IF(INDEX('MOA role matrix'!$B$2:$D$13,12,MATCH($B367,'MOA role matrix'!$B$1:$D$1,0))="If finance","DLCM (if finance), ","")IF(INDEX('MOA role matrix'!$B$2:$D$13,12,MATCH($B367,'MOA role matrix'!$B$1:$D$1,0))="Auto","DLCM (auto), ","")))</f>
        <v/>
      </c>
      <c r="D367" s="5">
        <f>IF($A367="","",IFERROR(INDEX(FILTER('Client contacts'!$B$2:$B$500,('Client contacts'!$A$2:$A$500=$A367)*('Client contacts'!$H$2:$H$500="Y"),""),1),""))</f>
        <v/>
      </c>
      <c r="E367" s="5">
        <f>IF($A367="","",IFERROR(INDEX(FILTER('Client contacts'!$C$2:$C$500,('Client contacts'!$A$2:$A$500=$A367)*('Client contacts'!$H$2:$H$500="Y"),""),1),""))</f>
        <v/>
      </c>
      <c r="F367" s="5">
        <f>IF($A367="","",IFERROR(INDEX(FILTER('Client contacts'!$B$2:$B$500,('Client contacts'!$A$2:$A$500=$A367)*('Client contacts'!$G$2:$G$500="Y"),""),1),""))</f>
        <v/>
      </c>
      <c r="G367" s="5">
        <f>IF($A367="","",IFERROR(INDEX(FILTER('Client contacts'!$C$2:$C$500,('Client contacts'!$A$2:$A$500=$A367)*('Client contacts'!$G$2:$G$500="Y"),""),1),""))</f>
        <v/>
      </c>
      <c r="H367" s="5">
        <f>IF($A367="","",IFERROR(INDEX(FILTER('Client contacts'!$B$2:$B$500,('Client contacts'!$A$2:$A$500=$A367)*('Client contacts'!$G$2:$G$500="Y"),""),2),""))</f>
        <v/>
      </c>
      <c r="I367" s="5">
        <f>IF($A367="","",IFERROR(INDEX(FILTER('Client contacts'!$C$2:$C$500,('Client contacts'!$A$2:$A$500=$A367)*('Client contacts'!$G$2:$G$500="Y"),""),2),""))</f>
        <v/>
      </c>
      <c r="J367" s="8" t="n"/>
      <c r="K367" s="8" t="n"/>
      <c r="L367" s="8" t="n"/>
      <c r="M367" s="8" t="n"/>
      <c r="N367" s="8" t="n"/>
      <c r="O367" s="8" t="n"/>
      <c r="P367" s="8" t="n"/>
      <c r="Q367" s="8" t="n"/>
      <c r="R367" s="5">
        <f>IF($A367="","",IFERROR(INDEX(Companies!$I$2:$I$500,MATCH($A367,Companies!$A$2:$A$500,0)),""))</f>
        <v/>
      </c>
      <c r="S367" s="8" t="n"/>
      <c r="T367" s="8" t="n"/>
      <c r="U367" s="8" t="n"/>
      <c r="V367" s="8" t="n"/>
      <c r="W367" s="8" t="n"/>
    </row>
    <row r="368">
      <c r="C368" s="5">
        <f>IF($B368="","",TRIM(IF(INDEX('MOA role matrix'!$B$2:$D$13,1,MATCH($B368,'MOA role matrix'!$B$1:$D$1,0))="Fill","Project initiator, ","")IF(INDEX('MOA role matrix'!$B$2:$D$13,1,MATCH($B368,'MOA role matrix'!$B$1:$D$1,0))="If finance","Project initiator (if finance), ","")IF(INDEX('MOA role matrix'!$B$2:$D$13,1,MATCH($B368,'MOA role matrix'!$B$1:$D$1,0))="Auto","Project initiator (auto), ","")IF(INDEX('MOA role matrix'!$B$2:$D$13,2,MATCH($B368,'MOA role matrix'!$B$1:$D$1,0))="Fill","MOA signers (client), ","")IF(INDEX('MOA role matrix'!$B$2:$D$13,2,MATCH($B368,'MOA role matrix'!$B$1:$D$1,0))="If finance","MOA signers (client) (if finance), ","")IF(INDEX('MOA role matrix'!$B$2:$D$13,2,MATCH($B368,'MOA role matrix'!$B$1:$D$1,0))="Auto","MOA signers (client) (auto), ","")IF(INDEX('MOA role matrix'!$B$2:$D$13,3,MATCH($B368,'MOA role matrix'!$B$1:$D$1,0))="Fill","CFO / Head of Finance, ","")IF(INDEX('MOA role matrix'!$B$2:$D$13,3,MATCH($B368,'MOA role matrix'!$B$1:$D$1,0))="If finance","CFO / Head of Finance (if finance), ","")IF(INDEX('MOA role matrix'!$B$2:$D$13,3,MATCH($B368,'MOA role matrix'!$B$1:$D$1,0))="Auto","CFO / Head of Finance (auto), ","")IF(INDEX('MOA role matrix'!$B$2:$D$13,4,MATCH($B368,'MOA role matrix'!$B$1:$D$1,0))="Fill","CEO / COO / GM, ","")IF(INDEX('MOA role matrix'!$B$2:$D$13,4,MATCH($B368,'MOA role matrix'!$B$1:$D$1,0))="If finance","CEO / COO / GM (if finance), ","")IF(INDEX('MOA role matrix'!$B$2:$D$13,4,MATCH($B368,'MOA role matrix'!$B$1:$D$1,0))="Auto","CEO / COO / GM (auto), ","")IF(INDEX('MOA role matrix'!$B$2:$D$13,5,MATCH($B368,'MOA role matrix'!$B$1:$D$1,0))="Fill","Board member 1, ","")IF(INDEX('MOA role matrix'!$B$2:$D$13,5,MATCH($B368,'MOA role matrix'!$B$1:$D$1,0))="If finance","Board member 1 (if finance), ","")IF(INDEX('MOA role matrix'!$B$2:$D$13,5,MATCH($B368,'MOA role matrix'!$B$1:$D$1,0))="Auto","Board member 1 (auto), ","")IF(INDEX('MOA role matrix'!$B$2:$D$13,6,MATCH($B368,'MOA role matrix'!$B$1:$D$1,0))="Fill","Board member 2, ","")IF(INDEX('MOA role matrix'!$B$2:$D$13,6,MATCH($B368,'MOA role matrix'!$B$1:$D$1,0))="If finance","Board member 2 (if finance), ","")IF(INDEX('MOA role matrix'!$B$2:$D$13,6,MATCH($B368,'MOA role matrix'!$B$1:$D$1,0))="Auto","Board member 2 (auto), ","")IF(INDEX('MOA role matrix'!$B$2:$D$13,7,MATCH($B368,'MOA role matrix'!$B$1:$D$1,0))="Fill","LOA holder 1, ","")IF(INDEX('MOA role matrix'!$B$2:$D$13,7,MATCH($B368,'MOA role matrix'!$B$1:$D$1,0))="If finance","LOA holder 1 (if finance), ","")IF(INDEX('MOA role matrix'!$B$2:$D$13,7,MATCH($B368,'MOA role matrix'!$B$1:$D$1,0))="Auto","LOA holder 1 (auto), ","")IF(INDEX('MOA role matrix'!$B$2:$D$13,8,MATCH($B368,'MOA role matrix'!$B$1:$D$1,0))="Fill","LOA holder 2, ","")IF(INDEX('MOA role matrix'!$B$2:$D$13,8,MATCH($B368,'MOA role matrix'!$B$1:$D$1,0))="If finance","LOA holder 2 (if finance), ","")IF(INDEX('MOA role matrix'!$B$2:$D$13,8,MATCH($B368,'MOA role matrix'!$B$1:$D$1,0))="Auto","LOA holder 2 (auto), ","")IF(INDEX('MOA role matrix'!$B$2:$D$13,9,MATCH($B368,'MOA role matrix'!$B$1:$D$1,0))="Fill","Senior Manager CoSec, ","")IF(INDEX('MOA role matrix'!$B$2:$D$13,9,MATCH($B368,'MOA role matrix'!$B$1:$D$1,0))="If finance","Senior Manager CoSec (if finance), ","")IF(INDEX('MOA role matrix'!$B$2:$D$13,9,MATCH($B368,'MOA role matrix'!$B$1:$D$1,0))="Auto","Senior Manager CoSec (auto), ","")IF(INDEX('MOA role matrix'!$B$2:$D$13,10,MATCH($B368,'MOA role matrix'!$B$1:$D$1,0))="Fill","Division MOI managers, ","")IF(INDEX('MOA role matrix'!$B$2:$D$13,10,MATCH($B368,'MOA role matrix'!$B$1:$D$1,0))="If finance","Division MOI managers (if finance), ","")IF(INDEX('MOA role matrix'!$B$2:$D$13,10,MATCH($B368,'MOA role matrix'!$B$1:$D$1,0))="Auto","Division MOI managers (auto), ","")IF(INDEX('MOA role matrix'!$B$2:$D$13,11,MATCH($B368,'MOA role matrix'!$B$1:$D$1,0))="Fill","Ms Teh (bank), ","")IF(INDEX('MOA role matrix'!$B$2:$D$13,11,MATCH($B368,'MOA role matrix'!$B$1:$D$1,0))="If finance","Ms Teh (bank) (if finance), ","")IF(INDEX('MOA role matrix'!$B$2:$D$13,11,MATCH($B368,'MOA role matrix'!$B$1:$D$1,0))="Auto","Ms Teh (bank) (auto), ","")IF(INDEX('MOA role matrix'!$B$2:$D$13,12,MATCH($B368,'MOA role matrix'!$B$1:$D$1,0))="Fill","DLCM, ","")IF(INDEX('MOA role matrix'!$B$2:$D$13,12,MATCH($B368,'MOA role matrix'!$B$1:$D$1,0))="If finance","DLCM (if finance), ","")IF(INDEX('MOA role matrix'!$B$2:$D$13,12,MATCH($B368,'MOA role matrix'!$B$1:$D$1,0))="Auto","DLCM (auto), ","")))</f>
        <v/>
      </c>
      <c r="D368" s="5">
        <f>IF($A368="","",IFERROR(INDEX(FILTER('Client contacts'!$B$2:$B$500,('Client contacts'!$A$2:$A$500=$A368)*('Client contacts'!$H$2:$H$500="Y"),""),1),""))</f>
        <v/>
      </c>
      <c r="E368" s="5">
        <f>IF($A368="","",IFERROR(INDEX(FILTER('Client contacts'!$C$2:$C$500,('Client contacts'!$A$2:$A$500=$A368)*('Client contacts'!$H$2:$H$500="Y"),""),1),""))</f>
        <v/>
      </c>
      <c r="F368" s="5">
        <f>IF($A368="","",IFERROR(INDEX(FILTER('Client contacts'!$B$2:$B$500,('Client contacts'!$A$2:$A$500=$A368)*('Client contacts'!$G$2:$G$500="Y"),""),1),""))</f>
        <v/>
      </c>
      <c r="G368" s="5">
        <f>IF($A368="","",IFERROR(INDEX(FILTER('Client contacts'!$C$2:$C$500,('Client contacts'!$A$2:$A$500=$A368)*('Client contacts'!$G$2:$G$500="Y"),""),1),""))</f>
        <v/>
      </c>
      <c r="H368" s="5">
        <f>IF($A368="","",IFERROR(INDEX(FILTER('Client contacts'!$B$2:$B$500,('Client contacts'!$A$2:$A$500=$A368)*('Client contacts'!$G$2:$G$500="Y"),""),2),""))</f>
        <v/>
      </c>
      <c r="I368" s="5">
        <f>IF($A368="","",IFERROR(INDEX(FILTER('Client contacts'!$C$2:$C$500,('Client contacts'!$A$2:$A$500=$A368)*('Client contacts'!$G$2:$G$500="Y"),""),2),""))</f>
        <v/>
      </c>
      <c r="J368" s="8" t="n"/>
      <c r="K368" s="8" t="n"/>
      <c r="L368" s="8" t="n"/>
      <c r="M368" s="8" t="n"/>
      <c r="N368" s="8" t="n"/>
      <c r="O368" s="8" t="n"/>
      <c r="P368" s="8" t="n"/>
      <c r="Q368" s="8" t="n"/>
      <c r="R368" s="5">
        <f>IF($A368="","",IFERROR(INDEX(Companies!$I$2:$I$500,MATCH($A368,Companies!$A$2:$A$500,0)),""))</f>
        <v/>
      </c>
      <c r="S368" s="8" t="n"/>
      <c r="T368" s="8" t="n"/>
      <c r="U368" s="8" t="n"/>
      <c r="V368" s="8" t="n"/>
      <c r="W368" s="8" t="n"/>
    </row>
    <row r="369">
      <c r="C369" s="5">
        <f>IF($B369="","",TRIM(IF(INDEX('MOA role matrix'!$B$2:$D$13,1,MATCH($B369,'MOA role matrix'!$B$1:$D$1,0))="Fill","Project initiator, ","")IF(INDEX('MOA role matrix'!$B$2:$D$13,1,MATCH($B369,'MOA role matrix'!$B$1:$D$1,0))="If finance","Project initiator (if finance), ","")IF(INDEX('MOA role matrix'!$B$2:$D$13,1,MATCH($B369,'MOA role matrix'!$B$1:$D$1,0))="Auto","Project initiator (auto), ","")IF(INDEX('MOA role matrix'!$B$2:$D$13,2,MATCH($B369,'MOA role matrix'!$B$1:$D$1,0))="Fill","MOA signers (client), ","")IF(INDEX('MOA role matrix'!$B$2:$D$13,2,MATCH($B369,'MOA role matrix'!$B$1:$D$1,0))="If finance","MOA signers (client) (if finance), ","")IF(INDEX('MOA role matrix'!$B$2:$D$13,2,MATCH($B369,'MOA role matrix'!$B$1:$D$1,0))="Auto","MOA signers (client) (auto), ","")IF(INDEX('MOA role matrix'!$B$2:$D$13,3,MATCH($B369,'MOA role matrix'!$B$1:$D$1,0))="Fill","CFO / Head of Finance, ","")IF(INDEX('MOA role matrix'!$B$2:$D$13,3,MATCH($B369,'MOA role matrix'!$B$1:$D$1,0))="If finance","CFO / Head of Finance (if finance), ","")IF(INDEX('MOA role matrix'!$B$2:$D$13,3,MATCH($B369,'MOA role matrix'!$B$1:$D$1,0))="Auto","CFO / Head of Finance (auto), ","")IF(INDEX('MOA role matrix'!$B$2:$D$13,4,MATCH($B369,'MOA role matrix'!$B$1:$D$1,0))="Fill","CEO / COO / GM, ","")IF(INDEX('MOA role matrix'!$B$2:$D$13,4,MATCH($B369,'MOA role matrix'!$B$1:$D$1,0))="If finance","CEO / COO / GM (if finance), ","")IF(INDEX('MOA role matrix'!$B$2:$D$13,4,MATCH($B369,'MOA role matrix'!$B$1:$D$1,0))="Auto","CEO / COO / GM (auto), ","")IF(INDEX('MOA role matrix'!$B$2:$D$13,5,MATCH($B369,'MOA role matrix'!$B$1:$D$1,0))="Fill","Board member 1, ","")IF(INDEX('MOA role matrix'!$B$2:$D$13,5,MATCH($B369,'MOA role matrix'!$B$1:$D$1,0))="If finance","Board member 1 (if finance), ","")IF(INDEX('MOA role matrix'!$B$2:$D$13,5,MATCH($B369,'MOA role matrix'!$B$1:$D$1,0))="Auto","Board member 1 (auto), ","")IF(INDEX('MOA role matrix'!$B$2:$D$13,6,MATCH($B369,'MOA role matrix'!$B$1:$D$1,0))="Fill","Board member 2, ","")IF(INDEX('MOA role matrix'!$B$2:$D$13,6,MATCH($B369,'MOA role matrix'!$B$1:$D$1,0))="If finance","Board member 2 (if finance), ","")IF(INDEX('MOA role matrix'!$B$2:$D$13,6,MATCH($B369,'MOA role matrix'!$B$1:$D$1,0))="Auto","Board member 2 (auto), ","")IF(INDEX('MOA role matrix'!$B$2:$D$13,7,MATCH($B369,'MOA role matrix'!$B$1:$D$1,0))="Fill","LOA holder 1, ","")IF(INDEX('MOA role matrix'!$B$2:$D$13,7,MATCH($B369,'MOA role matrix'!$B$1:$D$1,0))="If finance","LOA holder 1 (if finance), ","")IF(INDEX('MOA role matrix'!$B$2:$D$13,7,MATCH($B369,'MOA role matrix'!$B$1:$D$1,0))="Auto","LOA holder 1 (auto), ","")IF(INDEX('MOA role matrix'!$B$2:$D$13,8,MATCH($B369,'MOA role matrix'!$B$1:$D$1,0))="Fill","LOA holder 2, ","")IF(INDEX('MOA role matrix'!$B$2:$D$13,8,MATCH($B369,'MOA role matrix'!$B$1:$D$1,0))="If finance","LOA holder 2 (if finance), ","")IF(INDEX('MOA role matrix'!$B$2:$D$13,8,MATCH($B369,'MOA role matrix'!$B$1:$D$1,0))="Auto","LOA holder 2 (auto), ","")IF(INDEX('MOA role matrix'!$B$2:$D$13,9,MATCH($B369,'MOA role matrix'!$B$1:$D$1,0))="Fill","Senior Manager CoSec, ","")IF(INDEX('MOA role matrix'!$B$2:$D$13,9,MATCH($B369,'MOA role matrix'!$B$1:$D$1,0))="If finance","Senior Manager CoSec (if finance), ","")IF(INDEX('MOA role matrix'!$B$2:$D$13,9,MATCH($B369,'MOA role matrix'!$B$1:$D$1,0))="Auto","Senior Manager CoSec (auto), ","")IF(INDEX('MOA role matrix'!$B$2:$D$13,10,MATCH($B369,'MOA role matrix'!$B$1:$D$1,0))="Fill","Division MOI managers, ","")IF(INDEX('MOA role matrix'!$B$2:$D$13,10,MATCH($B369,'MOA role matrix'!$B$1:$D$1,0))="If finance","Division MOI managers (if finance), ","")IF(INDEX('MOA role matrix'!$B$2:$D$13,10,MATCH($B369,'MOA role matrix'!$B$1:$D$1,0))="Auto","Division MOI managers (auto), ","")IF(INDEX('MOA role matrix'!$B$2:$D$13,11,MATCH($B369,'MOA role matrix'!$B$1:$D$1,0))="Fill","Ms Teh (bank), ","")IF(INDEX('MOA role matrix'!$B$2:$D$13,11,MATCH($B369,'MOA role matrix'!$B$1:$D$1,0))="If finance","Ms Teh (bank) (if finance), ","")IF(INDEX('MOA role matrix'!$B$2:$D$13,11,MATCH($B369,'MOA role matrix'!$B$1:$D$1,0))="Auto","Ms Teh (bank) (auto), ","")IF(INDEX('MOA role matrix'!$B$2:$D$13,12,MATCH($B369,'MOA role matrix'!$B$1:$D$1,0))="Fill","DLCM, ","")IF(INDEX('MOA role matrix'!$B$2:$D$13,12,MATCH($B369,'MOA role matrix'!$B$1:$D$1,0))="If finance","DLCM (if finance), ","")IF(INDEX('MOA role matrix'!$B$2:$D$13,12,MATCH($B369,'MOA role matrix'!$B$1:$D$1,0))="Auto","DLCM (auto), ","")))</f>
        <v/>
      </c>
      <c r="D369" s="5">
        <f>IF($A369="","",IFERROR(INDEX(FILTER('Client contacts'!$B$2:$B$500,('Client contacts'!$A$2:$A$500=$A369)*('Client contacts'!$H$2:$H$500="Y"),""),1),""))</f>
        <v/>
      </c>
      <c r="E369" s="5">
        <f>IF($A369="","",IFERROR(INDEX(FILTER('Client contacts'!$C$2:$C$500,('Client contacts'!$A$2:$A$500=$A369)*('Client contacts'!$H$2:$H$500="Y"),""),1),""))</f>
        <v/>
      </c>
      <c r="F369" s="5">
        <f>IF($A369="","",IFERROR(INDEX(FILTER('Client contacts'!$B$2:$B$500,('Client contacts'!$A$2:$A$500=$A369)*('Client contacts'!$G$2:$G$500="Y"),""),1),""))</f>
        <v/>
      </c>
      <c r="G369" s="5">
        <f>IF($A369="","",IFERROR(INDEX(FILTER('Client contacts'!$C$2:$C$500,('Client contacts'!$A$2:$A$500=$A369)*('Client contacts'!$G$2:$G$500="Y"),""),1),""))</f>
        <v/>
      </c>
      <c r="H369" s="5">
        <f>IF($A369="","",IFERROR(INDEX(FILTER('Client contacts'!$B$2:$B$500,('Client contacts'!$A$2:$A$500=$A369)*('Client contacts'!$G$2:$G$500="Y"),""),2),""))</f>
        <v/>
      </c>
      <c r="I369" s="5">
        <f>IF($A369="","",IFERROR(INDEX(FILTER('Client contacts'!$C$2:$C$500,('Client contacts'!$A$2:$A$500=$A369)*('Client contacts'!$G$2:$G$500="Y"),""),2),""))</f>
        <v/>
      </c>
      <c r="J369" s="8" t="n"/>
      <c r="K369" s="8" t="n"/>
      <c r="L369" s="8" t="n"/>
      <c r="M369" s="8" t="n"/>
      <c r="N369" s="8" t="n"/>
      <c r="O369" s="8" t="n"/>
      <c r="P369" s="8" t="n"/>
      <c r="Q369" s="8" t="n"/>
      <c r="R369" s="5">
        <f>IF($A369="","",IFERROR(INDEX(Companies!$I$2:$I$500,MATCH($A369,Companies!$A$2:$A$500,0)),""))</f>
        <v/>
      </c>
      <c r="S369" s="8" t="n"/>
      <c r="T369" s="8" t="n"/>
      <c r="U369" s="8" t="n"/>
      <c r="V369" s="8" t="n"/>
      <c r="W369" s="8" t="n"/>
    </row>
    <row r="370">
      <c r="C370" s="5">
        <f>IF($B370="","",TRIM(IF(INDEX('MOA role matrix'!$B$2:$D$13,1,MATCH($B370,'MOA role matrix'!$B$1:$D$1,0))="Fill","Project initiator, ","")IF(INDEX('MOA role matrix'!$B$2:$D$13,1,MATCH($B370,'MOA role matrix'!$B$1:$D$1,0))="If finance","Project initiator (if finance), ","")IF(INDEX('MOA role matrix'!$B$2:$D$13,1,MATCH($B370,'MOA role matrix'!$B$1:$D$1,0))="Auto","Project initiator (auto), ","")IF(INDEX('MOA role matrix'!$B$2:$D$13,2,MATCH($B370,'MOA role matrix'!$B$1:$D$1,0))="Fill","MOA signers (client), ","")IF(INDEX('MOA role matrix'!$B$2:$D$13,2,MATCH($B370,'MOA role matrix'!$B$1:$D$1,0))="If finance","MOA signers (client) (if finance), ","")IF(INDEX('MOA role matrix'!$B$2:$D$13,2,MATCH($B370,'MOA role matrix'!$B$1:$D$1,0))="Auto","MOA signers (client) (auto), ","")IF(INDEX('MOA role matrix'!$B$2:$D$13,3,MATCH($B370,'MOA role matrix'!$B$1:$D$1,0))="Fill","CFO / Head of Finance, ","")IF(INDEX('MOA role matrix'!$B$2:$D$13,3,MATCH($B370,'MOA role matrix'!$B$1:$D$1,0))="If finance","CFO / Head of Finance (if finance), ","")IF(INDEX('MOA role matrix'!$B$2:$D$13,3,MATCH($B370,'MOA role matrix'!$B$1:$D$1,0))="Auto","CFO / Head of Finance (auto), ","")IF(INDEX('MOA role matrix'!$B$2:$D$13,4,MATCH($B370,'MOA role matrix'!$B$1:$D$1,0))="Fill","CEO / COO / GM, ","")IF(INDEX('MOA role matrix'!$B$2:$D$13,4,MATCH($B370,'MOA role matrix'!$B$1:$D$1,0))="If finance","CEO / COO / GM (if finance), ","")IF(INDEX('MOA role matrix'!$B$2:$D$13,4,MATCH($B370,'MOA role matrix'!$B$1:$D$1,0))="Auto","CEO / COO / GM (auto), ","")IF(INDEX('MOA role matrix'!$B$2:$D$13,5,MATCH($B370,'MOA role matrix'!$B$1:$D$1,0))="Fill","Board member 1, ","")IF(INDEX('MOA role matrix'!$B$2:$D$13,5,MATCH($B370,'MOA role matrix'!$B$1:$D$1,0))="If finance","Board member 1 (if finance), ","")IF(INDEX('MOA role matrix'!$B$2:$D$13,5,MATCH($B370,'MOA role matrix'!$B$1:$D$1,0))="Auto","Board member 1 (auto), ","")IF(INDEX('MOA role matrix'!$B$2:$D$13,6,MATCH($B370,'MOA role matrix'!$B$1:$D$1,0))="Fill","Board member 2, ","")IF(INDEX('MOA role matrix'!$B$2:$D$13,6,MATCH($B370,'MOA role matrix'!$B$1:$D$1,0))="If finance","Board member 2 (if finance), ","")IF(INDEX('MOA role matrix'!$B$2:$D$13,6,MATCH($B370,'MOA role matrix'!$B$1:$D$1,0))="Auto","Board member 2 (auto), ","")IF(INDEX('MOA role matrix'!$B$2:$D$13,7,MATCH($B370,'MOA role matrix'!$B$1:$D$1,0))="Fill","LOA holder 1, ","")IF(INDEX('MOA role matrix'!$B$2:$D$13,7,MATCH($B370,'MOA role matrix'!$B$1:$D$1,0))="If finance","LOA holder 1 (if finance), ","")IF(INDEX('MOA role matrix'!$B$2:$D$13,7,MATCH($B370,'MOA role matrix'!$B$1:$D$1,0))="Auto","LOA holder 1 (auto), ","")IF(INDEX('MOA role matrix'!$B$2:$D$13,8,MATCH($B370,'MOA role matrix'!$B$1:$D$1,0))="Fill","LOA holder 2, ","")IF(INDEX('MOA role matrix'!$B$2:$D$13,8,MATCH($B370,'MOA role matrix'!$B$1:$D$1,0))="If finance","LOA holder 2 (if finance), ","")IF(INDEX('MOA role matrix'!$B$2:$D$13,8,MATCH($B370,'MOA role matrix'!$B$1:$D$1,0))="Auto","LOA holder 2 (auto), ","")IF(INDEX('MOA role matrix'!$B$2:$D$13,9,MATCH($B370,'MOA role matrix'!$B$1:$D$1,0))="Fill","Senior Manager CoSec, ","")IF(INDEX('MOA role matrix'!$B$2:$D$13,9,MATCH($B370,'MOA role matrix'!$B$1:$D$1,0))="If finance","Senior Manager CoSec (if finance), ","")IF(INDEX('MOA role matrix'!$B$2:$D$13,9,MATCH($B370,'MOA role matrix'!$B$1:$D$1,0))="Auto","Senior Manager CoSec (auto), ","")IF(INDEX('MOA role matrix'!$B$2:$D$13,10,MATCH($B370,'MOA role matrix'!$B$1:$D$1,0))="Fill","Division MOI managers, ","")IF(INDEX('MOA role matrix'!$B$2:$D$13,10,MATCH($B370,'MOA role matrix'!$B$1:$D$1,0))="If finance","Division MOI managers (if finance), ","")IF(INDEX('MOA role matrix'!$B$2:$D$13,10,MATCH($B370,'MOA role matrix'!$B$1:$D$1,0))="Auto","Division MOI managers (auto), ","")IF(INDEX('MOA role matrix'!$B$2:$D$13,11,MATCH($B370,'MOA role matrix'!$B$1:$D$1,0))="Fill","Ms Teh (bank), ","")IF(INDEX('MOA role matrix'!$B$2:$D$13,11,MATCH($B370,'MOA role matrix'!$B$1:$D$1,0))="If finance","Ms Teh (bank) (if finance), ","")IF(INDEX('MOA role matrix'!$B$2:$D$13,11,MATCH($B370,'MOA role matrix'!$B$1:$D$1,0))="Auto","Ms Teh (bank) (auto), ","")IF(INDEX('MOA role matrix'!$B$2:$D$13,12,MATCH($B370,'MOA role matrix'!$B$1:$D$1,0))="Fill","DLCM, ","")IF(INDEX('MOA role matrix'!$B$2:$D$13,12,MATCH($B370,'MOA role matrix'!$B$1:$D$1,0))="If finance","DLCM (if finance), ","")IF(INDEX('MOA role matrix'!$B$2:$D$13,12,MATCH($B370,'MOA role matrix'!$B$1:$D$1,0))="Auto","DLCM (auto), ","")))</f>
        <v/>
      </c>
      <c r="D370" s="5">
        <f>IF($A370="","",IFERROR(INDEX(FILTER('Client contacts'!$B$2:$B$500,('Client contacts'!$A$2:$A$500=$A370)*('Client contacts'!$H$2:$H$500="Y"),""),1),""))</f>
        <v/>
      </c>
      <c r="E370" s="5">
        <f>IF($A370="","",IFERROR(INDEX(FILTER('Client contacts'!$C$2:$C$500,('Client contacts'!$A$2:$A$500=$A370)*('Client contacts'!$H$2:$H$500="Y"),""),1),""))</f>
        <v/>
      </c>
      <c r="F370" s="5">
        <f>IF($A370="","",IFERROR(INDEX(FILTER('Client contacts'!$B$2:$B$500,('Client contacts'!$A$2:$A$500=$A370)*('Client contacts'!$G$2:$G$500="Y"),""),1),""))</f>
        <v/>
      </c>
      <c r="G370" s="5">
        <f>IF($A370="","",IFERROR(INDEX(FILTER('Client contacts'!$C$2:$C$500,('Client contacts'!$A$2:$A$500=$A370)*('Client contacts'!$G$2:$G$500="Y"),""),1),""))</f>
        <v/>
      </c>
      <c r="H370" s="5">
        <f>IF($A370="","",IFERROR(INDEX(FILTER('Client contacts'!$B$2:$B$500,('Client contacts'!$A$2:$A$500=$A370)*('Client contacts'!$G$2:$G$500="Y"),""),2),""))</f>
        <v/>
      </c>
      <c r="I370" s="5">
        <f>IF($A370="","",IFERROR(INDEX(FILTER('Client contacts'!$C$2:$C$500,('Client contacts'!$A$2:$A$500=$A370)*('Client contacts'!$G$2:$G$500="Y"),""),2),""))</f>
        <v/>
      </c>
      <c r="J370" s="8" t="n"/>
      <c r="K370" s="8" t="n"/>
      <c r="L370" s="8" t="n"/>
      <c r="M370" s="8" t="n"/>
      <c r="N370" s="8" t="n"/>
      <c r="O370" s="8" t="n"/>
      <c r="P370" s="8" t="n"/>
      <c r="Q370" s="8" t="n"/>
      <c r="R370" s="5">
        <f>IF($A370="","",IFERROR(INDEX(Companies!$I$2:$I$500,MATCH($A370,Companies!$A$2:$A$500,0)),""))</f>
        <v/>
      </c>
      <c r="S370" s="8" t="n"/>
      <c r="T370" s="8" t="n"/>
      <c r="U370" s="8" t="n"/>
      <c r="V370" s="8" t="n"/>
      <c r="W370" s="8" t="n"/>
    </row>
    <row r="371">
      <c r="C371" s="5">
        <f>IF($B371="","",TRIM(IF(INDEX('MOA role matrix'!$B$2:$D$13,1,MATCH($B371,'MOA role matrix'!$B$1:$D$1,0))="Fill","Project initiator, ","")IF(INDEX('MOA role matrix'!$B$2:$D$13,1,MATCH($B371,'MOA role matrix'!$B$1:$D$1,0))="If finance","Project initiator (if finance), ","")IF(INDEX('MOA role matrix'!$B$2:$D$13,1,MATCH($B371,'MOA role matrix'!$B$1:$D$1,0))="Auto","Project initiator (auto), ","")IF(INDEX('MOA role matrix'!$B$2:$D$13,2,MATCH($B371,'MOA role matrix'!$B$1:$D$1,0))="Fill","MOA signers (client), ","")IF(INDEX('MOA role matrix'!$B$2:$D$13,2,MATCH($B371,'MOA role matrix'!$B$1:$D$1,0))="If finance","MOA signers (client) (if finance), ","")IF(INDEX('MOA role matrix'!$B$2:$D$13,2,MATCH($B371,'MOA role matrix'!$B$1:$D$1,0))="Auto","MOA signers (client) (auto), ","")IF(INDEX('MOA role matrix'!$B$2:$D$13,3,MATCH($B371,'MOA role matrix'!$B$1:$D$1,0))="Fill","CFO / Head of Finance, ","")IF(INDEX('MOA role matrix'!$B$2:$D$13,3,MATCH($B371,'MOA role matrix'!$B$1:$D$1,0))="If finance","CFO / Head of Finance (if finance), ","")IF(INDEX('MOA role matrix'!$B$2:$D$13,3,MATCH($B371,'MOA role matrix'!$B$1:$D$1,0))="Auto","CFO / Head of Finance (auto), ","")IF(INDEX('MOA role matrix'!$B$2:$D$13,4,MATCH($B371,'MOA role matrix'!$B$1:$D$1,0))="Fill","CEO / COO / GM, ","")IF(INDEX('MOA role matrix'!$B$2:$D$13,4,MATCH($B371,'MOA role matrix'!$B$1:$D$1,0))="If finance","CEO / COO / GM (if finance), ","")IF(INDEX('MOA role matrix'!$B$2:$D$13,4,MATCH($B371,'MOA role matrix'!$B$1:$D$1,0))="Auto","CEO / COO / GM (auto), ","")IF(INDEX('MOA role matrix'!$B$2:$D$13,5,MATCH($B371,'MOA role matrix'!$B$1:$D$1,0))="Fill","Board member 1, ","")IF(INDEX('MOA role matrix'!$B$2:$D$13,5,MATCH($B371,'MOA role matrix'!$B$1:$D$1,0))="If finance","Board member 1 (if finance), ","")IF(INDEX('MOA role matrix'!$B$2:$D$13,5,MATCH($B371,'MOA role matrix'!$B$1:$D$1,0))="Auto","Board member 1 (auto), ","")IF(INDEX('MOA role matrix'!$B$2:$D$13,6,MATCH($B371,'MOA role matrix'!$B$1:$D$1,0))="Fill","Board member 2, ","")IF(INDEX('MOA role matrix'!$B$2:$D$13,6,MATCH($B371,'MOA role matrix'!$B$1:$D$1,0))="If finance","Board member 2 (if finance), ","")IF(INDEX('MOA role matrix'!$B$2:$D$13,6,MATCH($B371,'MOA role matrix'!$B$1:$D$1,0))="Auto","Board member 2 (auto), ","")IF(INDEX('MOA role matrix'!$B$2:$D$13,7,MATCH($B371,'MOA role matrix'!$B$1:$D$1,0))="Fill","LOA holder 1, ","")IF(INDEX('MOA role matrix'!$B$2:$D$13,7,MATCH($B371,'MOA role matrix'!$B$1:$D$1,0))="If finance","LOA holder 1 (if finance), ","")IF(INDEX('MOA role matrix'!$B$2:$D$13,7,MATCH($B371,'MOA role matrix'!$B$1:$D$1,0))="Auto","LOA holder 1 (auto), ","")IF(INDEX('MOA role matrix'!$B$2:$D$13,8,MATCH($B371,'MOA role matrix'!$B$1:$D$1,0))="Fill","LOA holder 2, ","")IF(INDEX('MOA role matrix'!$B$2:$D$13,8,MATCH($B371,'MOA role matrix'!$B$1:$D$1,0))="If finance","LOA holder 2 (if finance), ","")IF(INDEX('MOA role matrix'!$B$2:$D$13,8,MATCH($B371,'MOA role matrix'!$B$1:$D$1,0))="Auto","LOA holder 2 (auto), ","")IF(INDEX('MOA role matrix'!$B$2:$D$13,9,MATCH($B371,'MOA role matrix'!$B$1:$D$1,0))="Fill","Senior Manager CoSec, ","")IF(INDEX('MOA role matrix'!$B$2:$D$13,9,MATCH($B371,'MOA role matrix'!$B$1:$D$1,0))="If finance","Senior Manager CoSec (if finance), ","")IF(INDEX('MOA role matrix'!$B$2:$D$13,9,MATCH($B371,'MOA role matrix'!$B$1:$D$1,0))="Auto","Senior Manager CoSec (auto), ","")IF(INDEX('MOA role matrix'!$B$2:$D$13,10,MATCH($B371,'MOA role matrix'!$B$1:$D$1,0))="Fill","Division MOI managers, ","")IF(INDEX('MOA role matrix'!$B$2:$D$13,10,MATCH($B371,'MOA role matrix'!$B$1:$D$1,0))="If finance","Division MOI managers (if finance), ","")IF(INDEX('MOA role matrix'!$B$2:$D$13,10,MATCH($B371,'MOA role matrix'!$B$1:$D$1,0))="Auto","Division MOI managers (auto), ","")IF(INDEX('MOA role matrix'!$B$2:$D$13,11,MATCH($B371,'MOA role matrix'!$B$1:$D$1,0))="Fill","Ms Teh (bank), ","")IF(INDEX('MOA role matrix'!$B$2:$D$13,11,MATCH($B371,'MOA role matrix'!$B$1:$D$1,0))="If finance","Ms Teh (bank) (if finance), ","")IF(INDEX('MOA role matrix'!$B$2:$D$13,11,MATCH($B371,'MOA role matrix'!$B$1:$D$1,0))="Auto","Ms Teh (bank) (auto), ","")IF(INDEX('MOA role matrix'!$B$2:$D$13,12,MATCH($B371,'MOA role matrix'!$B$1:$D$1,0))="Fill","DLCM, ","")IF(INDEX('MOA role matrix'!$B$2:$D$13,12,MATCH($B371,'MOA role matrix'!$B$1:$D$1,0))="If finance","DLCM (if finance), ","")IF(INDEX('MOA role matrix'!$B$2:$D$13,12,MATCH($B371,'MOA role matrix'!$B$1:$D$1,0))="Auto","DLCM (auto), ","")))</f>
        <v/>
      </c>
      <c r="D371" s="5">
        <f>IF($A371="","",IFERROR(INDEX(FILTER('Client contacts'!$B$2:$B$500,('Client contacts'!$A$2:$A$500=$A371)*('Client contacts'!$H$2:$H$500="Y"),""),1),""))</f>
        <v/>
      </c>
      <c r="E371" s="5">
        <f>IF($A371="","",IFERROR(INDEX(FILTER('Client contacts'!$C$2:$C$500,('Client contacts'!$A$2:$A$500=$A371)*('Client contacts'!$H$2:$H$500="Y"),""),1),""))</f>
        <v/>
      </c>
      <c r="F371" s="5">
        <f>IF($A371="","",IFERROR(INDEX(FILTER('Client contacts'!$B$2:$B$500,('Client contacts'!$A$2:$A$500=$A371)*('Client contacts'!$G$2:$G$500="Y"),""),1),""))</f>
        <v/>
      </c>
      <c r="G371" s="5">
        <f>IF($A371="","",IFERROR(INDEX(FILTER('Client contacts'!$C$2:$C$500,('Client contacts'!$A$2:$A$500=$A371)*('Client contacts'!$G$2:$G$500="Y"),""),1),""))</f>
        <v/>
      </c>
      <c r="H371" s="5">
        <f>IF($A371="","",IFERROR(INDEX(FILTER('Client contacts'!$B$2:$B$500,('Client contacts'!$A$2:$A$500=$A371)*('Client contacts'!$G$2:$G$500="Y"),""),2),""))</f>
        <v/>
      </c>
      <c r="I371" s="5">
        <f>IF($A371="","",IFERROR(INDEX(FILTER('Client contacts'!$C$2:$C$500,('Client contacts'!$A$2:$A$500=$A371)*('Client contacts'!$G$2:$G$500="Y"),""),2),""))</f>
        <v/>
      </c>
      <c r="J371" s="8" t="n"/>
      <c r="K371" s="8" t="n"/>
      <c r="L371" s="8" t="n"/>
      <c r="M371" s="8" t="n"/>
      <c r="N371" s="8" t="n"/>
      <c r="O371" s="8" t="n"/>
      <c r="P371" s="8" t="n"/>
      <c r="Q371" s="8" t="n"/>
      <c r="R371" s="5">
        <f>IF($A371="","",IFERROR(INDEX(Companies!$I$2:$I$500,MATCH($A371,Companies!$A$2:$A$500,0)),""))</f>
        <v/>
      </c>
      <c r="S371" s="8" t="n"/>
      <c r="T371" s="8" t="n"/>
      <c r="U371" s="8" t="n"/>
      <c r="V371" s="8" t="n"/>
      <c r="W371" s="8" t="n"/>
    </row>
    <row r="372">
      <c r="C372" s="5">
        <f>IF($B372="","",TRIM(IF(INDEX('MOA role matrix'!$B$2:$D$13,1,MATCH($B372,'MOA role matrix'!$B$1:$D$1,0))="Fill","Project initiator, ","")IF(INDEX('MOA role matrix'!$B$2:$D$13,1,MATCH($B372,'MOA role matrix'!$B$1:$D$1,0))="If finance","Project initiator (if finance), ","")IF(INDEX('MOA role matrix'!$B$2:$D$13,1,MATCH($B372,'MOA role matrix'!$B$1:$D$1,0))="Auto","Project initiator (auto), ","")IF(INDEX('MOA role matrix'!$B$2:$D$13,2,MATCH($B372,'MOA role matrix'!$B$1:$D$1,0))="Fill","MOA signers (client), ","")IF(INDEX('MOA role matrix'!$B$2:$D$13,2,MATCH($B372,'MOA role matrix'!$B$1:$D$1,0))="If finance","MOA signers (client) (if finance), ","")IF(INDEX('MOA role matrix'!$B$2:$D$13,2,MATCH($B372,'MOA role matrix'!$B$1:$D$1,0))="Auto","MOA signers (client) (auto), ","")IF(INDEX('MOA role matrix'!$B$2:$D$13,3,MATCH($B372,'MOA role matrix'!$B$1:$D$1,0))="Fill","CFO / Head of Finance, ","")IF(INDEX('MOA role matrix'!$B$2:$D$13,3,MATCH($B372,'MOA role matrix'!$B$1:$D$1,0))="If finance","CFO / Head of Finance (if finance), ","")IF(INDEX('MOA role matrix'!$B$2:$D$13,3,MATCH($B372,'MOA role matrix'!$B$1:$D$1,0))="Auto","CFO / Head of Finance (auto), ","")IF(INDEX('MOA role matrix'!$B$2:$D$13,4,MATCH($B372,'MOA role matrix'!$B$1:$D$1,0))="Fill","CEO / COO / GM, ","")IF(INDEX('MOA role matrix'!$B$2:$D$13,4,MATCH($B372,'MOA role matrix'!$B$1:$D$1,0))="If finance","CEO / COO / GM (if finance), ","")IF(INDEX('MOA role matrix'!$B$2:$D$13,4,MATCH($B372,'MOA role matrix'!$B$1:$D$1,0))="Auto","CEO / COO / GM (auto), ","")IF(INDEX('MOA role matrix'!$B$2:$D$13,5,MATCH($B372,'MOA role matrix'!$B$1:$D$1,0))="Fill","Board member 1, ","")IF(INDEX('MOA role matrix'!$B$2:$D$13,5,MATCH($B372,'MOA role matrix'!$B$1:$D$1,0))="If finance","Board member 1 (if finance), ","")IF(INDEX('MOA role matrix'!$B$2:$D$13,5,MATCH($B372,'MOA role matrix'!$B$1:$D$1,0))="Auto","Board member 1 (auto), ","")IF(INDEX('MOA role matrix'!$B$2:$D$13,6,MATCH($B372,'MOA role matrix'!$B$1:$D$1,0))="Fill","Board member 2, ","")IF(INDEX('MOA role matrix'!$B$2:$D$13,6,MATCH($B372,'MOA role matrix'!$B$1:$D$1,0))="If finance","Board member 2 (if finance), ","")IF(INDEX('MOA role matrix'!$B$2:$D$13,6,MATCH($B372,'MOA role matrix'!$B$1:$D$1,0))="Auto","Board member 2 (auto), ","")IF(INDEX('MOA role matrix'!$B$2:$D$13,7,MATCH($B372,'MOA role matrix'!$B$1:$D$1,0))="Fill","LOA holder 1, ","")IF(INDEX('MOA role matrix'!$B$2:$D$13,7,MATCH($B372,'MOA role matrix'!$B$1:$D$1,0))="If finance","LOA holder 1 (if finance), ","")IF(INDEX('MOA role matrix'!$B$2:$D$13,7,MATCH($B372,'MOA role matrix'!$B$1:$D$1,0))="Auto","LOA holder 1 (auto), ","")IF(INDEX('MOA role matrix'!$B$2:$D$13,8,MATCH($B372,'MOA role matrix'!$B$1:$D$1,0))="Fill","LOA holder 2, ","")IF(INDEX('MOA role matrix'!$B$2:$D$13,8,MATCH($B372,'MOA role matrix'!$B$1:$D$1,0))="If finance","LOA holder 2 (if finance), ","")IF(INDEX('MOA role matrix'!$B$2:$D$13,8,MATCH($B372,'MOA role matrix'!$B$1:$D$1,0))="Auto","LOA holder 2 (auto), ","")IF(INDEX('MOA role matrix'!$B$2:$D$13,9,MATCH($B372,'MOA role matrix'!$B$1:$D$1,0))="Fill","Senior Manager CoSec, ","")IF(INDEX('MOA role matrix'!$B$2:$D$13,9,MATCH($B372,'MOA role matrix'!$B$1:$D$1,0))="If finance","Senior Manager CoSec (if finance), ","")IF(INDEX('MOA role matrix'!$B$2:$D$13,9,MATCH($B372,'MOA role matrix'!$B$1:$D$1,0))="Auto","Senior Manager CoSec (auto), ","")IF(INDEX('MOA role matrix'!$B$2:$D$13,10,MATCH($B372,'MOA role matrix'!$B$1:$D$1,0))="Fill","Division MOI managers, ","")IF(INDEX('MOA role matrix'!$B$2:$D$13,10,MATCH($B372,'MOA role matrix'!$B$1:$D$1,0))="If finance","Division MOI managers (if finance), ","")IF(INDEX('MOA role matrix'!$B$2:$D$13,10,MATCH($B372,'MOA role matrix'!$B$1:$D$1,0))="Auto","Division MOI managers (auto), ","")IF(INDEX('MOA role matrix'!$B$2:$D$13,11,MATCH($B372,'MOA role matrix'!$B$1:$D$1,0))="Fill","Ms Teh (bank), ","")IF(INDEX('MOA role matrix'!$B$2:$D$13,11,MATCH($B372,'MOA role matrix'!$B$1:$D$1,0))="If finance","Ms Teh (bank) (if finance), ","")IF(INDEX('MOA role matrix'!$B$2:$D$13,11,MATCH($B372,'MOA role matrix'!$B$1:$D$1,0))="Auto","Ms Teh (bank) (auto), ","")IF(INDEX('MOA role matrix'!$B$2:$D$13,12,MATCH($B372,'MOA role matrix'!$B$1:$D$1,0))="Fill","DLCM, ","")IF(INDEX('MOA role matrix'!$B$2:$D$13,12,MATCH($B372,'MOA role matrix'!$B$1:$D$1,0))="If finance","DLCM (if finance), ","")IF(INDEX('MOA role matrix'!$B$2:$D$13,12,MATCH($B372,'MOA role matrix'!$B$1:$D$1,0))="Auto","DLCM (auto), ","")))</f>
        <v/>
      </c>
      <c r="D372" s="5">
        <f>IF($A372="","",IFERROR(INDEX(FILTER('Client contacts'!$B$2:$B$500,('Client contacts'!$A$2:$A$500=$A372)*('Client contacts'!$H$2:$H$500="Y"),""),1),""))</f>
        <v/>
      </c>
      <c r="E372" s="5">
        <f>IF($A372="","",IFERROR(INDEX(FILTER('Client contacts'!$C$2:$C$500,('Client contacts'!$A$2:$A$500=$A372)*('Client contacts'!$H$2:$H$500="Y"),""),1),""))</f>
        <v/>
      </c>
      <c r="F372" s="5">
        <f>IF($A372="","",IFERROR(INDEX(FILTER('Client contacts'!$B$2:$B$500,('Client contacts'!$A$2:$A$500=$A372)*('Client contacts'!$G$2:$G$500="Y"),""),1),""))</f>
        <v/>
      </c>
      <c r="G372" s="5">
        <f>IF($A372="","",IFERROR(INDEX(FILTER('Client contacts'!$C$2:$C$500,('Client contacts'!$A$2:$A$500=$A372)*('Client contacts'!$G$2:$G$500="Y"),""),1),""))</f>
        <v/>
      </c>
      <c r="H372" s="5">
        <f>IF($A372="","",IFERROR(INDEX(FILTER('Client contacts'!$B$2:$B$500,('Client contacts'!$A$2:$A$500=$A372)*('Client contacts'!$G$2:$G$500="Y"),""),2),""))</f>
        <v/>
      </c>
      <c r="I372" s="5">
        <f>IF($A372="","",IFERROR(INDEX(FILTER('Client contacts'!$C$2:$C$500,('Client contacts'!$A$2:$A$500=$A372)*('Client contacts'!$G$2:$G$500="Y"),""),2),""))</f>
        <v/>
      </c>
      <c r="J372" s="8" t="n"/>
      <c r="K372" s="8" t="n"/>
      <c r="L372" s="8" t="n"/>
      <c r="M372" s="8" t="n"/>
      <c r="N372" s="8" t="n"/>
      <c r="O372" s="8" t="n"/>
      <c r="P372" s="8" t="n"/>
      <c r="Q372" s="8" t="n"/>
      <c r="R372" s="5">
        <f>IF($A372="","",IFERROR(INDEX(Companies!$I$2:$I$500,MATCH($A372,Companies!$A$2:$A$500,0)),""))</f>
        <v/>
      </c>
      <c r="S372" s="8" t="n"/>
      <c r="T372" s="8" t="n"/>
      <c r="U372" s="8" t="n"/>
      <c r="V372" s="8" t="n"/>
      <c r="W372" s="8" t="n"/>
    </row>
    <row r="373">
      <c r="C373" s="5">
        <f>IF($B373="","",TRIM(IF(INDEX('MOA role matrix'!$B$2:$D$13,1,MATCH($B373,'MOA role matrix'!$B$1:$D$1,0))="Fill","Project initiator, ","")IF(INDEX('MOA role matrix'!$B$2:$D$13,1,MATCH($B373,'MOA role matrix'!$B$1:$D$1,0))="If finance","Project initiator (if finance), ","")IF(INDEX('MOA role matrix'!$B$2:$D$13,1,MATCH($B373,'MOA role matrix'!$B$1:$D$1,0))="Auto","Project initiator (auto), ","")IF(INDEX('MOA role matrix'!$B$2:$D$13,2,MATCH($B373,'MOA role matrix'!$B$1:$D$1,0))="Fill","MOA signers (client), ","")IF(INDEX('MOA role matrix'!$B$2:$D$13,2,MATCH($B373,'MOA role matrix'!$B$1:$D$1,0))="If finance","MOA signers (client) (if finance), ","")IF(INDEX('MOA role matrix'!$B$2:$D$13,2,MATCH($B373,'MOA role matrix'!$B$1:$D$1,0))="Auto","MOA signers (client) (auto), ","")IF(INDEX('MOA role matrix'!$B$2:$D$13,3,MATCH($B373,'MOA role matrix'!$B$1:$D$1,0))="Fill","CFO / Head of Finance, ","")IF(INDEX('MOA role matrix'!$B$2:$D$13,3,MATCH($B373,'MOA role matrix'!$B$1:$D$1,0))="If finance","CFO / Head of Finance (if finance), ","")IF(INDEX('MOA role matrix'!$B$2:$D$13,3,MATCH($B373,'MOA role matrix'!$B$1:$D$1,0))="Auto","CFO / Head of Finance (auto), ","")IF(INDEX('MOA role matrix'!$B$2:$D$13,4,MATCH($B373,'MOA role matrix'!$B$1:$D$1,0))="Fill","CEO / COO / GM, ","")IF(INDEX('MOA role matrix'!$B$2:$D$13,4,MATCH($B373,'MOA role matrix'!$B$1:$D$1,0))="If finance","CEO / COO / GM (if finance), ","")IF(INDEX('MOA role matrix'!$B$2:$D$13,4,MATCH($B373,'MOA role matrix'!$B$1:$D$1,0))="Auto","CEO / COO / GM (auto), ","")IF(INDEX('MOA role matrix'!$B$2:$D$13,5,MATCH($B373,'MOA role matrix'!$B$1:$D$1,0))="Fill","Board member 1, ","")IF(INDEX('MOA role matrix'!$B$2:$D$13,5,MATCH($B373,'MOA role matrix'!$B$1:$D$1,0))="If finance","Board member 1 (if finance), ","")IF(INDEX('MOA role matrix'!$B$2:$D$13,5,MATCH($B373,'MOA role matrix'!$B$1:$D$1,0))="Auto","Board member 1 (auto), ","")IF(INDEX('MOA role matrix'!$B$2:$D$13,6,MATCH($B373,'MOA role matrix'!$B$1:$D$1,0))="Fill","Board member 2, ","")IF(INDEX('MOA role matrix'!$B$2:$D$13,6,MATCH($B373,'MOA role matrix'!$B$1:$D$1,0))="If finance","Board member 2 (if finance), ","")IF(INDEX('MOA role matrix'!$B$2:$D$13,6,MATCH($B373,'MOA role matrix'!$B$1:$D$1,0))="Auto","Board member 2 (auto), ","")IF(INDEX('MOA role matrix'!$B$2:$D$13,7,MATCH($B373,'MOA role matrix'!$B$1:$D$1,0))="Fill","LOA holder 1, ","")IF(INDEX('MOA role matrix'!$B$2:$D$13,7,MATCH($B373,'MOA role matrix'!$B$1:$D$1,0))="If finance","LOA holder 1 (if finance), ","")IF(INDEX('MOA role matrix'!$B$2:$D$13,7,MATCH($B373,'MOA role matrix'!$B$1:$D$1,0))="Auto","LOA holder 1 (auto), ","")IF(INDEX('MOA role matrix'!$B$2:$D$13,8,MATCH($B373,'MOA role matrix'!$B$1:$D$1,0))="Fill","LOA holder 2, ","")IF(INDEX('MOA role matrix'!$B$2:$D$13,8,MATCH($B373,'MOA role matrix'!$B$1:$D$1,0))="If finance","LOA holder 2 (if finance), ","")IF(INDEX('MOA role matrix'!$B$2:$D$13,8,MATCH($B373,'MOA role matrix'!$B$1:$D$1,0))="Auto","LOA holder 2 (auto), ","")IF(INDEX('MOA role matrix'!$B$2:$D$13,9,MATCH($B373,'MOA role matrix'!$B$1:$D$1,0))="Fill","Senior Manager CoSec, ","")IF(INDEX('MOA role matrix'!$B$2:$D$13,9,MATCH($B373,'MOA role matrix'!$B$1:$D$1,0))="If finance","Senior Manager CoSec (if finance), ","")IF(INDEX('MOA role matrix'!$B$2:$D$13,9,MATCH($B373,'MOA role matrix'!$B$1:$D$1,0))="Auto","Senior Manager CoSec (auto), ","")IF(INDEX('MOA role matrix'!$B$2:$D$13,10,MATCH($B373,'MOA role matrix'!$B$1:$D$1,0))="Fill","Division MOI managers, ","")IF(INDEX('MOA role matrix'!$B$2:$D$13,10,MATCH($B373,'MOA role matrix'!$B$1:$D$1,0))="If finance","Division MOI managers (if finance), ","")IF(INDEX('MOA role matrix'!$B$2:$D$13,10,MATCH($B373,'MOA role matrix'!$B$1:$D$1,0))="Auto","Division MOI managers (auto), ","")IF(INDEX('MOA role matrix'!$B$2:$D$13,11,MATCH($B373,'MOA role matrix'!$B$1:$D$1,0))="Fill","Ms Teh (bank), ","")IF(INDEX('MOA role matrix'!$B$2:$D$13,11,MATCH($B373,'MOA role matrix'!$B$1:$D$1,0))="If finance","Ms Teh (bank) (if finance), ","")IF(INDEX('MOA role matrix'!$B$2:$D$13,11,MATCH($B373,'MOA role matrix'!$B$1:$D$1,0))="Auto","Ms Teh (bank) (auto), ","")IF(INDEX('MOA role matrix'!$B$2:$D$13,12,MATCH($B373,'MOA role matrix'!$B$1:$D$1,0))="Fill","DLCM, ","")IF(INDEX('MOA role matrix'!$B$2:$D$13,12,MATCH($B373,'MOA role matrix'!$B$1:$D$1,0))="If finance","DLCM (if finance), ","")IF(INDEX('MOA role matrix'!$B$2:$D$13,12,MATCH($B373,'MOA role matrix'!$B$1:$D$1,0))="Auto","DLCM (auto), ","")))</f>
        <v/>
      </c>
      <c r="D373" s="5">
        <f>IF($A373="","",IFERROR(INDEX(FILTER('Client contacts'!$B$2:$B$500,('Client contacts'!$A$2:$A$500=$A373)*('Client contacts'!$H$2:$H$500="Y"),""),1),""))</f>
        <v/>
      </c>
      <c r="E373" s="5">
        <f>IF($A373="","",IFERROR(INDEX(FILTER('Client contacts'!$C$2:$C$500,('Client contacts'!$A$2:$A$500=$A373)*('Client contacts'!$H$2:$H$500="Y"),""),1),""))</f>
        <v/>
      </c>
      <c r="F373" s="5">
        <f>IF($A373="","",IFERROR(INDEX(FILTER('Client contacts'!$B$2:$B$500,('Client contacts'!$A$2:$A$500=$A373)*('Client contacts'!$G$2:$G$500="Y"),""),1),""))</f>
        <v/>
      </c>
      <c r="G373" s="5">
        <f>IF($A373="","",IFERROR(INDEX(FILTER('Client contacts'!$C$2:$C$500,('Client contacts'!$A$2:$A$500=$A373)*('Client contacts'!$G$2:$G$500="Y"),""),1),""))</f>
        <v/>
      </c>
      <c r="H373" s="5">
        <f>IF($A373="","",IFERROR(INDEX(FILTER('Client contacts'!$B$2:$B$500,('Client contacts'!$A$2:$A$500=$A373)*('Client contacts'!$G$2:$G$500="Y"),""),2),""))</f>
        <v/>
      </c>
      <c r="I373" s="5">
        <f>IF($A373="","",IFERROR(INDEX(FILTER('Client contacts'!$C$2:$C$500,('Client contacts'!$A$2:$A$500=$A373)*('Client contacts'!$G$2:$G$500="Y"),""),2),""))</f>
        <v/>
      </c>
      <c r="J373" s="8" t="n"/>
      <c r="K373" s="8" t="n"/>
      <c r="L373" s="8" t="n"/>
      <c r="M373" s="8" t="n"/>
      <c r="N373" s="8" t="n"/>
      <c r="O373" s="8" t="n"/>
      <c r="P373" s="8" t="n"/>
      <c r="Q373" s="8" t="n"/>
      <c r="R373" s="5">
        <f>IF($A373="","",IFERROR(INDEX(Companies!$I$2:$I$500,MATCH($A373,Companies!$A$2:$A$500,0)),""))</f>
        <v/>
      </c>
      <c r="S373" s="8" t="n"/>
      <c r="T373" s="8" t="n"/>
      <c r="U373" s="8" t="n"/>
      <c r="V373" s="8" t="n"/>
      <c r="W373" s="8" t="n"/>
    </row>
    <row r="374">
      <c r="C374" s="5">
        <f>IF($B374="","",TRIM(IF(INDEX('MOA role matrix'!$B$2:$D$13,1,MATCH($B374,'MOA role matrix'!$B$1:$D$1,0))="Fill","Project initiator, ","")IF(INDEX('MOA role matrix'!$B$2:$D$13,1,MATCH($B374,'MOA role matrix'!$B$1:$D$1,0))="If finance","Project initiator (if finance), ","")IF(INDEX('MOA role matrix'!$B$2:$D$13,1,MATCH($B374,'MOA role matrix'!$B$1:$D$1,0))="Auto","Project initiator (auto), ","")IF(INDEX('MOA role matrix'!$B$2:$D$13,2,MATCH($B374,'MOA role matrix'!$B$1:$D$1,0))="Fill","MOA signers (client), ","")IF(INDEX('MOA role matrix'!$B$2:$D$13,2,MATCH($B374,'MOA role matrix'!$B$1:$D$1,0))="If finance","MOA signers (client) (if finance), ","")IF(INDEX('MOA role matrix'!$B$2:$D$13,2,MATCH($B374,'MOA role matrix'!$B$1:$D$1,0))="Auto","MOA signers (client) (auto), ","")IF(INDEX('MOA role matrix'!$B$2:$D$13,3,MATCH($B374,'MOA role matrix'!$B$1:$D$1,0))="Fill","CFO / Head of Finance, ","")IF(INDEX('MOA role matrix'!$B$2:$D$13,3,MATCH($B374,'MOA role matrix'!$B$1:$D$1,0))="If finance","CFO / Head of Finance (if finance), ","")IF(INDEX('MOA role matrix'!$B$2:$D$13,3,MATCH($B374,'MOA role matrix'!$B$1:$D$1,0))="Auto","CFO / Head of Finance (auto), ","")IF(INDEX('MOA role matrix'!$B$2:$D$13,4,MATCH($B374,'MOA role matrix'!$B$1:$D$1,0))="Fill","CEO / COO / GM, ","")IF(INDEX('MOA role matrix'!$B$2:$D$13,4,MATCH($B374,'MOA role matrix'!$B$1:$D$1,0))="If finance","CEO / COO / GM (if finance), ","")IF(INDEX('MOA role matrix'!$B$2:$D$13,4,MATCH($B374,'MOA role matrix'!$B$1:$D$1,0))="Auto","CEO / COO / GM (auto), ","")IF(INDEX('MOA role matrix'!$B$2:$D$13,5,MATCH($B374,'MOA role matrix'!$B$1:$D$1,0))="Fill","Board member 1, ","")IF(INDEX('MOA role matrix'!$B$2:$D$13,5,MATCH($B374,'MOA role matrix'!$B$1:$D$1,0))="If finance","Board member 1 (if finance), ","")IF(INDEX('MOA role matrix'!$B$2:$D$13,5,MATCH($B374,'MOA role matrix'!$B$1:$D$1,0))="Auto","Board member 1 (auto), ","")IF(INDEX('MOA role matrix'!$B$2:$D$13,6,MATCH($B374,'MOA role matrix'!$B$1:$D$1,0))="Fill","Board member 2, ","")IF(INDEX('MOA role matrix'!$B$2:$D$13,6,MATCH($B374,'MOA role matrix'!$B$1:$D$1,0))="If finance","Board member 2 (if finance), ","")IF(INDEX('MOA role matrix'!$B$2:$D$13,6,MATCH($B374,'MOA role matrix'!$B$1:$D$1,0))="Auto","Board member 2 (auto), ","")IF(INDEX('MOA role matrix'!$B$2:$D$13,7,MATCH($B374,'MOA role matrix'!$B$1:$D$1,0))="Fill","LOA holder 1, ","")IF(INDEX('MOA role matrix'!$B$2:$D$13,7,MATCH($B374,'MOA role matrix'!$B$1:$D$1,0))="If finance","LOA holder 1 (if finance), ","")IF(INDEX('MOA role matrix'!$B$2:$D$13,7,MATCH($B374,'MOA role matrix'!$B$1:$D$1,0))="Auto","LOA holder 1 (auto), ","")IF(INDEX('MOA role matrix'!$B$2:$D$13,8,MATCH($B374,'MOA role matrix'!$B$1:$D$1,0))="Fill","LOA holder 2, ","")IF(INDEX('MOA role matrix'!$B$2:$D$13,8,MATCH($B374,'MOA role matrix'!$B$1:$D$1,0))="If finance","LOA holder 2 (if finance), ","")IF(INDEX('MOA role matrix'!$B$2:$D$13,8,MATCH($B374,'MOA role matrix'!$B$1:$D$1,0))="Auto","LOA holder 2 (auto), ","")IF(INDEX('MOA role matrix'!$B$2:$D$13,9,MATCH($B374,'MOA role matrix'!$B$1:$D$1,0))="Fill","Senior Manager CoSec, ","")IF(INDEX('MOA role matrix'!$B$2:$D$13,9,MATCH($B374,'MOA role matrix'!$B$1:$D$1,0))="If finance","Senior Manager CoSec (if finance), ","")IF(INDEX('MOA role matrix'!$B$2:$D$13,9,MATCH($B374,'MOA role matrix'!$B$1:$D$1,0))="Auto","Senior Manager CoSec (auto), ","")IF(INDEX('MOA role matrix'!$B$2:$D$13,10,MATCH($B374,'MOA role matrix'!$B$1:$D$1,0))="Fill","Division MOI managers, ","")IF(INDEX('MOA role matrix'!$B$2:$D$13,10,MATCH($B374,'MOA role matrix'!$B$1:$D$1,0))="If finance","Division MOI managers (if finance), ","")IF(INDEX('MOA role matrix'!$B$2:$D$13,10,MATCH($B374,'MOA role matrix'!$B$1:$D$1,0))="Auto","Division MOI managers (auto), ","")IF(INDEX('MOA role matrix'!$B$2:$D$13,11,MATCH($B374,'MOA role matrix'!$B$1:$D$1,0))="Fill","Ms Teh (bank), ","")IF(INDEX('MOA role matrix'!$B$2:$D$13,11,MATCH($B374,'MOA role matrix'!$B$1:$D$1,0))="If finance","Ms Teh (bank) (if finance), ","")IF(INDEX('MOA role matrix'!$B$2:$D$13,11,MATCH($B374,'MOA role matrix'!$B$1:$D$1,0))="Auto","Ms Teh (bank) (auto), ","")IF(INDEX('MOA role matrix'!$B$2:$D$13,12,MATCH($B374,'MOA role matrix'!$B$1:$D$1,0))="Fill","DLCM, ","")IF(INDEX('MOA role matrix'!$B$2:$D$13,12,MATCH($B374,'MOA role matrix'!$B$1:$D$1,0))="If finance","DLCM (if finance), ","")IF(INDEX('MOA role matrix'!$B$2:$D$13,12,MATCH($B374,'MOA role matrix'!$B$1:$D$1,0))="Auto","DLCM (auto), ","")))</f>
        <v/>
      </c>
      <c r="D374" s="5">
        <f>IF($A374="","",IFERROR(INDEX(FILTER('Client contacts'!$B$2:$B$500,('Client contacts'!$A$2:$A$500=$A374)*('Client contacts'!$H$2:$H$500="Y"),""),1),""))</f>
        <v/>
      </c>
      <c r="E374" s="5">
        <f>IF($A374="","",IFERROR(INDEX(FILTER('Client contacts'!$C$2:$C$500,('Client contacts'!$A$2:$A$500=$A374)*('Client contacts'!$H$2:$H$500="Y"),""),1),""))</f>
        <v/>
      </c>
      <c r="F374" s="5">
        <f>IF($A374="","",IFERROR(INDEX(FILTER('Client contacts'!$B$2:$B$500,('Client contacts'!$A$2:$A$500=$A374)*('Client contacts'!$G$2:$G$500="Y"),""),1),""))</f>
        <v/>
      </c>
      <c r="G374" s="5">
        <f>IF($A374="","",IFERROR(INDEX(FILTER('Client contacts'!$C$2:$C$500,('Client contacts'!$A$2:$A$500=$A374)*('Client contacts'!$G$2:$G$500="Y"),""),1),""))</f>
        <v/>
      </c>
      <c r="H374" s="5">
        <f>IF($A374="","",IFERROR(INDEX(FILTER('Client contacts'!$B$2:$B$500,('Client contacts'!$A$2:$A$500=$A374)*('Client contacts'!$G$2:$G$500="Y"),""),2),""))</f>
        <v/>
      </c>
      <c r="I374" s="5">
        <f>IF($A374="","",IFERROR(INDEX(FILTER('Client contacts'!$C$2:$C$500,('Client contacts'!$A$2:$A$500=$A374)*('Client contacts'!$G$2:$G$500="Y"),""),2),""))</f>
        <v/>
      </c>
      <c r="J374" s="8" t="n"/>
      <c r="K374" s="8" t="n"/>
      <c r="L374" s="8" t="n"/>
      <c r="M374" s="8" t="n"/>
      <c r="N374" s="8" t="n"/>
      <c r="O374" s="8" t="n"/>
      <c r="P374" s="8" t="n"/>
      <c r="Q374" s="8" t="n"/>
      <c r="R374" s="5">
        <f>IF($A374="","",IFERROR(INDEX(Companies!$I$2:$I$500,MATCH($A374,Companies!$A$2:$A$500,0)),""))</f>
        <v/>
      </c>
      <c r="S374" s="8" t="n"/>
      <c r="T374" s="8" t="n"/>
      <c r="U374" s="8" t="n"/>
      <c r="V374" s="8" t="n"/>
      <c r="W374" s="8" t="n"/>
    </row>
    <row r="375">
      <c r="C375" s="5">
        <f>IF($B375="","",TRIM(IF(INDEX('MOA role matrix'!$B$2:$D$13,1,MATCH($B375,'MOA role matrix'!$B$1:$D$1,0))="Fill","Project initiator, ","")IF(INDEX('MOA role matrix'!$B$2:$D$13,1,MATCH($B375,'MOA role matrix'!$B$1:$D$1,0))="If finance","Project initiator (if finance), ","")IF(INDEX('MOA role matrix'!$B$2:$D$13,1,MATCH($B375,'MOA role matrix'!$B$1:$D$1,0))="Auto","Project initiator (auto), ","")IF(INDEX('MOA role matrix'!$B$2:$D$13,2,MATCH($B375,'MOA role matrix'!$B$1:$D$1,0))="Fill","MOA signers (client), ","")IF(INDEX('MOA role matrix'!$B$2:$D$13,2,MATCH($B375,'MOA role matrix'!$B$1:$D$1,0))="If finance","MOA signers (client) (if finance), ","")IF(INDEX('MOA role matrix'!$B$2:$D$13,2,MATCH($B375,'MOA role matrix'!$B$1:$D$1,0))="Auto","MOA signers (client) (auto), ","")IF(INDEX('MOA role matrix'!$B$2:$D$13,3,MATCH($B375,'MOA role matrix'!$B$1:$D$1,0))="Fill","CFO / Head of Finance, ","")IF(INDEX('MOA role matrix'!$B$2:$D$13,3,MATCH($B375,'MOA role matrix'!$B$1:$D$1,0))="If finance","CFO / Head of Finance (if finance), ","")IF(INDEX('MOA role matrix'!$B$2:$D$13,3,MATCH($B375,'MOA role matrix'!$B$1:$D$1,0))="Auto","CFO / Head of Finance (auto), ","")IF(INDEX('MOA role matrix'!$B$2:$D$13,4,MATCH($B375,'MOA role matrix'!$B$1:$D$1,0))="Fill","CEO / COO / GM, ","")IF(INDEX('MOA role matrix'!$B$2:$D$13,4,MATCH($B375,'MOA role matrix'!$B$1:$D$1,0))="If finance","CEO / COO / GM (if finance), ","")IF(INDEX('MOA role matrix'!$B$2:$D$13,4,MATCH($B375,'MOA role matrix'!$B$1:$D$1,0))="Auto","CEO / COO / GM (auto), ","")IF(INDEX('MOA role matrix'!$B$2:$D$13,5,MATCH($B375,'MOA role matrix'!$B$1:$D$1,0))="Fill","Board member 1, ","")IF(INDEX('MOA role matrix'!$B$2:$D$13,5,MATCH($B375,'MOA role matrix'!$B$1:$D$1,0))="If finance","Board member 1 (if finance), ","")IF(INDEX('MOA role matrix'!$B$2:$D$13,5,MATCH($B375,'MOA role matrix'!$B$1:$D$1,0))="Auto","Board member 1 (auto), ","")IF(INDEX('MOA role matrix'!$B$2:$D$13,6,MATCH($B375,'MOA role matrix'!$B$1:$D$1,0))="Fill","Board member 2, ","")IF(INDEX('MOA role matrix'!$B$2:$D$13,6,MATCH($B375,'MOA role matrix'!$B$1:$D$1,0))="If finance","Board member 2 (if finance), ","")IF(INDEX('MOA role matrix'!$B$2:$D$13,6,MATCH($B375,'MOA role matrix'!$B$1:$D$1,0))="Auto","Board member 2 (auto), ","")IF(INDEX('MOA role matrix'!$B$2:$D$13,7,MATCH($B375,'MOA role matrix'!$B$1:$D$1,0))="Fill","LOA holder 1, ","")IF(INDEX('MOA role matrix'!$B$2:$D$13,7,MATCH($B375,'MOA role matrix'!$B$1:$D$1,0))="If finance","LOA holder 1 (if finance), ","")IF(INDEX('MOA role matrix'!$B$2:$D$13,7,MATCH($B375,'MOA role matrix'!$B$1:$D$1,0))="Auto","LOA holder 1 (auto), ","")IF(INDEX('MOA role matrix'!$B$2:$D$13,8,MATCH($B375,'MOA role matrix'!$B$1:$D$1,0))="Fill","LOA holder 2, ","")IF(INDEX('MOA role matrix'!$B$2:$D$13,8,MATCH($B375,'MOA role matrix'!$B$1:$D$1,0))="If finance","LOA holder 2 (if finance), ","")IF(INDEX('MOA role matrix'!$B$2:$D$13,8,MATCH($B375,'MOA role matrix'!$B$1:$D$1,0))="Auto","LOA holder 2 (auto), ","")IF(INDEX('MOA role matrix'!$B$2:$D$13,9,MATCH($B375,'MOA role matrix'!$B$1:$D$1,0))="Fill","Senior Manager CoSec, ","")IF(INDEX('MOA role matrix'!$B$2:$D$13,9,MATCH($B375,'MOA role matrix'!$B$1:$D$1,0))="If finance","Senior Manager CoSec (if finance), ","")IF(INDEX('MOA role matrix'!$B$2:$D$13,9,MATCH($B375,'MOA role matrix'!$B$1:$D$1,0))="Auto","Senior Manager CoSec (auto), ","")IF(INDEX('MOA role matrix'!$B$2:$D$13,10,MATCH($B375,'MOA role matrix'!$B$1:$D$1,0))="Fill","Division MOI managers, ","")IF(INDEX('MOA role matrix'!$B$2:$D$13,10,MATCH($B375,'MOA role matrix'!$B$1:$D$1,0))="If finance","Division MOI managers (if finance), ","")IF(INDEX('MOA role matrix'!$B$2:$D$13,10,MATCH($B375,'MOA role matrix'!$B$1:$D$1,0))="Auto","Division MOI managers (auto), ","")IF(INDEX('MOA role matrix'!$B$2:$D$13,11,MATCH($B375,'MOA role matrix'!$B$1:$D$1,0))="Fill","Ms Teh (bank), ","")IF(INDEX('MOA role matrix'!$B$2:$D$13,11,MATCH($B375,'MOA role matrix'!$B$1:$D$1,0))="If finance","Ms Teh (bank) (if finance), ","")IF(INDEX('MOA role matrix'!$B$2:$D$13,11,MATCH($B375,'MOA role matrix'!$B$1:$D$1,0))="Auto","Ms Teh (bank) (auto), ","")IF(INDEX('MOA role matrix'!$B$2:$D$13,12,MATCH($B375,'MOA role matrix'!$B$1:$D$1,0))="Fill","DLCM, ","")IF(INDEX('MOA role matrix'!$B$2:$D$13,12,MATCH($B375,'MOA role matrix'!$B$1:$D$1,0))="If finance","DLCM (if finance), ","")IF(INDEX('MOA role matrix'!$B$2:$D$13,12,MATCH($B375,'MOA role matrix'!$B$1:$D$1,0))="Auto","DLCM (auto), ","")))</f>
        <v/>
      </c>
      <c r="D375" s="5">
        <f>IF($A375="","",IFERROR(INDEX(FILTER('Client contacts'!$B$2:$B$500,('Client contacts'!$A$2:$A$500=$A375)*('Client contacts'!$H$2:$H$500="Y"),""),1),""))</f>
        <v/>
      </c>
      <c r="E375" s="5">
        <f>IF($A375="","",IFERROR(INDEX(FILTER('Client contacts'!$C$2:$C$500,('Client contacts'!$A$2:$A$500=$A375)*('Client contacts'!$H$2:$H$500="Y"),""),1),""))</f>
        <v/>
      </c>
      <c r="F375" s="5">
        <f>IF($A375="","",IFERROR(INDEX(FILTER('Client contacts'!$B$2:$B$500,('Client contacts'!$A$2:$A$500=$A375)*('Client contacts'!$G$2:$G$500="Y"),""),1),""))</f>
        <v/>
      </c>
      <c r="G375" s="5">
        <f>IF($A375="","",IFERROR(INDEX(FILTER('Client contacts'!$C$2:$C$500,('Client contacts'!$A$2:$A$500=$A375)*('Client contacts'!$G$2:$G$500="Y"),""),1),""))</f>
        <v/>
      </c>
      <c r="H375" s="5">
        <f>IF($A375="","",IFERROR(INDEX(FILTER('Client contacts'!$B$2:$B$500,('Client contacts'!$A$2:$A$500=$A375)*('Client contacts'!$G$2:$G$500="Y"),""),2),""))</f>
        <v/>
      </c>
      <c r="I375" s="5">
        <f>IF($A375="","",IFERROR(INDEX(FILTER('Client contacts'!$C$2:$C$500,('Client contacts'!$A$2:$A$500=$A375)*('Client contacts'!$G$2:$G$500="Y"),""),2),""))</f>
        <v/>
      </c>
      <c r="J375" s="8" t="n"/>
      <c r="K375" s="8" t="n"/>
      <c r="L375" s="8" t="n"/>
      <c r="M375" s="8" t="n"/>
      <c r="N375" s="8" t="n"/>
      <c r="O375" s="8" t="n"/>
      <c r="P375" s="8" t="n"/>
      <c r="Q375" s="8" t="n"/>
      <c r="R375" s="5">
        <f>IF($A375="","",IFERROR(INDEX(Companies!$I$2:$I$500,MATCH($A375,Companies!$A$2:$A$500,0)),""))</f>
        <v/>
      </c>
      <c r="S375" s="8" t="n"/>
      <c r="T375" s="8" t="n"/>
      <c r="U375" s="8" t="n"/>
      <c r="V375" s="8" t="n"/>
      <c r="W375" s="8" t="n"/>
    </row>
    <row r="376">
      <c r="C376" s="5">
        <f>IF($B376="","",TRIM(IF(INDEX('MOA role matrix'!$B$2:$D$13,1,MATCH($B376,'MOA role matrix'!$B$1:$D$1,0))="Fill","Project initiator, ","")IF(INDEX('MOA role matrix'!$B$2:$D$13,1,MATCH($B376,'MOA role matrix'!$B$1:$D$1,0))="If finance","Project initiator (if finance), ","")IF(INDEX('MOA role matrix'!$B$2:$D$13,1,MATCH($B376,'MOA role matrix'!$B$1:$D$1,0))="Auto","Project initiator (auto), ","")IF(INDEX('MOA role matrix'!$B$2:$D$13,2,MATCH($B376,'MOA role matrix'!$B$1:$D$1,0))="Fill","MOA signers (client), ","")IF(INDEX('MOA role matrix'!$B$2:$D$13,2,MATCH($B376,'MOA role matrix'!$B$1:$D$1,0))="If finance","MOA signers (client) (if finance), ","")IF(INDEX('MOA role matrix'!$B$2:$D$13,2,MATCH($B376,'MOA role matrix'!$B$1:$D$1,0))="Auto","MOA signers (client) (auto), ","")IF(INDEX('MOA role matrix'!$B$2:$D$13,3,MATCH($B376,'MOA role matrix'!$B$1:$D$1,0))="Fill","CFO / Head of Finance, ","")IF(INDEX('MOA role matrix'!$B$2:$D$13,3,MATCH($B376,'MOA role matrix'!$B$1:$D$1,0))="If finance","CFO / Head of Finance (if finance), ","")IF(INDEX('MOA role matrix'!$B$2:$D$13,3,MATCH($B376,'MOA role matrix'!$B$1:$D$1,0))="Auto","CFO / Head of Finance (auto), ","")IF(INDEX('MOA role matrix'!$B$2:$D$13,4,MATCH($B376,'MOA role matrix'!$B$1:$D$1,0))="Fill","CEO / COO / GM, ","")IF(INDEX('MOA role matrix'!$B$2:$D$13,4,MATCH($B376,'MOA role matrix'!$B$1:$D$1,0))="If finance","CEO / COO / GM (if finance), ","")IF(INDEX('MOA role matrix'!$B$2:$D$13,4,MATCH($B376,'MOA role matrix'!$B$1:$D$1,0))="Auto","CEO / COO / GM (auto), ","")IF(INDEX('MOA role matrix'!$B$2:$D$13,5,MATCH($B376,'MOA role matrix'!$B$1:$D$1,0))="Fill","Board member 1, ","")IF(INDEX('MOA role matrix'!$B$2:$D$13,5,MATCH($B376,'MOA role matrix'!$B$1:$D$1,0))="If finance","Board member 1 (if finance), ","")IF(INDEX('MOA role matrix'!$B$2:$D$13,5,MATCH($B376,'MOA role matrix'!$B$1:$D$1,0))="Auto","Board member 1 (auto), ","")IF(INDEX('MOA role matrix'!$B$2:$D$13,6,MATCH($B376,'MOA role matrix'!$B$1:$D$1,0))="Fill","Board member 2, ","")IF(INDEX('MOA role matrix'!$B$2:$D$13,6,MATCH($B376,'MOA role matrix'!$B$1:$D$1,0))="If finance","Board member 2 (if finance), ","")IF(INDEX('MOA role matrix'!$B$2:$D$13,6,MATCH($B376,'MOA role matrix'!$B$1:$D$1,0))="Auto","Board member 2 (auto), ","")IF(INDEX('MOA role matrix'!$B$2:$D$13,7,MATCH($B376,'MOA role matrix'!$B$1:$D$1,0))="Fill","LOA holder 1, ","")IF(INDEX('MOA role matrix'!$B$2:$D$13,7,MATCH($B376,'MOA role matrix'!$B$1:$D$1,0))="If finance","LOA holder 1 (if finance), ","")IF(INDEX('MOA role matrix'!$B$2:$D$13,7,MATCH($B376,'MOA role matrix'!$B$1:$D$1,0))="Auto","LOA holder 1 (auto), ","")IF(INDEX('MOA role matrix'!$B$2:$D$13,8,MATCH($B376,'MOA role matrix'!$B$1:$D$1,0))="Fill","LOA holder 2, ","")IF(INDEX('MOA role matrix'!$B$2:$D$13,8,MATCH($B376,'MOA role matrix'!$B$1:$D$1,0))="If finance","LOA holder 2 (if finance), ","")IF(INDEX('MOA role matrix'!$B$2:$D$13,8,MATCH($B376,'MOA role matrix'!$B$1:$D$1,0))="Auto","LOA holder 2 (auto), ","")IF(INDEX('MOA role matrix'!$B$2:$D$13,9,MATCH($B376,'MOA role matrix'!$B$1:$D$1,0))="Fill","Senior Manager CoSec, ","")IF(INDEX('MOA role matrix'!$B$2:$D$13,9,MATCH($B376,'MOA role matrix'!$B$1:$D$1,0))="If finance","Senior Manager CoSec (if finance), ","")IF(INDEX('MOA role matrix'!$B$2:$D$13,9,MATCH($B376,'MOA role matrix'!$B$1:$D$1,0))="Auto","Senior Manager CoSec (auto), ","")IF(INDEX('MOA role matrix'!$B$2:$D$13,10,MATCH($B376,'MOA role matrix'!$B$1:$D$1,0))="Fill","Division MOI managers, ","")IF(INDEX('MOA role matrix'!$B$2:$D$13,10,MATCH($B376,'MOA role matrix'!$B$1:$D$1,0))="If finance","Division MOI managers (if finance), ","")IF(INDEX('MOA role matrix'!$B$2:$D$13,10,MATCH($B376,'MOA role matrix'!$B$1:$D$1,0))="Auto","Division MOI managers (auto), ","")IF(INDEX('MOA role matrix'!$B$2:$D$13,11,MATCH($B376,'MOA role matrix'!$B$1:$D$1,0))="Fill","Ms Teh (bank), ","")IF(INDEX('MOA role matrix'!$B$2:$D$13,11,MATCH($B376,'MOA role matrix'!$B$1:$D$1,0))="If finance","Ms Teh (bank) (if finance), ","")IF(INDEX('MOA role matrix'!$B$2:$D$13,11,MATCH($B376,'MOA role matrix'!$B$1:$D$1,0))="Auto","Ms Teh (bank) (auto), ","")IF(INDEX('MOA role matrix'!$B$2:$D$13,12,MATCH($B376,'MOA role matrix'!$B$1:$D$1,0))="Fill","DLCM, ","")IF(INDEX('MOA role matrix'!$B$2:$D$13,12,MATCH($B376,'MOA role matrix'!$B$1:$D$1,0))="If finance","DLCM (if finance), ","")IF(INDEX('MOA role matrix'!$B$2:$D$13,12,MATCH($B376,'MOA role matrix'!$B$1:$D$1,0))="Auto","DLCM (auto), ","")))</f>
        <v/>
      </c>
      <c r="D376" s="5">
        <f>IF($A376="","",IFERROR(INDEX(FILTER('Client contacts'!$B$2:$B$500,('Client contacts'!$A$2:$A$500=$A376)*('Client contacts'!$H$2:$H$500="Y"),""),1),""))</f>
        <v/>
      </c>
      <c r="E376" s="5">
        <f>IF($A376="","",IFERROR(INDEX(FILTER('Client contacts'!$C$2:$C$500,('Client contacts'!$A$2:$A$500=$A376)*('Client contacts'!$H$2:$H$500="Y"),""),1),""))</f>
        <v/>
      </c>
      <c r="F376" s="5">
        <f>IF($A376="","",IFERROR(INDEX(FILTER('Client contacts'!$B$2:$B$500,('Client contacts'!$A$2:$A$500=$A376)*('Client contacts'!$G$2:$G$500="Y"),""),1),""))</f>
        <v/>
      </c>
      <c r="G376" s="5">
        <f>IF($A376="","",IFERROR(INDEX(FILTER('Client contacts'!$C$2:$C$500,('Client contacts'!$A$2:$A$500=$A376)*('Client contacts'!$G$2:$G$500="Y"),""),1),""))</f>
        <v/>
      </c>
      <c r="H376" s="5">
        <f>IF($A376="","",IFERROR(INDEX(FILTER('Client contacts'!$B$2:$B$500,('Client contacts'!$A$2:$A$500=$A376)*('Client contacts'!$G$2:$G$500="Y"),""),2),""))</f>
        <v/>
      </c>
      <c r="I376" s="5">
        <f>IF($A376="","",IFERROR(INDEX(FILTER('Client contacts'!$C$2:$C$500,('Client contacts'!$A$2:$A$500=$A376)*('Client contacts'!$G$2:$G$500="Y"),""),2),""))</f>
        <v/>
      </c>
      <c r="J376" s="8" t="n"/>
      <c r="K376" s="8" t="n"/>
      <c r="L376" s="8" t="n"/>
      <c r="M376" s="8" t="n"/>
      <c r="N376" s="8" t="n"/>
      <c r="O376" s="8" t="n"/>
      <c r="P376" s="8" t="n"/>
      <c r="Q376" s="8" t="n"/>
      <c r="R376" s="5">
        <f>IF($A376="","",IFERROR(INDEX(Companies!$I$2:$I$500,MATCH($A376,Companies!$A$2:$A$500,0)),""))</f>
        <v/>
      </c>
      <c r="S376" s="8" t="n"/>
      <c r="T376" s="8" t="n"/>
      <c r="U376" s="8" t="n"/>
      <c r="V376" s="8" t="n"/>
      <c r="W376" s="8" t="n"/>
    </row>
    <row r="377">
      <c r="C377" s="5">
        <f>IF($B377="","",TRIM(IF(INDEX('MOA role matrix'!$B$2:$D$13,1,MATCH($B377,'MOA role matrix'!$B$1:$D$1,0))="Fill","Project initiator, ","")IF(INDEX('MOA role matrix'!$B$2:$D$13,1,MATCH($B377,'MOA role matrix'!$B$1:$D$1,0))="If finance","Project initiator (if finance), ","")IF(INDEX('MOA role matrix'!$B$2:$D$13,1,MATCH($B377,'MOA role matrix'!$B$1:$D$1,0))="Auto","Project initiator (auto), ","")IF(INDEX('MOA role matrix'!$B$2:$D$13,2,MATCH($B377,'MOA role matrix'!$B$1:$D$1,0))="Fill","MOA signers (client), ","")IF(INDEX('MOA role matrix'!$B$2:$D$13,2,MATCH($B377,'MOA role matrix'!$B$1:$D$1,0))="If finance","MOA signers (client) (if finance), ","")IF(INDEX('MOA role matrix'!$B$2:$D$13,2,MATCH($B377,'MOA role matrix'!$B$1:$D$1,0))="Auto","MOA signers (client) (auto), ","")IF(INDEX('MOA role matrix'!$B$2:$D$13,3,MATCH($B377,'MOA role matrix'!$B$1:$D$1,0))="Fill","CFO / Head of Finance, ","")IF(INDEX('MOA role matrix'!$B$2:$D$13,3,MATCH($B377,'MOA role matrix'!$B$1:$D$1,0))="If finance","CFO / Head of Finance (if finance), ","")IF(INDEX('MOA role matrix'!$B$2:$D$13,3,MATCH($B377,'MOA role matrix'!$B$1:$D$1,0))="Auto","CFO / Head of Finance (auto), ","")IF(INDEX('MOA role matrix'!$B$2:$D$13,4,MATCH($B377,'MOA role matrix'!$B$1:$D$1,0))="Fill","CEO / COO / GM, ","")IF(INDEX('MOA role matrix'!$B$2:$D$13,4,MATCH($B377,'MOA role matrix'!$B$1:$D$1,0))="If finance","CEO / COO / GM (if finance), ","")IF(INDEX('MOA role matrix'!$B$2:$D$13,4,MATCH($B377,'MOA role matrix'!$B$1:$D$1,0))="Auto","CEO / COO / GM (auto), ","")IF(INDEX('MOA role matrix'!$B$2:$D$13,5,MATCH($B377,'MOA role matrix'!$B$1:$D$1,0))="Fill","Board member 1, ","")IF(INDEX('MOA role matrix'!$B$2:$D$13,5,MATCH($B377,'MOA role matrix'!$B$1:$D$1,0))="If finance","Board member 1 (if finance), ","")IF(INDEX('MOA role matrix'!$B$2:$D$13,5,MATCH($B377,'MOA role matrix'!$B$1:$D$1,0))="Auto","Board member 1 (auto), ","")IF(INDEX('MOA role matrix'!$B$2:$D$13,6,MATCH($B377,'MOA role matrix'!$B$1:$D$1,0))="Fill","Board member 2, ","")IF(INDEX('MOA role matrix'!$B$2:$D$13,6,MATCH($B377,'MOA role matrix'!$B$1:$D$1,0))="If finance","Board member 2 (if finance), ","")IF(INDEX('MOA role matrix'!$B$2:$D$13,6,MATCH($B377,'MOA role matrix'!$B$1:$D$1,0))="Auto","Board member 2 (auto), ","")IF(INDEX('MOA role matrix'!$B$2:$D$13,7,MATCH($B377,'MOA role matrix'!$B$1:$D$1,0))="Fill","LOA holder 1, ","")IF(INDEX('MOA role matrix'!$B$2:$D$13,7,MATCH($B377,'MOA role matrix'!$B$1:$D$1,0))="If finance","LOA holder 1 (if finance), ","")IF(INDEX('MOA role matrix'!$B$2:$D$13,7,MATCH($B377,'MOA role matrix'!$B$1:$D$1,0))="Auto","LOA holder 1 (auto), ","")IF(INDEX('MOA role matrix'!$B$2:$D$13,8,MATCH($B377,'MOA role matrix'!$B$1:$D$1,0))="Fill","LOA holder 2, ","")IF(INDEX('MOA role matrix'!$B$2:$D$13,8,MATCH($B377,'MOA role matrix'!$B$1:$D$1,0))="If finance","LOA holder 2 (if finance), ","")IF(INDEX('MOA role matrix'!$B$2:$D$13,8,MATCH($B377,'MOA role matrix'!$B$1:$D$1,0))="Auto","LOA holder 2 (auto), ","")IF(INDEX('MOA role matrix'!$B$2:$D$13,9,MATCH($B377,'MOA role matrix'!$B$1:$D$1,0))="Fill","Senior Manager CoSec, ","")IF(INDEX('MOA role matrix'!$B$2:$D$13,9,MATCH($B377,'MOA role matrix'!$B$1:$D$1,0))="If finance","Senior Manager CoSec (if finance), ","")IF(INDEX('MOA role matrix'!$B$2:$D$13,9,MATCH($B377,'MOA role matrix'!$B$1:$D$1,0))="Auto","Senior Manager CoSec (auto), ","")IF(INDEX('MOA role matrix'!$B$2:$D$13,10,MATCH($B377,'MOA role matrix'!$B$1:$D$1,0))="Fill","Division MOI managers, ","")IF(INDEX('MOA role matrix'!$B$2:$D$13,10,MATCH($B377,'MOA role matrix'!$B$1:$D$1,0))="If finance","Division MOI managers (if finance), ","")IF(INDEX('MOA role matrix'!$B$2:$D$13,10,MATCH($B377,'MOA role matrix'!$B$1:$D$1,0))="Auto","Division MOI managers (auto), ","")IF(INDEX('MOA role matrix'!$B$2:$D$13,11,MATCH($B377,'MOA role matrix'!$B$1:$D$1,0))="Fill","Ms Teh (bank), ","")IF(INDEX('MOA role matrix'!$B$2:$D$13,11,MATCH($B377,'MOA role matrix'!$B$1:$D$1,0))="If finance","Ms Teh (bank) (if finance), ","")IF(INDEX('MOA role matrix'!$B$2:$D$13,11,MATCH($B377,'MOA role matrix'!$B$1:$D$1,0))="Auto","Ms Teh (bank) (auto), ","")IF(INDEX('MOA role matrix'!$B$2:$D$13,12,MATCH($B377,'MOA role matrix'!$B$1:$D$1,0))="Fill","DLCM, ","")IF(INDEX('MOA role matrix'!$B$2:$D$13,12,MATCH($B377,'MOA role matrix'!$B$1:$D$1,0))="If finance","DLCM (if finance), ","")IF(INDEX('MOA role matrix'!$B$2:$D$13,12,MATCH($B377,'MOA role matrix'!$B$1:$D$1,0))="Auto","DLCM (auto), ","")))</f>
        <v/>
      </c>
      <c r="D377" s="5">
        <f>IF($A377="","",IFERROR(INDEX(FILTER('Client contacts'!$B$2:$B$500,('Client contacts'!$A$2:$A$500=$A377)*('Client contacts'!$H$2:$H$500="Y"),""),1),""))</f>
        <v/>
      </c>
      <c r="E377" s="5">
        <f>IF($A377="","",IFERROR(INDEX(FILTER('Client contacts'!$C$2:$C$500,('Client contacts'!$A$2:$A$500=$A377)*('Client contacts'!$H$2:$H$500="Y"),""),1),""))</f>
        <v/>
      </c>
      <c r="F377" s="5">
        <f>IF($A377="","",IFERROR(INDEX(FILTER('Client contacts'!$B$2:$B$500,('Client contacts'!$A$2:$A$500=$A377)*('Client contacts'!$G$2:$G$500="Y"),""),1),""))</f>
        <v/>
      </c>
      <c r="G377" s="5">
        <f>IF($A377="","",IFERROR(INDEX(FILTER('Client contacts'!$C$2:$C$500,('Client contacts'!$A$2:$A$500=$A377)*('Client contacts'!$G$2:$G$500="Y"),""),1),""))</f>
        <v/>
      </c>
      <c r="H377" s="5">
        <f>IF($A377="","",IFERROR(INDEX(FILTER('Client contacts'!$B$2:$B$500,('Client contacts'!$A$2:$A$500=$A377)*('Client contacts'!$G$2:$G$500="Y"),""),2),""))</f>
        <v/>
      </c>
      <c r="I377" s="5">
        <f>IF($A377="","",IFERROR(INDEX(FILTER('Client contacts'!$C$2:$C$500,('Client contacts'!$A$2:$A$500=$A377)*('Client contacts'!$G$2:$G$500="Y"),""),2),""))</f>
        <v/>
      </c>
      <c r="J377" s="8" t="n"/>
      <c r="K377" s="8" t="n"/>
      <c r="L377" s="8" t="n"/>
      <c r="M377" s="8" t="n"/>
      <c r="N377" s="8" t="n"/>
      <c r="O377" s="8" t="n"/>
      <c r="P377" s="8" t="n"/>
      <c r="Q377" s="8" t="n"/>
      <c r="R377" s="5">
        <f>IF($A377="","",IFERROR(INDEX(Companies!$I$2:$I$500,MATCH($A377,Companies!$A$2:$A$500,0)),""))</f>
        <v/>
      </c>
      <c r="S377" s="8" t="n"/>
      <c r="T377" s="8" t="n"/>
      <c r="U377" s="8" t="n"/>
      <c r="V377" s="8" t="n"/>
      <c r="W377" s="8" t="n"/>
    </row>
    <row r="378">
      <c r="C378" s="5">
        <f>IF($B378="","",TRIM(IF(INDEX('MOA role matrix'!$B$2:$D$13,1,MATCH($B378,'MOA role matrix'!$B$1:$D$1,0))="Fill","Project initiator, ","")IF(INDEX('MOA role matrix'!$B$2:$D$13,1,MATCH($B378,'MOA role matrix'!$B$1:$D$1,0))="If finance","Project initiator (if finance), ","")IF(INDEX('MOA role matrix'!$B$2:$D$13,1,MATCH($B378,'MOA role matrix'!$B$1:$D$1,0))="Auto","Project initiator (auto), ","")IF(INDEX('MOA role matrix'!$B$2:$D$13,2,MATCH($B378,'MOA role matrix'!$B$1:$D$1,0))="Fill","MOA signers (client), ","")IF(INDEX('MOA role matrix'!$B$2:$D$13,2,MATCH($B378,'MOA role matrix'!$B$1:$D$1,0))="If finance","MOA signers (client) (if finance), ","")IF(INDEX('MOA role matrix'!$B$2:$D$13,2,MATCH($B378,'MOA role matrix'!$B$1:$D$1,0))="Auto","MOA signers (client) (auto), ","")IF(INDEX('MOA role matrix'!$B$2:$D$13,3,MATCH($B378,'MOA role matrix'!$B$1:$D$1,0))="Fill","CFO / Head of Finance, ","")IF(INDEX('MOA role matrix'!$B$2:$D$13,3,MATCH($B378,'MOA role matrix'!$B$1:$D$1,0))="If finance","CFO / Head of Finance (if finance), ","")IF(INDEX('MOA role matrix'!$B$2:$D$13,3,MATCH($B378,'MOA role matrix'!$B$1:$D$1,0))="Auto","CFO / Head of Finance (auto), ","")IF(INDEX('MOA role matrix'!$B$2:$D$13,4,MATCH($B378,'MOA role matrix'!$B$1:$D$1,0))="Fill","CEO / COO / GM, ","")IF(INDEX('MOA role matrix'!$B$2:$D$13,4,MATCH($B378,'MOA role matrix'!$B$1:$D$1,0))="If finance","CEO / COO / GM (if finance), ","")IF(INDEX('MOA role matrix'!$B$2:$D$13,4,MATCH($B378,'MOA role matrix'!$B$1:$D$1,0))="Auto","CEO / COO / GM (auto), ","")IF(INDEX('MOA role matrix'!$B$2:$D$13,5,MATCH($B378,'MOA role matrix'!$B$1:$D$1,0))="Fill","Board member 1, ","")IF(INDEX('MOA role matrix'!$B$2:$D$13,5,MATCH($B378,'MOA role matrix'!$B$1:$D$1,0))="If finance","Board member 1 (if finance), ","")IF(INDEX('MOA role matrix'!$B$2:$D$13,5,MATCH($B378,'MOA role matrix'!$B$1:$D$1,0))="Auto","Board member 1 (auto), ","")IF(INDEX('MOA role matrix'!$B$2:$D$13,6,MATCH($B378,'MOA role matrix'!$B$1:$D$1,0))="Fill","Board member 2, ","")IF(INDEX('MOA role matrix'!$B$2:$D$13,6,MATCH($B378,'MOA role matrix'!$B$1:$D$1,0))="If finance","Board member 2 (if finance), ","")IF(INDEX('MOA role matrix'!$B$2:$D$13,6,MATCH($B378,'MOA role matrix'!$B$1:$D$1,0))="Auto","Board member 2 (auto), ","")IF(INDEX('MOA role matrix'!$B$2:$D$13,7,MATCH($B378,'MOA role matrix'!$B$1:$D$1,0))="Fill","LOA holder 1, ","")IF(INDEX('MOA role matrix'!$B$2:$D$13,7,MATCH($B378,'MOA role matrix'!$B$1:$D$1,0))="If finance","LOA holder 1 (if finance), ","")IF(INDEX('MOA role matrix'!$B$2:$D$13,7,MATCH($B378,'MOA role matrix'!$B$1:$D$1,0))="Auto","LOA holder 1 (auto), ","")IF(INDEX('MOA role matrix'!$B$2:$D$13,8,MATCH($B378,'MOA role matrix'!$B$1:$D$1,0))="Fill","LOA holder 2, ","")IF(INDEX('MOA role matrix'!$B$2:$D$13,8,MATCH($B378,'MOA role matrix'!$B$1:$D$1,0))="If finance","LOA holder 2 (if finance), ","")IF(INDEX('MOA role matrix'!$B$2:$D$13,8,MATCH($B378,'MOA role matrix'!$B$1:$D$1,0))="Auto","LOA holder 2 (auto), ","")IF(INDEX('MOA role matrix'!$B$2:$D$13,9,MATCH($B378,'MOA role matrix'!$B$1:$D$1,0))="Fill","Senior Manager CoSec, ","")IF(INDEX('MOA role matrix'!$B$2:$D$13,9,MATCH($B378,'MOA role matrix'!$B$1:$D$1,0))="If finance","Senior Manager CoSec (if finance), ","")IF(INDEX('MOA role matrix'!$B$2:$D$13,9,MATCH($B378,'MOA role matrix'!$B$1:$D$1,0))="Auto","Senior Manager CoSec (auto), ","")IF(INDEX('MOA role matrix'!$B$2:$D$13,10,MATCH($B378,'MOA role matrix'!$B$1:$D$1,0))="Fill","Division MOI managers, ","")IF(INDEX('MOA role matrix'!$B$2:$D$13,10,MATCH($B378,'MOA role matrix'!$B$1:$D$1,0))="If finance","Division MOI managers (if finance), ","")IF(INDEX('MOA role matrix'!$B$2:$D$13,10,MATCH($B378,'MOA role matrix'!$B$1:$D$1,0))="Auto","Division MOI managers (auto), ","")IF(INDEX('MOA role matrix'!$B$2:$D$13,11,MATCH($B378,'MOA role matrix'!$B$1:$D$1,0))="Fill","Ms Teh (bank), ","")IF(INDEX('MOA role matrix'!$B$2:$D$13,11,MATCH($B378,'MOA role matrix'!$B$1:$D$1,0))="If finance","Ms Teh (bank) (if finance), ","")IF(INDEX('MOA role matrix'!$B$2:$D$13,11,MATCH($B378,'MOA role matrix'!$B$1:$D$1,0))="Auto","Ms Teh (bank) (auto), ","")IF(INDEX('MOA role matrix'!$B$2:$D$13,12,MATCH($B378,'MOA role matrix'!$B$1:$D$1,0))="Fill","DLCM, ","")IF(INDEX('MOA role matrix'!$B$2:$D$13,12,MATCH($B378,'MOA role matrix'!$B$1:$D$1,0))="If finance","DLCM (if finance), ","")IF(INDEX('MOA role matrix'!$B$2:$D$13,12,MATCH($B378,'MOA role matrix'!$B$1:$D$1,0))="Auto","DLCM (auto), ","")))</f>
        <v/>
      </c>
      <c r="D378" s="5">
        <f>IF($A378="","",IFERROR(INDEX(FILTER('Client contacts'!$B$2:$B$500,('Client contacts'!$A$2:$A$500=$A378)*('Client contacts'!$H$2:$H$500="Y"),""),1),""))</f>
        <v/>
      </c>
      <c r="E378" s="5">
        <f>IF($A378="","",IFERROR(INDEX(FILTER('Client contacts'!$C$2:$C$500,('Client contacts'!$A$2:$A$500=$A378)*('Client contacts'!$H$2:$H$500="Y"),""),1),""))</f>
        <v/>
      </c>
      <c r="F378" s="5">
        <f>IF($A378="","",IFERROR(INDEX(FILTER('Client contacts'!$B$2:$B$500,('Client contacts'!$A$2:$A$500=$A378)*('Client contacts'!$G$2:$G$500="Y"),""),1),""))</f>
        <v/>
      </c>
      <c r="G378" s="5">
        <f>IF($A378="","",IFERROR(INDEX(FILTER('Client contacts'!$C$2:$C$500,('Client contacts'!$A$2:$A$500=$A378)*('Client contacts'!$G$2:$G$500="Y"),""),1),""))</f>
        <v/>
      </c>
      <c r="H378" s="5">
        <f>IF($A378="","",IFERROR(INDEX(FILTER('Client contacts'!$B$2:$B$500,('Client contacts'!$A$2:$A$500=$A378)*('Client contacts'!$G$2:$G$500="Y"),""),2),""))</f>
        <v/>
      </c>
      <c r="I378" s="5">
        <f>IF($A378="","",IFERROR(INDEX(FILTER('Client contacts'!$C$2:$C$500,('Client contacts'!$A$2:$A$500=$A378)*('Client contacts'!$G$2:$G$500="Y"),""),2),""))</f>
        <v/>
      </c>
      <c r="J378" s="8" t="n"/>
      <c r="K378" s="8" t="n"/>
      <c r="L378" s="8" t="n"/>
      <c r="M378" s="8" t="n"/>
      <c r="N378" s="8" t="n"/>
      <c r="O378" s="8" t="n"/>
      <c r="P378" s="8" t="n"/>
      <c r="Q378" s="8" t="n"/>
      <c r="R378" s="5">
        <f>IF($A378="","",IFERROR(INDEX(Companies!$I$2:$I$500,MATCH($A378,Companies!$A$2:$A$500,0)),""))</f>
        <v/>
      </c>
      <c r="S378" s="8" t="n"/>
      <c r="T378" s="8" t="n"/>
      <c r="U378" s="8" t="n"/>
      <c r="V378" s="8" t="n"/>
      <c r="W378" s="8" t="n"/>
    </row>
    <row r="379">
      <c r="C379" s="5">
        <f>IF($B379="","",TRIM(IF(INDEX('MOA role matrix'!$B$2:$D$13,1,MATCH($B379,'MOA role matrix'!$B$1:$D$1,0))="Fill","Project initiator, ","")IF(INDEX('MOA role matrix'!$B$2:$D$13,1,MATCH($B379,'MOA role matrix'!$B$1:$D$1,0))="If finance","Project initiator (if finance), ","")IF(INDEX('MOA role matrix'!$B$2:$D$13,1,MATCH($B379,'MOA role matrix'!$B$1:$D$1,0))="Auto","Project initiator (auto), ","")IF(INDEX('MOA role matrix'!$B$2:$D$13,2,MATCH($B379,'MOA role matrix'!$B$1:$D$1,0))="Fill","MOA signers (client), ","")IF(INDEX('MOA role matrix'!$B$2:$D$13,2,MATCH($B379,'MOA role matrix'!$B$1:$D$1,0))="If finance","MOA signers (client) (if finance), ","")IF(INDEX('MOA role matrix'!$B$2:$D$13,2,MATCH($B379,'MOA role matrix'!$B$1:$D$1,0))="Auto","MOA signers (client) (auto), ","")IF(INDEX('MOA role matrix'!$B$2:$D$13,3,MATCH($B379,'MOA role matrix'!$B$1:$D$1,0))="Fill","CFO / Head of Finance, ","")IF(INDEX('MOA role matrix'!$B$2:$D$13,3,MATCH($B379,'MOA role matrix'!$B$1:$D$1,0))="If finance","CFO / Head of Finance (if finance), ","")IF(INDEX('MOA role matrix'!$B$2:$D$13,3,MATCH($B379,'MOA role matrix'!$B$1:$D$1,0))="Auto","CFO / Head of Finance (auto), ","")IF(INDEX('MOA role matrix'!$B$2:$D$13,4,MATCH($B379,'MOA role matrix'!$B$1:$D$1,0))="Fill","CEO / COO / GM, ","")IF(INDEX('MOA role matrix'!$B$2:$D$13,4,MATCH($B379,'MOA role matrix'!$B$1:$D$1,0))="If finance","CEO / COO / GM (if finance), ","")IF(INDEX('MOA role matrix'!$B$2:$D$13,4,MATCH($B379,'MOA role matrix'!$B$1:$D$1,0))="Auto","CEO / COO / GM (auto), ","")IF(INDEX('MOA role matrix'!$B$2:$D$13,5,MATCH($B379,'MOA role matrix'!$B$1:$D$1,0))="Fill","Board member 1, ","")IF(INDEX('MOA role matrix'!$B$2:$D$13,5,MATCH($B379,'MOA role matrix'!$B$1:$D$1,0))="If finance","Board member 1 (if finance), ","")IF(INDEX('MOA role matrix'!$B$2:$D$13,5,MATCH($B379,'MOA role matrix'!$B$1:$D$1,0))="Auto","Board member 1 (auto), ","")IF(INDEX('MOA role matrix'!$B$2:$D$13,6,MATCH($B379,'MOA role matrix'!$B$1:$D$1,0))="Fill","Board member 2, ","")IF(INDEX('MOA role matrix'!$B$2:$D$13,6,MATCH($B379,'MOA role matrix'!$B$1:$D$1,0))="If finance","Board member 2 (if finance), ","")IF(INDEX('MOA role matrix'!$B$2:$D$13,6,MATCH($B379,'MOA role matrix'!$B$1:$D$1,0))="Auto","Board member 2 (auto), ","")IF(INDEX('MOA role matrix'!$B$2:$D$13,7,MATCH($B379,'MOA role matrix'!$B$1:$D$1,0))="Fill","LOA holder 1, ","")IF(INDEX('MOA role matrix'!$B$2:$D$13,7,MATCH($B379,'MOA role matrix'!$B$1:$D$1,0))="If finance","LOA holder 1 (if finance), ","")IF(INDEX('MOA role matrix'!$B$2:$D$13,7,MATCH($B379,'MOA role matrix'!$B$1:$D$1,0))="Auto","LOA holder 1 (auto), ","")IF(INDEX('MOA role matrix'!$B$2:$D$13,8,MATCH($B379,'MOA role matrix'!$B$1:$D$1,0))="Fill","LOA holder 2, ","")IF(INDEX('MOA role matrix'!$B$2:$D$13,8,MATCH($B379,'MOA role matrix'!$B$1:$D$1,0))="If finance","LOA holder 2 (if finance), ","")IF(INDEX('MOA role matrix'!$B$2:$D$13,8,MATCH($B379,'MOA role matrix'!$B$1:$D$1,0))="Auto","LOA holder 2 (auto), ","")IF(INDEX('MOA role matrix'!$B$2:$D$13,9,MATCH($B379,'MOA role matrix'!$B$1:$D$1,0))="Fill","Senior Manager CoSec, ","")IF(INDEX('MOA role matrix'!$B$2:$D$13,9,MATCH($B379,'MOA role matrix'!$B$1:$D$1,0))="If finance","Senior Manager CoSec (if finance), ","")IF(INDEX('MOA role matrix'!$B$2:$D$13,9,MATCH($B379,'MOA role matrix'!$B$1:$D$1,0))="Auto","Senior Manager CoSec (auto), ","")IF(INDEX('MOA role matrix'!$B$2:$D$13,10,MATCH($B379,'MOA role matrix'!$B$1:$D$1,0))="Fill","Division MOI managers, ","")IF(INDEX('MOA role matrix'!$B$2:$D$13,10,MATCH($B379,'MOA role matrix'!$B$1:$D$1,0))="If finance","Division MOI managers (if finance), ","")IF(INDEX('MOA role matrix'!$B$2:$D$13,10,MATCH($B379,'MOA role matrix'!$B$1:$D$1,0))="Auto","Division MOI managers (auto), ","")IF(INDEX('MOA role matrix'!$B$2:$D$13,11,MATCH($B379,'MOA role matrix'!$B$1:$D$1,0))="Fill","Ms Teh (bank), ","")IF(INDEX('MOA role matrix'!$B$2:$D$13,11,MATCH($B379,'MOA role matrix'!$B$1:$D$1,0))="If finance","Ms Teh (bank) (if finance), ","")IF(INDEX('MOA role matrix'!$B$2:$D$13,11,MATCH($B379,'MOA role matrix'!$B$1:$D$1,0))="Auto","Ms Teh (bank) (auto), ","")IF(INDEX('MOA role matrix'!$B$2:$D$13,12,MATCH($B379,'MOA role matrix'!$B$1:$D$1,0))="Fill","DLCM, ","")IF(INDEX('MOA role matrix'!$B$2:$D$13,12,MATCH($B379,'MOA role matrix'!$B$1:$D$1,0))="If finance","DLCM (if finance), ","")IF(INDEX('MOA role matrix'!$B$2:$D$13,12,MATCH($B379,'MOA role matrix'!$B$1:$D$1,0))="Auto","DLCM (auto), ","")))</f>
        <v/>
      </c>
      <c r="D379" s="5">
        <f>IF($A379="","",IFERROR(INDEX(FILTER('Client contacts'!$B$2:$B$500,('Client contacts'!$A$2:$A$500=$A379)*('Client contacts'!$H$2:$H$500="Y"),""),1),""))</f>
        <v/>
      </c>
      <c r="E379" s="5">
        <f>IF($A379="","",IFERROR(INDEX(FILTER('Client contacts'!$C$2:$C$500,('Client contacts'!$A$2:$A$500=$A379)*('Client contacts'!$H$2:$H$500="Y"),""),1),""))</f>
        <v/>
      </c>
      <c r="F379" s="5">
        <f>IF($A379="","",IFERROR(INDEX(FILTER('Client contacts'!$B$2:$B$500,('Client contacts'!$A$2:$A$500=$A379)*('Client contacts'!$G$2:$G$500="Y"),""),1),""))</f>
        <v/>
      </c>
      <c r="G379" s="5">
        <f>IF($A379="","",IFERROR(INDEX(FILTER('Client contacts'!$C$2:$C$500,('Client contacts'!$A$2:$A$500=$A379)*('Client contacts'!$G$2:$G$500="Y"),""),1),""))</f>
        <v/>
      </c>
      <c r="H379" s="5">
        <f>IF($A379="","",IFERROR(INDEX(FILTER('Client contacts'!$B$2:$B$500,('Client contacts'!$A$2:$A$500=$A379)*('Client contacts'!$G$2:$G$500="Y"),""),2),""))</f>
        <v/>
      </c>
      <c r="I379" s="5">
        <f>IF($A379="","",IFERROR(INDEX(FILTER('Client contacts'!$C$2:$C$500,('Client contacts'!$A$2:$A$500=$A379)*('Client contacts'!$G$2:$G$500="Y"),""),2),""))</f>
        <v/>
      </c>
      <c r="J379" s="8" t="n"/>
      <c r="K379" s="8" t="n"/>
      <c r="L379" s="8" t="n"/>
      <c r="M379" s="8" t="n"/>
      <c r="N379" s="8" t="n"/>
      <c r="O379" s="8" t="n"/>
      <c r="P379" s="8" t="n"/>
      <c r="Q379" s="8" t="n"/>
      <c r="R379" s="5">
        <f>IF($A379="","",IFERROR(INDEX(Companies!$I$2:$I$500,MATCH($A379,Companies!$A$2:$A$500,0)),""))</f>
        <v/>
      </c>
      <c r="S379" s="8" t="n"/>
      <c r="T379" s="8" t="n"/>
      <c r="U379" s="8" t="n"/>
      <c r="V379" s="8" t="n"/>
      <c r="W379" s="8" t="n"/>
    </row>
    <row r="380">
      <c r="C380" s="5">
        <f>IF($B380="","",TRIM(IF(INDEX('MOA role matrix'!$B$2:$D$13,1,MATCH($B380,'MOA role matrix'!$B$1:$D$1,0))="Fill","Project initiator, ","")IF(INDEX('MOA role matrix'!$B$2:$D$13,1,MATCH($B380,'MOA role matrix'!$B$1:$D$1,0))="If finance","Project initiator (if finance), ","")IF(INDEX('MOA role matrix'!$B$2:$D$13,1,MATCH($B380,'MOA role matrix'!$B$1:$D$1,0))="Auto","Project initiator (auto), ","")IF(INDEX('MOA role matrix'!$B$2:$D$13,2,MATCH($B380,'MOA role matrix'!$B$1:$D$1,0))="Fill","MOA signers (client), ","")IF(INDEX('MOA role matrix'!$B$2:$D$13,2,MATCH($B380,'MOA role matrix'!$B$1:$D$1,0))="If finance","MOA signers (client) (if finance), ","")IF(INDEX('MOA role matrix'!$B$2:$D$13,2,MATCH($B380,'MOA role matrix'!$B$1:$D$1,0))="Auto","MOA signers (client) (auto), ","")IF(INDEX('MOA role matrix'!$B$2:$D$13,3,MATCH($B380,'MOA role matrix'!$B$1:$D$1,0))="Fill","CFO / Head of Finance, ","")IF(INDEX('MOA role matrix'!$B$2:$D$13,3,MATCH($B380,'MOA role matrix'!$B$1:$D$1,0))="If finance","CFO / Head of Finance (if finance), ","")IF(INDEX('MOA role matrix'!$B$2:$D$13,3,MATCH($B380,'MOA role matrix'!$B$1:$D$1,0))="Auto","CFO / Head of Finance (auto), ","")IF(INDEX('MOA role matrix'!$B$2:$D$13,4,MATCH($B380,'MOA role matrix'!$B$1:$D$1,0))="Fill","CEO / COO / GM, ","")IF(INDEX('MOA role matrix'!$B$2:$D$13,4,MATCH($B380,'MOA role matrix'!$B$1:$D$1,0))="If finance","CEO / COO / GM (if finance), ","")IF(INDEX('MOA role matrix'!$B$2:$D$13,4,MATCH($B380,'MOA role matrix'!$B$1:$D$1,0))="Auto","CEO / COO / GM (auto), ","")IF(INDEX('MOA role matrix'!$B$2:$D$13,5,MATCH($B380,'MOA role matrix'!$B$1:$D$1,0))="Fill","Board member 1, ","")IF(INDEX('MOA role matrix'!$B$2:$D$13,5,MATCH($B380,'MOA role matrix'!$B$1:$D$1,0))="If finance","Board member 1 (if finance), ","")IF(INDEX('MOA role matrix'!$B$2:$D$13,5,MATCH($B380,'MOA role matrix'!$B$1:$D$1,0))="Auto","Board member 1 (auto), ","")IF(INDEX('MOA role matrix'!$B$2:$D$13,6,MATCH($B380,'MOA role matrix'!$B$1:$D$1,0))="Fill","Board member 2, ","")IF(INDEX('MOA role matrix'!$B$2:$D$13,6,MATCH($B380,'MOA role matrix'!$B$1:$D$1,0))="If finance","Board member 2 (if finance), ","")IF(INDEX('MOA role matrix'!$B$2:$D$13,6,MATCH($B380,'MOA role matrix'!$B$1:$D$1,0))="Auto","Board member 2 (auto), ","")IF(INDEX('MOA role matrix'!$B$2:$D$13,7,MATCH($B380,'MOA role matrix'!$B$1:$D$1,0))="Fill","LOA holder 1, ","")IF(INDEX('MOA role matrix'!$B$2:$D$13,7,MATCH($B380,'MOA role matrix'!$B$1:$D$1,0))="If finance","LOA holder 1 (if finance), ","")IF(INDEX('MOA role matrix'!$B$2:$D$13,7,MATCH($B380,'MOA role matrix'!$B$1:$D$1,0))="Auto","LOA holder 1 (auto), ","")IF(INDEX('MOA role matrix'!$B$2:$D$13,8,MATCH($B380,'MOA role matrix'!$B$1:$D$1,0))="Fill","LOA holder 2, ","")IF(INDEX('MOA role matrix'!$B$2:$D$13,8,MATCH($B380,'MOA role matrix'!$B$1:$D$1,0))="If finance","LOA holder 2 (if finance), ","")IF(INDEX('MOA role matrix'!$B$2:$D$13,8,MATCH($B380,'MOA role matrix'!$B$1:$D$1,0))="Auto","LOA holder 2 (auto), ","")IF(INDEX('MOA role matrix'!$B$2:$D$13,9,MATCH($B380,'MOA role matrix'!$B$1:$D$1,0))="Fill","Senior Manager CoSec, ","")IF(INDEX('MOA role matrix'!$B$2:$D$13,9,MATCH($B380,'MOA role matrix'!$B$1:$D$1,0))="If finance","Senior Manager CoSec (if finance), ","")IF(INDEX('MOA role matrix'!$B$2:$D$13,9,MATCH($B380,'MOA role matrix'!$B$1:$D$1,0))="Auto","Senior Manager CoSec (auto), ","")IF(INDEX('MOA role matrix'!$B$2:$D$13,10,MATCH($B380,'MOA role matrix'!$B$1:$D$1,0))="Fill","Division MOI managers, ","")IF(INDEX('MOA role matrix'!$B$2:$D$13,10,MATCH($B380,'MOA role matrix'!$B$1:$D$1,0))="If finance","Division MOI managers (if finance), ","")IF(INDEX('MOA role matrix'!$B$2:$D$13,10,MATCH($B380,'MOA role matrix'!$B$1:$D$1,0))="Auto","Division MOI managers (auto), ","")IF(INDEX('MOA role matrix'!$B$2:$D$13,11,MATCH($B380,'MOA role matrix'!$B$1:$D$1,0))="Fill","Ms Teh (bank), ","")IF(INDEX('MOA role matrix'!$B$2:$D$13,11,MATCH($B380,'MOA role matrix'!$B$1:$D$1,0))="If finance","Ms Teh (bank) (if finance), ","")IF(INDEX('MOA role matrix'!$B$2:$D$13,11,MATCH($B380,'MOA role matrix'!$B$1:$D$1,0))="Auto","Ms Teh (bank) (auto), ","")IF(INDEX('MOA role matrix'!$B$2:$D$13,12,MATCH($B380,'MOA role matrix'!$B$1:$D$1,0))="Fill","DLCM, ","")IF(INDEX('MOA role matrix'!$B$2:$D$13,12,MATCH($B380,'MOA role matrix'!$B$1:$D$1,0))="If finance","DLCM (if finance), ","")IF(INDEX('MOA role matrix'!$B$2:$D$13,12,MATCH($B380,'MOA role matrix'!$B$1:$D$1,0))="Auto","DLCM (auto), ","")))</f>
        <v/>
      </c>
      <c r="D380" s="5">
        <f>IF($A380="","",IFERROR(INDEX(FILTER('Client contacts'!$B$2:$B$500,('Client contacts'!$A$2:$A$500=$A380)*('Client contacts'!$H$2:$H$500="Y"),""),1),""))</f>
        <v/>
      </c>
      <c r="E380" s="5">
        <f>IF($A380="","",IFERROR(INDEX(FILTER('Client contacts'!$C$2:$C$500,('Client contacts'!$A$2:$A$500=$A380)*('Client contacts'!$H$2:$H$500="Y"),""),1),""))</f>
        <v/>
      </c>
      <c r="F380" s="5">
        <f>IF($A380="","",IFERROR(INDEX(FILTER('Client contacts'!$B$2:$B$500,('Client contacts'!$A$2:$A$500=$A380)*('Client contacts'!$G$2:$G$500="Y"),""),1),""))</f>
        <v/>
      </c>
      <c r="G380" s="5">
        <f>IF($A380="","",IFERROR(INDEX(FILTER('Client contacts'!$C$2:$C$500,('Client contacts'!$A$2:$A$500=$A380)*('Client contacts'!$G$2:$G$500="Y"),""),1),""))</f>
        <v/>
      </c>
      <c r="H380" s="5">
        <f>IF($A380="","",IFERROR(INDEX(FILTER('Client contacts'!$B$2:$B$500,('Client contacts'!$A$2:$A$500=$A380)*('Client contacts'!$G$2:$G$500="Y"),""),2),""))</f>
        <v/>
      </c>
      <c r="I380" s="5">
        <f>IF($A380="","",IFERROR(INDEX(FILTER('Client contacts'!$C$2:$C$500,('Client contacts'!$A$2:$A$500=$A380)*('Client contacts'!$G$2:$G$500="Y"),""),2),""))</f>
        <v/>
      </c>
      <c r="J380" s="8" t="n"/>
      <c r="K380" s="8" t="n"/>
      <c r="L380" s="8" t="n"/>
      <c r="M380" s="8" t="n"/>
      <c r="N380" s="8" t="n"/>
      <c r="O380" s="8" t="n"/>
      <c r="P380" s="8" t="n"/>
      <c r="Q380" s="8" t="n"/>
      <c r="R380" s="5">
        <f>IF($A380="","",IFERROR(INDEX(Companies!$I$2:$I$500,MATCH($A380,Companies!$A$2:$A$500,0)),""))</f>
        <v/>
      </c>
      <c r="S380" s="8" t="n"/>
      <c r="T380" s="8" t="n"/>
      <c r="U380" s="8" t="n"/>
      <c r="V380" s="8" t="n"/>
      <c r="W380" s="8" t="n"/>
    </row>
    <row r="381">
      <c r="C381" s="5">
        <f>IF($B381="","",TRIM(IF(INDEX('MOA role matrix'!$B$2:$D$13,1,MATCH($B381,'MOA role matrix'!$B$1:$D$1,0))="Fill","Project initiator, ","")IF(INDEX('MOA role matrix'!$B$2:$D$13,1,MATCH($B381,'MOA role matrix'!$B$1:$D$1,0))="If finance","Project initiator (if finance), ","")IF(INDEX('MOA role matrix'!$B$2:$D$13,1,MATCH($B381,'MOA role matrix'!$B$1:$D$1,0))="Auto","Project initiator (auto), ","")IF(INDEX('MOA role matrix'!$B$2:$D$13,2,MATCH($B381,'MOA role matrix'!$B$1:$D$1,0))="Fill","MOA signers (client), ","")IF(INDEX('MOA role matrix'!$B$2:$D$13,2,MATCH($B381,'MOA role matrix'!$B$1:$D$1,0))="If finance","MOA signers (client) (if finance), ","")IF(INDEX('MOA role matrix'!$B$2:$D$13,2,MATCH($B381,'MOA role matrix'!$B$1:$D$1,0))="Auto","MOA signers (client) (auto), ","")IF(INDEX('MOA role matrix'!$B$2:$D$13,3,MATCH($B381,'MOA role matrix'!$B$1:$D$1,0))="Fill","CFO / Head of Finance, ","")IF(INDEX('MOA role matrix'!$B$2:$D$13,3,MATCH($B381,'MOA role matrix'!$B$1:$D$1,0))="If finance","CFO / Head of Finance (if finance), ","")IF(INDEX('MOA role matrix'!$B$2:$D$13,3,MATCH($B381,'MOA role matrix'!$B$1:$D$1,0))="Auto","CFO / Head of Finance (auto), ","")IF(INDEX('MOA role matrix'!$B$2:$D$13,4,MATCH($B381,'MOA role matrix'!$B$1:$D$1,0))="Fill","CEO / COO / GM, ","")IF(INDEX('MOA role matrix'!$B$2:$D$13,4,MATCH($B381,'MOA role matrix'!$B$1:$D$1,0))="If finance","CEO / COO / GM (if finance), ","")IF(INDEX('MOA role matrix'!$B$2:$D$13,4,MATCH($B381,'MOA role matrix'!$B$1:$D$1,0))="Auto","CEO / COO / GM (auto), ","")IF(INDEX('MOA role matrix'!$B$2:$D$13,5,MATCH($B381,'MOA role matrix'!$B$1:$D$1,0))="Fill","Board member 1, ","")IF(INDEX('MOA role matrix'!$B$2:$D$13,5,MATCH($B381,'MOA role matrix'!$B$1:$D$1,0))="If finance","Board member 1 (if finance), ","")IF(INDEX('MOA role matrix'!$B$2:$D$13,5,MATCH($B381,'MOA role matrix'!$B$1:$D$1,0))="Auto","Board member 1 (auto), ","")IF(INDEX('MOA role matrix'!$B$2:$D$13,6,MATCH($B381,'MOA role matrix'!$B$1:$D$1,0))="Fill","Board member 2, ","")IF(INDEX('MOA role matrix'!$B$2:$D$13,6,MATCH($B381,'MOA role matrix'!$B$1:$D$1,0))="If finance","Board member 2 (if finance), ","")IF(INDEX('MOA role matrix'!$B$2:$D$13,6,MATCH($B381,'MOA role matrix'!$B$1:$D$1,0))="Auto","Board member 2 (auto), ","")IF(INDEX('MOA role matrix'!$B$2:$D$13,7,MATCH($B381,'MOA role matrix'!$B$1:$D$1,0))="Fill","LOA holder 1, ","")IF(INDEX('MOA role matrix'!$B$2:$D$13,7,MATCH($B381,'MOA role matrix'!$B$1:$D$1,0))="If finance","LOA holder 1 (if finance), ","")IF(INDEX('MOA role matrix'!$B$2:$D$13,7,MATCH($B381,'MOA role matrix'!$B$1:$D$1,0))="Auto","LOA holder 1 (auto), ","")IF(INDEX('MOA role matrix'!$B$2:$D$13,8,MATCH($B381,'MOA role matrix'!$B$1:$D$1,0))="Fill","LOA holder 2, ","")IF(INDEX('MOA role matrix'!$B$2:$D$13,8,MATCH($B381,'MOA role matrix'!$B$1:$D$1,0))="If finance","LOA holder 2 (if finance), ","")IF(INDEX('MOA role matrix'!$B$2:$D$13,8,MATCH($B381,'MOA role matrix'!$B$1:$D$1,0))="Auto","LOA holder 2 (auto), ","")IF(INDEX('MOA role matrix'!$B$2:$D$13,9,MATCH($B381,'MOA role matrix'!$B$1:$D$1,0))="Fill","Senior Manager CoSec, ","")IF(INDEX('MOA role matrix'!$B$2:$D$13,9,MATCH($B381,'MOA role matrix'!$B$1:$D$1,0))="If finance","Senior Manager CoSec (if finance), ","")IF(INDEX('MOA role matrix'!$B$2:$D$13,9,MATCH($B381,'MOA role matrix'!$B$1:$D$1,0))="Auto","Senior Manager CoSec (auto), ","")IF(INDEX('MOA role matrix'!$B$2:$D$13,10,MATCH($B381,'MOA role matrix'!$B$1:$D$1,0))="Fill","Division MOI managers, ","")IF(INDEX('MOA role matrix'!$B$2:$D$13,10,MATCH($B381,'MOA role matrix'!$B$1:$D$1,0))="If finance","Division MOI managers (if finance), ","")IF(INDEX('MOA role matrix'!$B$2:$D$13,10,MATCH($B381,'MOA role matrix'!$B$1:$D$1,0))="Auto","Division MOI managers (auto), ","")IF(INDEX('MOA role matrix'!$B$2:$D$13,11,MATCH($B381,'MOA role matrix'!$B$1:$D$1,0))="Fill","Ms Teh (bank), ","")IF(INDEX('MOA role matrix'!$B$2:$D$13,11,MATCH($B381,'MOA role matrix'!$B$1:$D$1,0))="If finance","Ms Teh (bank) (if finance), ","")IF(INDEX('MOA role matrix'!$B$2:$D$13,11,MATCH($B381,'MOA role matrix'!$B$1:$D$1,0))="Auto","Ms Teh (bank) (auto), ","")IF(INDEX('MOA role matrix'!$B$2:$D$13,12,MATCH($B381,'MOA role matrix'!$B$1:$D$1,0))="Fill","DLCM, ","")IF(INDEX('MOA role matrix'!$B$2:$D$13,12,MATCH($B381,'MOA role matrix'!$B$1:$D$1,0))="If finance","DLCM (if finance), ","")IF(INDEX('MOA role matrix'!$B$2:$D$13,12,MATCH($B381,'MOA role matrix'!$B$1:$D$1,0))="Auto","DLCM (auto), ","")))</f>
        <v/>
      </c>
      <c r="D381" s="5">
        <f>IF($A381="","",IFERROR(INDEX(FILTER('Client contacts'!$B$2:$B$500,('Client contacts'!$A$2:$A$500=$A381)*('Client contacts'!$H$2:$H$500="Y"),""),1),""))</f>
        <v/>
      </c>
      <c r="E381" s="5">
        <f>IF($A381="","",IFERROR(INDEX(FILTER('Client contacts'!$C$2:$C$500,('Client contacts'!$A$2:$A$500=$A381)*('Client contacts'!$H$2:$H$500="Y"),""),1),""))</f>
        <v/>
      </c>
      <c r="F381" s="5">
        <f>IF($A381="","",IFERROR(INDEX(FILTER('Client contacts'!$B$2:$B$500,('Client contacts'!$A$2:$A$500=$A381)*('Client contacts'!$G$2:$G$500="Y"),""),1),""))</f>
        <v/>
      </c>
      <c r="G381" s="5">
        <f>IF($A381="","",IFERROR(INDEX(FILTER('Client contacts'!$C$2:$C$500,('Client contacts'!$A$2:$A$500=$A381)*('Client contacts'!$G$2:$G$500="Y"),""),1),""))</f>
        <v/>
      </c>
      <c r="H381" s="5">
        <f>IF($A381="","",IFERROR(INDEX(FILTER('Client contacts'!$B$2:$B$500,('Client contacts'!$A$2:$A$500=$A381)*('Client contacts'!$G$2:$G$500="Y"),""),2),""))</f>
        <v/>
      </c>
      <c r="I381" s="5">
        <f>IF($A381="","",IFERROR(INDEX(FILTER('Client contacts'!$C$2:$C$500,('Client contacts'!$A$2:$A$500=$A381)*('Client contacts'!$G$2:$G$500="Y"),""),2),""))</f>
        <v/>
      </c>
      <c r="J381" s="8" t="n"/>
      <c r="K381" s="8" t="n"/>
      <c r="L381" s="8" t="n"/>
      <c r="M381" s="8" t="n"/>
      <c r="N381" s="8" t="n"/>
      <c r="O381" s="8" t="n"/>
      <c r="P381" s="8" t="n"/>
      <c r="Q381" s="8" t="n"/>
      <c r="R381" s="5">
        <f>IF($A381="","",IFERROR(INDEX(Companies!$I$2:$I$500,MATCH($A381,Companies!$A$2:$A$500,0)),""))</f>
        <v/>
      </c>
      <c r="S381" s="8" t="n"/>
      <c r="T381" s="8" t="n"/>
      <c r="U381" s="8" t="n"/>
      <c r="V381" s="8" t="n"/>
      <c r="W381" s="8" t="n"/>
    </row>
    <row r="382">
      <c r="C382" s="5">
        <f>IF($B382="","",TRIM(IF(INDEX('MOA role matrix'!$B$2:$D$13,1,MATCH($B382,'MOA role matrix'!$B$1:$D$1,0))="Fill","Project initiator, ","")IF(INDEX('MOA role matrix'!$B$2:$D$13,1,MATCH($B382,'MOA role matrix'!$B$1:$D$1,0))="If finance","Project initiator (if finance), ","")IF(INDEX('MOA role matrix'!$B$2:$D$13,1,MATCH($B382,'MOA role matrix'!$B$1:$D$1,0))="Auto","Project initiator (auto), ","")IF(INDEX('MOA role matrix'!$B$2:$D$13,2,MATCH($B382,'MOA role matrix'!$B$1:$D$1,0))="Fill","MOA signers (client), ","")IF(INDEX('MOA role matrix'!$B$2:$D$13,2,MATCH($B382,'MOA role matrix'!$B$1:$D$1,0))="If finance","MOA signers (client) (if finance), ","")IF(INDEX('MOA role matrix'!$B$2:$D$13,2,MATCH($B382,'MOA role matrix'!$B$1:$D$1,0))="Auto","MOA signers (client) (auto), ","")IF(INDEX('MOA role matrix'!$B$2:$D$13,3,MATCH($B382,'MOA role matrix'!$B$1:$D$1,0))="Fill","CFO / Head of Finance, ","")IF(INDEX('MOA role matrix'!$B$2:$D$13,3,MATCH($B382,'MOA role matrix'!$B$1:$D$1,0))="If finance","CFO / Head of Finance (if finance), ","")IF(INDEX('MOA role matrix'!$B$2:$D$13,3,MATCH($B382,'MOA role matrix'!$B$1:$D$1,0))="Auto","CFO / Head of Finance (auto), ","")IF(INDEX('MOA role matrix'!$B$2:$D$13,4,MATCH($B382,'MOA role matrix'!$B$1:$D$1,0))="Fill","CEO / COO / GM, ","")IF(INDEX('MOA role matrix'!$B$2:$D$13,4,MATCH($B382,'MOA role matrix'!$B$1:$D$1,0))="If finance","CEO / COO / GM (if finance), ","")IF(INDEX('MOA role matrix'!$B$2:$D$13,4,MATCH($B382,'MOA role matrix'!$B$1:$D$1,0))="Auto","CEO / COO / GM (auto), ","")IF(INDEX('MOA role matrix'!$B$2:$D$13,5,MATCH($B382,'MOA role matrix'!$B$1:$D$1,0))="Fill","Board member 1, ","")IF(INDEX('MOA role matrix'!$B$2:$D$13,5,MATCH($B382,'MOA role matrix'!$B$1:$D$1,0))="If finance","Board member 1 (if finance), ","")IF(INDEX('MOA role matrix'!$B$2:$D$13,5,MATCH($B382,'MOA role matrix'!$B$1:$D$1,0))="Auto","Board member 1 (auto), ","")IF(INDEX('MOA role matrix'!$B$2:$D$13,6,MATCH($B382,'MOA role matrix'!$B$1:$D$1,0))="Fill","Board member 2, ","")IF(INDEX('MOA role matrix'!$B$2:$D$13,6,MATCH($B382,'MOA role matrix'!$B$1:$D$1,0))="If finance","Board member 2 (if finance), ","")IF(INDEX('MOA role matrix'!$B$2:$D$13,6,MATCH($B382,'MOA role matrix'!$B$1:$D$1,0))="Auto","Board member 2 (auto), ","")IF(INDEX('MOA role matrix'!$B$2:$D$13,7,MATCH($B382,'MOA role matrix'!$B$1:$D$1,0))="Fill","LOA holder 1, ","")IF(INDEX('MOA role matrix'!$B$2:$D$13,7,MATCH($B382,'MOA role matrix'!$B$1:$D$1,0))="If finance","LOA holder 1 (if finance), ","")IF(INDEX('MOA role matrix'!$B$2:$D$13,7,MATCH($B382,'MOA role matrix'!$B$1:$D$1,0))="Auto","LOA holder 1 (auto), ","")IF(INDEX('MOA role matrix'!$B$2:$D$13,8,MATCH($B382,'MOA role matrix'!$B$1:$D$1,0))="Fill","LOA holder 2, ","")IF(INDEX('MOA role matrix'!$B$2:$D$13,8,MATCH($B382,'MOA role matrix'!$B$1:$D$1,0))="If finance","LOA holder 2 (if finance), ","")IF(INDEX('MOA role matrix'!$B$2:$D$13,8,MATCH($B382,'MOA role matrix'!$B$1:$D$1,0))="Auto","LOA holder 2 (auto), ","")IF(INDEX('MOA role matrix'!$B$2:$D$13,9,MATCH($B382,'MOA role matrix'!$B$1:$D$1,0))="Fill","Senior Manager CoSec, ","")IF(INDEX('MOA role matrix'!$B$2:$D$13,9,MATCH($B382,'MOA role matrix'!$B$1:$D$1,0))="If finance","Senior Manager CoSec (if finance), ","")IF(INDEX('MOA role matrix'!$B$2:$D$13,9,MATCH($B382,'MOA role matrix'!$B$1:$D$1,0))="Auto","Senior Manager CoSec (auto), ","")IF(INDEX('MOA role matrix'!$B$2:$D$13,10,MATCH($B382,'MOA role matrix'!$B$1:$D$1,0))="Fill","Division MOI managers, ","")IF(INDEX('MOA role matrix'!$B$2:$D$13,10,MATCH($B382,'MOA role matrix'!$B$1:$D$1,0))="If finance","Division MOI managers (if finance), ","")IF(INDEX('MOA role matrix'!$B$2:$D$13,10,MATCH($B382,'MOA role matrix'!$B$1:$D$1,0))="Auto","Division MOI managers (auto), ","")IF(INDEX('MOA role matrix'!$B$2:$D$13,11,MATCH($B382,'MOA role matrix'!$B$1:$D$1,0))="Fill","Ms Teh (bank), ","")IF(INDEX('MOA role matrix'!$B$2:$D$13,11,MATCH($B382,'MOA role matrix'!$B$1:$D$1,0))="If finance","Ms Teh (bank) (if finance), ","")IF(INDEX('MOA role matrix'!$B$2:$D$13,11,MATCH($B382,'MOA role matrix'!$B$1:$D$1,0))="Auto","Ms Teh (bank) (auto), ","")IF(INDEX('MOA role matrix'!$B$2:$D$13,12,MATCH($B382,'MOA role matrix'!$B$1:$D$1,0))="Fill","DLCM, ","")IF(INDEX('MOA role matrix'!$B$2:$D$13,12,MATCH($B382,'MOA role matrix'!$B$1:$D$1,0))="If finance","DLCM (if finance), ","")IF(INDEX('MOA role matrix'!$B$2:$D$13,12,MATCH($B382,'MOA role matrix'!$B$1:$D$1,0))="Auto","DLCM (auto), ","")))</f>
        <v/>
      </c>
      <c r="D382" s="5">
        <f>IF($A382="","",IFERROR(INDEX(FILTER('Client contacts'!$B$2:$B$500,('Client contacts'!$A$2:$A$500=$A382)*('Client contacts'!$H$2:$H$500="Y"),""),1),""))</f>
        <v/>
      </c>
      <c r="E382" s="5">
        <f>IF($A382="","",IFERROR(INDEX(FILTER('Client contacts'!$C$2:$C$500,('Client contacts'!$A$2:$A$500=$A382)*('Client contacts'!$H$2:$H$500="Y"),""),1),""))</f>
        <v/>
      </c>
      <c r="F382" s="5">
        <f>IF($A382="","",IFERROR(INDEX(FILTER('Client contacts'!$B$2:$B$500,('Client contacts'!$A$2:$A$500=$A382)*('Client contacts'!$G$2:$G$500="Y"),""),1),""))</f>
        <v/>
      </c>
      <c r="G382" s="5">
        <f>IF($A382="","",IFERROR(INDEX(FILTER('Client contacts'!$C$2:$C$500,('Client contacts'!$A$2:$A$500=$A382)*('Client contacts'!$G$2:$G$500="Y"),""),1),""))</f>
        <v/>
      </c>
      <c r="H382" s="5">
        <f>IF($A382="","",IFERROR(INDEX(FILTER('Client contacts'!$B$2:$B$500,('Client contacts'!$A$2:$A$500=$A382)*('Client contacts'!$G$2:$G$500="Y"),""),2),""))</f>
        <v/>
      </c>
      <c r="I382" s="5">
        <f>IF($A382="","",IFERROR(INDEX(FILTER('Client contacts'!$C$2:$C$500,('Client contacts'!$A$2:$A$500=$A382)*('Client contacts'!$G$2:$G$500="Y"),""),2),""))</f>
        <v/>
      </c>
      <c r="J382" s="8" t="n"/>
      <c r="K382" s="8" t="n"/>
      <c r="L382" s="8" t="n"/>
      <c r="M382" s="8" t="n"/>
      <c r="N382" s="8" t="n"/>
      <c r="O382" s="8" t="n"/>
      <c r="P382" s="8" t="n"/>
      <c r="Q382" s="8" t="n"/>
      <c r="R382" s="5">
        <f>IF($A382="","",IFERROR(INDEX(Companies!$I$2:$I$500,MATCH($A382,Companies!$A$2:$A$500,0)),""))</f>
        <v/>
      </c>
      <c r="S382" s="8" t="n"/>
      <c r="T382" s="8" t="n"/>
      <c r="U382" s="8" t="n"/>
      <c r="V382" s="8" t="n"/>
      <c r="W382" s="8" t="n"/>
    </row>
    <row r="383">
      <c r="C383" s="5">
        <f>IF($B383="","",TRIM(IF(INDEX('MOA role matrix'!$B$2:$D$13,1,MATCH($B383,'MOA role matrix'!$B$1:$D$1,0))="Fill","Project initiator, ","")IF(INDEX('MOA role matrix'!$B$2:$D$13,1,MATCH($B383,'MOA role matrix'!$B$1:$D$1,0))="If finance","Project initiator (if finance), ","")IF(INDEX('MOA role matrix'!$B$2:$D$13,1,MATCH($B383,'MOA role matrix'!$B$1:$D$1,0))="Auto","Project initiator (auto), ","")IF(INDEX('MOA role matrix'!$B$2:$D$13,2,MATCH($B383,'MOA role matrix'!$B$1:$D$1,0))="Fill","MOA signers (client), ","")IF(INDEX('MOA role matrix'!$B$2:$D$13,2,MATCH($B383,'MOA role matrix'!$B$1:$D$1,0))="If finance","MOA signers (client) (if finance), ","")IF(INDEX('MOA role matrix'!$B$2:$D$13,2,MATCH($B383,'MOA role matrix'!$B$1:$D$1,0))="Auto","MOA signers (client) (auto), ","")IF(INDEX('MOA role matrix'!$B$2:$D$13,3,MATCH($B383,'MOA role matrix'!$B$1:$D$1,0))="Fill","CFO / Head of Finance, ","")IF(INDEX('MOA role matrix'!$B$2:$D$13,3,MATCH($B383,'MOA role matrix'!$B$1:$D$1,0))="If finance","CFO / Head of Finance (if finance), ","")IF(INDEX('MOA role matrix'!$B$2:$D$13,3,MATCH($B383,'MOA role matrix'!$B$1:$D$1,0))="Auto","CFO / Head of Finance (auto), ","")IF(INDEX('MOA role matrix'!$B$2:$D$13,4,MATCH($B383,'MOA role matrix'!$B$1:$D$1,0))="Fill","CEO / COO / GM, ","")IF(INDEX('MOA role matrix'!$B$2:$D$13,4,MATCH($B383,'MOA role matrix'!$B$1:$D$1,0))="If finance","CEO / COO / GM (if finance), ","")IF(INDEX('MOA role matrix'!$B$2:$D$13,4,MATCH($B383,'MOA role matrix'!$B$1:$D$1,0))="Auto","CEO / COO / GM (auto), ","")IF(INDEX('MOA role matrix'!$B$2:$D$13,5,MATCH($B383,'MOA role matrix'!$B$1:$D$1,0))="Fill","Board member 1, ","")IF(INDEX('MOA role matrix'!$B$2:$D$13,5,MATCH($B383,'MOA role matrix'!$B$1:$D$1,0))="If finance","Board member 1 (if finance), ","")IF(INDEX('MOA role matrix'!$B$2:$D$13,5,MATCH($B383,'MOA role matrix'!$B$1:$D$1,0))="Auto","Board member 1 (auto), ","")IF(INDEX('MOA role matrix'!$B$2:$D$13,6,MATCH($B383,'MOA role matrix'!$B$1:$D$1,0))="Fill","Board member 2, ","")IF(INDEX('MOA role matrix'!$B$2:$D$13,6,MATCH($B383,'MOA role matrix'!$B$1:$D$1,0))="If finance","Board member 2 (if finance), ","")IF(INDEX('MOA role matrix'!$B$2:$D$13,6,MATCH($B383,'MOA role matrix'!$B$1:$D$1,0))="Auto","Board member 2 (auto), ","")IF(INDEX('MOA role matrix'!$B$2:$D$13,7,MATCH($B383,'MOA role matrix'!$B$1:$D$1,0))="Fill","LOA holder 1, ","")IF(INDEX('MOA role matrix'!$B$2:$D$13,7,MATCH($B383,'MOA role matrix'!$B$1:$D$1,0))="If finance","LOA holder 1 (if finance), ","")IF(INDEX('MOA role matrix'!$B$2:$D$13,7,MATCH($B383,'MOA role matrix'!$B$1:$D$1,0))="Auto","LOA holder 1 (auto), ","")IF(INDEX('MOA role matrix'!$B$2:$D$13,8,MATCH($B383,'MOA role matrix'!$B$1:$D$1,0))="Fill","LOA holder 2, ","")IF(INDEX('MOA role matrix'!$B$2:$D$13,8,MATCH($B383,'MOA role matrix'!$B$1:$D$1,0))="If finance","LOA holder 2 (if finance), ","")IF(INDEX('MOA role matrix'!$B$2:$D$13,8,MATCH($B383,'MOA role matrix'!$B$1:$D$1,0))="Auto","LOA holder 2 (auto), ","")IF(INDEX('MOA role matrix'!$B$2:$D$13,9,MATCH($B383,'MOA role matrix'!$B$1:$D$1,0))="Fill","Senior Manager CoSec, ","")IF(INDEX('MOA role matrix'!$B$2:$D$13,9,MATCH($B383,'MOA role matrix'!$B$1:$D$1,0))="If finance","Senior Manager CoSec (if finance), ","")IF(INDEX('MOA role matrix'!$B$2:$D$13,9,MATCH($B383,'MOA role matrix'!$B$1:$D$1,0))="Auto","Senior Manager CoSec (auto), ","")IF(INDEX('MOA role matrix'!$B$2:$D$13,10,MATCH($B383,'MOA role matrix'!$B$1:$D$1,0))="Fill","Division MOI managers, ","")IF(INDEX('MOA role matrix'!$B$2:$D$13,10,MATCH($B383,'MOA role matrix'!$B$1:$D$1,0))="If finance","Division MOI managers (if finance), ","")IF(INDEX('MOA role matrix'!$B$2:$D$13,10,MATCH($B383,'MOA role matrix'!$B$1:$D$1,0))="Auto","Division MOI managers (auto), ","")IF(INDEX('MOA role matrix'!$B$2:$D$13,11,MATCH($B383,'MOA role matrix'!$B$1:$D$1,0))="Fill","Ms Teh (bank), ","")IF(INDEX('MOA role matrix'!$B$2:$D$13,11,MATCH($B383,'MOA role matrix'!$B$1:$D$1,0))="If finance","Ms Teh (bank) (if finance), ","")IF(INDEX('MOA role matrix'!$B$2:$D$13,11,MATCH($B383,'MOA role matrix'!$B$1:$D$1,0))="Auto","Ms Teh (bank) (auto), ","")IF(INDEX('MOA role matrix'!$B$2:$D$13,12,MATCH($B383,'MOA role matrix'!$B$1:$D$1,0))="Fill","DLCM, ","")IF(INDEX('MOA role matrix'!$B$2:$D$13,12,MATCH($B383,'MOA role matrix'!$B$1:$D$1,0))="If finance","DLCM (if finance), ","")IF(INDEX('MOA role matrix'!$B$2:$D$13,12,MATCH($B383,'MOA role matrix'!$B$1:$D$1,0))="Auto","DLCM (auto), ","")))</f>
        <v/>
      </c>
      <c r="D383" s="5">
        <f>IF($A383="","",IFERROR(INDEX(FILTER('Client contacts'!$B$2:$B$500,('Client contacts'!$A$2:$A$500=$A383)*('Client contacts'!$H$2:$H$500="Y"),""),1),""))</f>
        <v/>
      </c>
      <c r="E383" s="5">
        <f>IF($A383="","",IFERROR(INDEX(FILTER('Client contacts'!$C$2:$C$500,('Client contacts'!$A$2:$A$500=$A383)*('Client contacts'!$H$2:$H$500="Y"),""),1),""))</f>
        <v/>
      </c>
      <c r="F383" s="5">
        <f>IF($A383="","",IFERROR(INDEX(FILTER('Client contacts'!$B$2:$B$500,('Client contacts'!$A$2:$A$500=$A383)*('Client contacts'!$G$2:$G$500="Y"),""),1),""))</f>
        <v/>
      </c>
      <c r="G383" s="5">
        <f>IF($A383="","",IFERROR(INDEX(FILTER('Client contacts'!$C$2:$C$500,('Client contacts'!$A$2:$A$500=$A383)*('Client contacts'!$G$2:$G$500="Y"),""),1),""))</f>
        <v/>
      </c>
      <c r="H383" s="5">
        <f>IF($A383="","",IFERROR(INDEX(FILTER('Client contacts'!$B$2:$B$500,('Client contacts'!$A$2:$A$500=$A383)*('Client contacts'!$G$2:$G$500="Y"),""),2),""))</f>
        <v/>
      </c>
      <c r="I383" s="5">
        <f>IF($A383="","",IFERROR(INDEX(FILTER('Client contacts'!$C$2:$C$500,('Client contacts'!$A$2:$A$500=$A383)*('Client contacts'!$G$2:$G$500="Y"),""),2),""))</f>
        <v/>
      </c>
      <c r="J383" s="8" t="n"/>
      <c r="K383" s="8" t="n"/>
      <c r="L383" s="8" t="n"/>
      <c r="M383" s="8" t="n"/>
      <c r="N383" s="8" t="n"/>
      <c r="O383" s="8" t="n"/>
      <c r="P383" s="8" t="n"/>
      <c r="Q383" s="8" t="n"/>
      <c r="R383" s="5">
        <f>IF($A383="","",IFERROR(INDEX(Companies!$I$2:$I$500,MATCH($A383,Companies!$A$2:$A$500,0)),""))</f>
        <v/>
      </c>
      <c r="S383" s="8" t="n"/>
      <c r="T383" s="8" t="n"/>
      <c r="U383" s="8" t="n"/>
      <c r="V383" s="8" t="n"/>
      <c r="W383" s="8" t="n"/>
    </row>
    <row r="384">
      <c r="C384" s="5">
        <f>IF($B384="","",TRIM(IF(INDEX('MOA role matrix'!$B$2:$D$13,1,MATCH($B384,'MOA role matrix'!$B$1:$D$1,0))="Fill","Project initiator, ","")IF(INDEX('MOA role matrix'!$B$2:$D$13,1,MATCH($B384,'MOA role matrix'!$B$1:$D$1,0))="If finance","Project initiator (if finance), ","")IF(INDEX('MOA role matrix'!$B$2:$D$13,1,MATCH($B384,'MOA role matrix'!$B$1:$D$1,0))="Auto","Project initiator (auto), ","")IF(INDEX('MOA role matrix'!$B$2:$D$13,2,MATCH($B384,'MOA role matrix'!$B$1:$D$1,0))="Fill","MOA signers (client), ","")IF(INDEX('MOA role matrix'!$B$2:$D$13,2,MATCH($B384,'MOA role matrix'!$B$1:$D$1,0))="If finance","MOA signers (client) (if finance), ","")IF(INDEX('MOA role matrix'!$B$2:$D$13,2,MATCH($B384,'MOA role matrix'!$B$1:$D$1,0))="Auto","MOA signers (client) (auto), ","")IF(INDEX('MOA role matrix'!$B$2:$D$13,3,MATCH($B384,'MOA role matrix'!$B$1:$D$1,0))="Fill","CFO / Head of Finance, ","")IF(INDEX('MOA role matrix'!$B$2:$D$13,3,MATCH($B384,'MOA role matrix'!$B$1:$D$1,0))="If finance","CFO / Head of Finance (if finance), ","")IF(INDEX('MOA role matrix'!$B$2:$D$13,3,MATCH($B384,'MOA role matrix'!$B$1:$D$1,0))="Auto","CFO / Head of Finance (auto), ","")IF(INDEX('MOA role matrix'!$B$2:$D$13,4,MATCH($B384,'MOA role matrix'!$B$1:$D$1,0))="Fill","CEO / COO / GM, ","")IF(INDEX('MOA role matrix'!$B$2:$D$13,4,MATCH($B384,'MOA role matrix'!$B$1:$D$1,0))="If finance","CEO / COO / GM (if finance), ","")IF(INDEX('MOA role matrix'!$B$2:$D$13,4,MATCH($B384,'MOA role matrix'!$B$1:$D$1,0))="Auto","CEO / COO / GM (auto), ","")IF(INDEX('MOA role matrix'!$B$2:$D$13,5,MATCH($B384,'MOA role matrix'!$B$1:$D$1,0))="Fill","Board member 1, ","")IF(INDEX('MOA role matrix'!$B$2:$D$13,5,MATCH($B384,'MOA role matrix'!$B$1:$D$1,0))="If finance","Board member 1 (if finance), ","")IF(INDEX('MOA role matrix'!$B$2:$D$13,5,MATCH($B384,'MOA role matrix'!$B$1:$D$1,0))="Auto","Board member 1 (auto), ","")IF(INDEX('MOA role matrix'!$B$2:$D$13,6,MATCH($B384,'MOA role matrix'!$B$1:$D$1,0))="Fill","Board member 2, ","")IF(INDEX('MOA role matrix'!$B$2:$D$13,6,MATCH($B384,'MOA role matrix'!$B$1:$D$1,0))="If finance","Board member 2 (if finance), ","")IF(INDEX('MOA role matrix'!$B$2:$D$13,6,MATCH($B384,'MOA role matrix'!$B$1:$D$1,0))="Auto","Board member 2 (auto), ","")IF(INDEX('MOA role matrix'!$B$2:$D$13,7,MATCH($B384,'MOA role matrix'!$B$1:$D$1,0))="Fill","LOA holder 1, ","")IF(INDEX('MOA role matrix'!$B$2:$D$13,7,MATCH($B384,'MOA role matrix'!$B$1:$D$1,0))="If finance","LOA holder 1 (if finance), ","")IF(INDEX('MOA role matrix'!$B$2:$D$13,7,MATCH($B384,'MOA role matrix'!$B$1:$D$1,0))="Auto","LOA holder 1 (auto), ","")IF(INDEX('MOA role matrix'!$B$2:$D$13,8,MATCH($B384,'MOA role matrix'!$B$1:$D$1,0))="Fill","LOA holder 2, ","")IF(INDEX('MOA role matrix'!$B$2:$D$13,8,MATCH($B384,'MOA role matrix'!$B$1:$D$1,0))="If finance","LOA holder 2 (if finance), ","")IF(INDEX('MOA role matrix'!$B$2:$D$13,8,MATCH($B384,'MOA role matrix'!$B$1:$D$1,0))="Auto","LOA holder 2 (auto), ","")IF(INDEX('MOA role matrix'!$B$2:$D$13,9,MATCH($B384,'MOA role matrix'!$B$1:$D$1,0))="Fill","Senior Manager CoSec, ","")IF(INDEX('MOA role matrix'!$B$2:$D$13,9,MATCH($B384,'MOA role matrix'!$B$1:$D$1,0))="If finance","Senior Manager CoSec (if finance), ","")IF(INDEX('MOA role matrix'!$B$2:$D$13,9,MATCH($B384,'MOA role matrix'!$B$1:$D$1,0))="Auto","Senior Manager CoSec (auto), ","")IF(INDEX('MOA role matrix'!$B$2:$D$13,10,MATCH($B384,'MOA role matrix'!$B$1:$D$1,0))="Fill","Division MOI managers, ","")IF(INDEX('MOA role matrix'!$B$2:$D$13,10,MATCH($B384,'MOA role matrix'!$B$1:$D$1,0))="If finance","Division MOI managers (if finance), ","")IF(INDEX('MOA role matrix'!$B$2:$D$13,10,MATCH($B384,'MOA role matrix'!$B$1:$D$1,0))="Auto","Division MOI managers (auto), ","")IF(INDEX('MOA role matrix'!$B$2:$D$13,11,MATCH($B384,'MOA role matrix'!$B$1:$D$1,0))="Fill","Ms Teh (bank), ","")IF(INDEX('MOA role matrix'!$B$2:$D$13,11,MATCH($B384,'MOA role matrix'!$B$1:$D$1,0))="If finance","Ms Teh (bank) (if finance), ","")IF(INDEX('MOA role matrix'!$B$2:$D$13,11,MATCH($B384,'MOA role matrix'!$B$1:$D$1,0))="Auto","Ms Teh (bank) (auto), ","")IF(INDEX('MOA role matrix'!$B$2:$D$13,12,MATCH($B384,'MOA role matrix'!$B$1:$D$1,0))="Fill","DLCM, ","")IF(INDEX('MOA role matrix'!$B$2:$D$13,12,MATCH($B384,'MOA role matrix'!$B$1:$D$1,0))="If finance","DLCM (if finance), ","")IF(INDEX('MOA role matrix'!$B$2:$D$13,12,MATCH($B384,'MOA role matrix'!$B$1:$D$1,0))="Auto","DLCM (auto), ","")))</f>
        <v/>
      </c>
      <c r="D384" s="5">
        <f>IF($A384="","",IFERROR(INDEX(FILTER('Client contacts'!$B$2:$B$500,('Client contacts'!$A$2:$A$500=$A384)*('Client contacts'!$H$2:$H$500="Y"),""),1),""))</f>
        <v/>
      </c>
      <c r="E384" s="5">
        <f>IF($A384="","",IFERROR(INDEX(FILTER('Client contacts'!$C$2:$C$500,('Client contacts'!$A$2:$A$500=$A384)*('Client contacts'!$H$2:$H$500="Y"),""),1),""))</f>
        <v/>
      </c>
      <c r="F384" s="5">
        <f>IF($A384="","",IFERROR(INDEX(FILTER('Client contacts'!$B$2:$B$500,('Client contacts'!$A$2:$A$500=$A384)*('Client contacts'!$G$2:$G$500="Y"),""),1),""))</f>
        <v/>
      </c>
      <c r="G384" s="5">
        <f>IF($A384="","",IFERROR(INDEX(FILTER('Client contacts'!$C$2:$C$500,('Client contacts'!$A$2:$A$500=$A384)*('Client contacts'!$G$2:$G$500="Y"),""),1),""))</f>
        <v/>
      </c>
      <c r="H384" s="5">
        <f>IF($A384="","",IFERROR(INDEX(FILTER('Client contacts'!$B$2:$B$500,('Client contacts'!$A$2:$A$500=$A384)*('Client contacts'!$G$2:$G$500="Y"),""),2),""))</f>
        <v/>
      </c>
      <c r="I384" s="5">
        <f>IF($A384="","",IFERROR(INDEX(FILTER('Client contacts'!$C$2:$C$500,('Client contacts'!$A$2:$A$500=$A384)*('Client contacts'!$G$2:$G$500="Y"),""),2),""))</f>
        <v/>
      </c>
      <c r="J384" s="8" t="n"/>
      <c r="K384" s="8" t="n"/>
      <c r="L384" s="8" t="n"/>
      <c r="M384" s="8" t="n"/>
      <c r="N384" s="8" t="n"/>
      <c r="O384" s="8" t="n"/>
      <c r="P384" s="8" t="n"/>
      <c r="Q384" s="8" t="n"/>
      <c r="R384" s="5">
        <f>IF($A384="","",IFERROR(INDEX(Companies!$I$2:$I$500,MATCH($A384,Companies!$A$2:$A$500,0)),""))</f>
        <v/>
      </c>
      <c r="S384" s="8" t="n"/>
      <c r="T384" s="8" t="n"/>
      <c r="U384" s="8" t="n"/>
      <c r="V384" s="8" t="n"/>
      <c r="W384" s="8" t="n"/>
    </row>
    <row r="385">
      <c r="C385" s="5">
        <f>IF($B385="","",TRIM(IF(INDEX('MOA role matrix'!$B$2:$D$13,1,MATCH($B385,'MOA role matrix'!$B$1:$D$1,0))="Fill","Project initiator, ","")IF(INDEX('MOA role matrix'!$B$2:$D$13,1,MATCH($B385,'MOA role matrix'!$B$1:$D$1,0))="If finance","Project initiator (if finance), ","")IF(INDEX('MOA role matrix'!$B$2:$D$13,1,MATCH($B385,'MOA role matrix'!$B$1:$D$1,0))="Auto","Project initiator (auto), ","")IF(INDEX('MOA role matrix'!$B$2:$D$13,2,MATCH($B385,'MOA role matrix'!$B$1:$D$1,0))="Fill","MOA signers (client), ","")IF(INDEX('MOA role matrix'!$B$2:$D$13,2,MATCH($B385,'MOA role matrix'!$B$1:$D$1,0))="If finance","MOA signers (client) (if finance), ","")IF(INDEX('MOA role matrix'!$B$2:$D$13,2,MATCH($B385,'MOA role matrix'!$B$1:$D$1,0))="Auto","MOA signers (client) (auto), ","")IF(INDEX('MOA role matrix'!$B$2:$D$13,3,MATCH($B385,'MOA role matrix'!$B$1:$D$1,0))="Fill","CFO / Head of Finance, ","")IF(INDEX('MOA role matrix'!$B$2:$D$13,3,MATCH($B385,'MOA role matrix'!$B$1:$D$1,0))="If finance","CFO / Head of Finance (if finance), ","")IF(INDEX('MOA role matrix'!$B$2:$D$13,3,MATCH($B385,'MOA role matrix'!$B$1:$D$1,0))="Auto","CFO / Head of Finance (auto), ","")IF(INDEX('MOA role matrix'!$B$2:$D$13,4,MATCH($B385,'MOA role matrix'!$B$1:$D$1,0))="Fill","CEO / COO / GM, ","")IF(INDEX('MOA role matrix'!$B$2:$D$13,4,MATCH($B385,'MOA role matrix'!$B$1:$D$1,0))="If finance","CEO / COO / GM (if finance), ","")IF(INDEX('MOA role matrix'!$B$2:$D$13,4,MATCH($B385,'MOA role matrix'!$B$1:$D$1,0))="Auto","CEO / COO / GM (auto), ","")IF(INDEX('MOA role matrix'!$B$2:$D$13,5,MATCH($B385,'MOA role matrix'!$B$1:$D$1,0))="Fill","Board member 1, ","")IF(INDEX('MOA role matrix'!$B$2:$D$13,5,MATCH($B385,'MOA role matrix'!$B$1:$D$1,0))="If finance","Board member 1 (if finance), ","")IF(INDEX('MOA role matrix'!$B$2:$D$13,5,MATCH($B385,'MOA role matrix'!$B$1:$D$1,0))="Auto","Board member 1 (auto), ","")IF(INDEX('MOA role matrix'!$B$2:$D$13,6,MATCH($B385,'MOA role matrix'!$B$1:$D$1,0))="Fill","Board member 2, ","")IF(INDEX('MOA role matrix'!$B$2:$D$13,6,MATCH($B385,'MOA role matrix'!$B$1:$D$1,0))="If finance","Board member 2 (if finance), ","")IF(INDEX('MOA role matrix'!$B$2:$D$13,6,MATCH($B385,'MOA role matrix'!$B$1:$D$1,0))="Auto","Board member 2 (auto), ","")IF(INDEX('MOA role matrix'!$B$2:$D$13,7,MATCH($B385,'MOA role matrix'!$B$1:$D$1,0))="Fill","LOA holder 1, ","")IF(INDEX('MOA role matrix'!$B$2:$D$13,7,MATCH($B385,'MOA role matrix'!$B$1:$D$1,0))="If finance","LOA holder 1 (if finance), ","")IF(INDEX('MOA role matrix'!$B$2:$D$13,7,MATCH($B385,'MOA role matrix'!$B$1:$D$1,0))="Auto","LOA holder 1 (auto), ","")IF(INDEX('MOA role matrix'!$B$2:$D$13,8,MATCH($B385,'MOA role matrix'!$B$1:$D$1,0))="Fill","LOA holder 2, ","")IF(INDEX('MOA role matrix'!$B$2:$D$13,8,MATCH($B385,'MOA role matrix'!$B$1:$D$1,0))="If finance","LOA holder 2 (if finance), ","")IF(INDEX('MOA role matrix'!$B$2:$D$13,8,MATCH($B385,'MOA role matrix'!$B$1:$D$1,0))="Auto","LOA holder 2 (auto), ","")IF(INDEX('MOA role matrix'!$B$2:$D$13,9,MATCH($B385,'MOA role matrix'!$B$1:$D$1,0))="Fill","Senior Manager CoSec, ","")IF(INDEX('MOA role matrix'!$B$2:$D$13,9,MATCH($B385,'MOA role matrix'!$B$1:$D$1,0))="If finance","Senior Manager CoSec (if finance), ","")IF(INDEX('MOA role matrix'!$B$2:$D$13,9,MATCH($B385,'MOA role matrix'!$B$1:$D$1,0))="Auto","Senior Manager CoSec (auto), ","")IF(INDEX('MOA role matrix'!$B$2:$D$13,10,MATCH($B385,'MOA role matrix'!$B$1:$D$1,0))="Fill","Division MOI managers, ","")IF(INDEX('MOA role matrix'!$B$2:$D$13,10,MATCH($B385,'MOA role matrix'!$B$1:$D$1,0))="If finance","Division MOI managers (if finance), ","")IF(INDEX('MOA role matrix'!$B$2:$D$13,10,MATCH($B385,'MOA role matrix'!$B$1:$D$1,0))="Auto","Division MOI managers (auto), ","")IF(INDEX('MOA role matrix'!$B$2:$D$13,11,MATCH($B385,'MOA role matrix'!$B$1:$D$1,0))="Fill","Ms Teh (bank), ","")IF(INDEX('MOA role matrix'!$B$2:$D$13,11,MATCH($B385,'MOA role matrix'!$B$1:$D$1,0))="If finance","Ms Teh (bank) (if finance), ","")IF(INDEX('MOA role matrix'!$B$2:$D$13,11,MATCH($B385,'MOA role matrix'!$B$1:$D$1,0))="Auto","Ms Teh (bank) (auto), ","")IF(INDEX('MOA role matrix'!$B$2:$D$13,12,MATCH($B385,'MOA role matrix'!$B$1:$D$1,0))="Fill","DLCM, ","")IF(INDEX('MOA role matrix'!$B$2:$D$13,12,MATCH($B385,'MOA role matrix'!$B$1:$D$1,0))="If finance","DLCM (if finance), ","")IF(INDEX('MOA role matrix'!$B$2:$D$13,12,MATCH($B385,'MOA role matrix'!$B$1:$D$1,0))="Auto","DLCM (auto), ","")))</f>
        <v/>
      </c>
      <c r="D385" s="5">
        <f>IF($A385="","",IFERROR(INDEX(FILTER('Client contacts'!$B$2:$B$500,('Client contacts'!$A$2:$A$500=$A385)*('Client contacts'!$H$2:$H$500="Y"),""),1),""))</f>
        <v/>
      </c>
      <c r="E385" s="5">
        <f>IF($A385="","",IFERROR(INDEX(FILTER('Client contacts'!$C$2:$C$500,('Client contacts'!$A$2:$A$500=$A385)*('Client contacts'!$H$2:$H$500="Y"),""),1),""))</f>
        <v/>
      </c>
      <c r="F385" s="5">
        <f>IF($A385="","",IFERROR(INDEX(FILTER('Client contacts'!$B$2:$B$500,('Client contacts'!$A$2:$A$500=$A385)*('Client contacts'!$G$2:$G$500="Y"),""),1),""))</f>
        <v/>
      </c>
      <c r="G385" s="5">
        <f>IF($A385="","",IFERROR(INDEX(FILTER('Client contacts'!$C$2:$C$500,('Client contacts'!$A$2:$A$500=$A385)*('Client contacts'!$G$2:$G$500="Y"),""),1),""))</f>
        <v/>
      </c>
      <c r="H385" s="5">
        <f>IF($A385="","",IFERROR(INDEX(FILTER('Client contacts'!$B$2:$B$500,('Client contacts'!$A$2:$A$500=$A385)*('Client contacts'!$G$2:$G$500="Y"),""),2),""))</f>
        <v/>
      </c>
      <c r="I385" s="5">
        <f>IF($A385="","",IFERROR(INDEX(FILTER('Client contacts'!$C$2:$C$500,('Client contacts'!$A$2:$A$500=$A385)*('Client contacts'!$G$2:$G$500="Y"),""),2),""))</f>
        <v/>
      </c>
      <c r="J385" s="8" t="n"/>
      <c r="K385" s="8" t="n"/>
      <c r="L385" s="8" t="n"/>
      <c r="M385" s="8" t="n"/>
      <c r="N385" s="8" t="n"/>
      <c r="O385" s="8" t="n"/>
      <c r="P385" s="8" t="n"/>
      <c r="Q385" s="8" t="n"/>
      <c r="R385" s="5">
        <f>IF($A385="","",IFERROR(INDEX(Companies!$I$2:$I$500,MATCH($A385,Companies!$A$2:$A$500,0)),""))</f>
        <v/>
      </c>
      <c r="S385" s="8" t="n"/>
      <c r="T385" s="8" t="n"/>
      <c r="U385" s="8" t="n"/>
      <c r="V385" s="8" t="n"/>
      <c r="W385" s="8" t="n"/>
    </row>
    <row r="386">
      <c r="C386" s="5">
        <f>IF($B386="","",TRIM(IF(INDEX('MOA role matrix'!$B$2:$D$13,1,MATCH($B386,'MOA role matrix'!$B$1:$D$1,0))="Fill","Project initiator, ","")IF(INDEX('MOA role matrix'!$B$2:$D$13,1,MATCH($B386,'MOA role matrix'!$B$1:$D$1,0))="If finance","Project initiator (if finance), ","")IF(INDEX('MOA role matrix'!$B$2:$D$13,1,MATCH($B386,'MOA role matrix'!$B$1:$D$1,0))="Auto","Project initiator (auto), ","")IF(INDEX('MOA role matrix'!$B$2:$D$13,2,MATCH($B386,'MOA role matrix'!$B$1:$D$1,0))="Fill","MOA signers (client), ","")IF(INDEX('MOA role matrix'!$B$2:$D$13,2,MATCH($B386,'MOA role matrix'!$B$1:$D$1,0))="If finance","MOA signers (client) (if finance), ","")IF(INDEX('MOA role matrix'!$B$2:$D$13,2,MATCH($B386,'MOA role matrix'!$B$1:$D$1,0))="Auto","MOA signers (client) (auto), ","")IF(INDEX('MOA role matrix'!$B$2:$D$13,3,MATCH($B386,'MOA role matrix'!$B$1:$D$1,0))="Fill","CFO / Head of Finance, ","")IF(INDEX('MOA role matrix'!$B$2:$D$13,3,MATCH($B386,'MOA role matrix'!$B$1:$D$1,0))="If finance","CFO / Head of Finance (if finance), ","")IF(INDEX('MOA role matrix'!$B$2:$D$13,3,MATCH($B386,'MOA role matrix'!$B$1:$D$1,0))="Auto","CFO / Head of Finance (auto), ","")IF(INDEX('MOA role matrix'!$B$2:$D$13,4,MATCH($B386,'MOA role matrix'!$B$1:$D$1,0))="Fill","CEO / COO / GM, ","")IF(INDEX('MOA role matrix'!$B$2:$D$13,4,MATCH($B386,'MOA role matrix'!$B$1:$D$1,0))="If finance","CEO / COO / GM (if finance), ","")IF(INDEX('MOA role matrix'!$B$2:$D$13,4,MATCH($B386,'MOA role matrix'!$B$1:$D$1,0))="Auto","CEO / COO / GM (auto), ","")IF(INDEX('MOA role matrix'!$B$2:$D$13,5,MATCH($B386,'MOA role matrix'!$B$1:$D$1,0))="Fill","Board member 1, ","")IF(INDEX('MOA role matrix'!$B$2:$D$13,5,MATCH($B386,'MOA role matrix'!$B$1:$D$1,0))="If finance","Board member 1 (if finance), ","")IF(INDEX('MOA role matrix'!$B$2:$D$13,5,MATCH($B386,'MOA role matrix'!$B$1:$D$1,0))="Auto","Board member 1 (auto), ","")IF(INDEX('MOA role matrix'!$B$2:$D$13,6,MATCH($B386,'MOA role matrix'!$B$1:$D$1,0))="Fill","Board member 2, ","")IF(INDEX('MOA role matrix'!$B$2:$D$13,6,MATCH($B386,'MOA role matrix'!$B$1:$D$1,0))="If finance","Board member 2 (if finance), ","")IF(INDEX('MOA role matrix'!$B$2:$D$13,6,MATCH($B386,'MOA role matrix'!$B$1:$D$1,0))="Auto","Board member 2 (auto), ","")IF(INDEX('MOA role matrix'!$B$2:$D$13,7,MATCH($B386,'MOA role matrix'!$B$1:$D$1,0))="Fill","LOA holder 1, ","")IF(INDEX('MOA role matrix'!$B$2:$D$13,7,MATCH($B386,'MOA role matrix'!$B$1:$D$1,0))="If finance","LOA holder 1 (if finance), ","")IF(INDEX('MOA role matrix'!$B$2:$D$13,7,MATCH($B386,'MOA role matrix'!$B$1:$D$1,0))="Auto","LOA holder 1 (auto), ","")IF(INDEX('MOA role matrix'!$B$2:$D$13,8,MATCH($B386,'MOA role matrix'!$B$1:$D$1,0))="Fill","LOA holder 2, ","")IF(INDEX('MOA role matrix'!$B$2:$D$13,8,MATCH($B386,'MOA role matrix'!$B$1:$D$1,0))="If finance","LOA holder 2 (if finance), ","")IF(INDEX('MOA role matrix'!$B$2:$D$13,8,MATCH($B386,'MOA role matrix'!$B$1:$D$1,0))="Auto","LOA holder 2 (auto), ","")IF(INDEX('MOA role matrix'!$B$2:$D$13,9,MATCH($B386,'MOA role matrix'!$B$1:$D$1,0))="Fill","Senior Manager CoSec, ","")IF(INDEX('MOA role matrix'!$B$2:$D$13,9,MATCH($B386,'MOA role matrix'!$B$1:$D$1,0))="If finance","Senior Manager CoSec (if finance), ","")IF(INDEX('MOA role matrix'!$B$2:$D$13,9,MATCH($B386,'MOA role matrix'!$B$1:$D$1,0))="Auto","Senior Manager CoSec (auto), ","")IF(INDEX('MOA role matrix'!$B$2:$D$13,10,MATCH($B386,'MOA role matrix'!$B$1:$D$1,0))="Fill","Division MOI managers, ","")IF(INDEX('MOA role matrix'!$B$2:$D$13,10,MATCH($B386,'MOA role matrix'!$B$1:$D$1,0))="If finance","Division MOI managers (if finance), ","")IF(INDEX('MOA role matrix'!$B$2:$D$13,10,MATCH($B386,'MOA role matrix'!$B$1:$D$1,0))="Auto","Division MOI managers (auto), ","")IF(INDEX('MOA role matrix'!$B$2:$D$13,11,MATCH($B386,'MOA role matrix'!$B$1:$D$1,0))="Fill","Ms Teh (bank), ","")IF(INDEX('MOA role matrix'!$B$2:$D$13,11,MATCH($B386,'MOA role matrix'!$B$1:$D$1,0))="If finance","Ms Teh (bank) (if finance), ","")IF(INDEX('MOA role matrix'!$B$2:$D$13,11,MATCH($B386,'MOA role matrix'!$B$1:$D$1,0))="Auto","Ms Teh (bank) (auto), ","")IF(INDEX('MOA role matrix'!$B$2:$D$13,12,MATCH($B386,'MOA role matrix'!$B$1:$D$1,0))="Fill","DLCM, ","")IF(INDEX('MOA role matrix'!$B$2:$D$13,12,MATCH($B386,'MOA role matrix'!$B$1:$D$1,0))="If finance","DLCM (if finance), ","")IF(INDEX('MOA role matrix'!$B$2:$D$13,12,MATCH($B386,'MOA role matrix'!$B$1:$D$1,0))="Auto","DLCM (auto), ","")))</f>
        <v/>
      </c>
      <c r="D386" s="5">
        <f>IF($A386="","",IFERROR(INDEX(FILTER('Client contacts'!$B$2:$B$500,('Client contacts'!$A$2:$A$500=$A386)*('Client contacts'!$H$2:$H$500="Y"),""),1),""))</f>
        <v/>
      </c>
      <c r="E386" s="5">
        <f>IF($A386="","",IFERROR(INDEX(FILTER('Client contacts'!$C$2:$C$500,('Client contacts'!$A$2:$A$500=$A386)*('Client contacts'!$H$2:$H$500="Y"),""),1),""))</f>
        <v/>
      </c>
      <c r="F386" s="5">
        <f>IF($A386="","",IFERROR(INDEX(FILTER('Client contacts'!$B$2:$B$500,('Client contacts'!$A$2:$A$500=$A386)*('Client contacts'!$G$2:$G$500="Y"),""),1),""))</f>
        <v/>
      </c>
      <c r="G386" s="5">
        <f>IF($A386="","",IFERROR(INDEX(FILTER('Client contacts'!$C$2:$C$500,('Client contacts'!$A$2:$A$500=$A386)*('Client contacts'!$G$2:$G$500="Y"),""),1),""))</f>
        <v/>
      </c>
      <c r="H386" s="5">
        <f>IF($A386="","",IFERROR(INDEX(FILTER('Client contacts'!$B$2:$B$500,('Client contacts'!$A$2:$A$500=$A386)*('Client contacts'!$G$2:$G$500="Y"),""),2),""))</f>
        <v/>
      </c>
      <c r="I386" s="5">
        <f>IF($A386="","",IFERROR(INDEX(FILTER('Client contacts'!$C$2:$C$500,('Client contacts'!$A$2:$A$500=$A386)*('Client contacts'!$G$2:$G$500="Y"),""),2),""))</f>
        <v/>
      </c>
      <c r="J386" s="8" t="n"/>
      <c r="K386" s="8" t="n"/>
      <c r="L386" s="8" t="n"/>
      <c r="M386" s="8" t="n"/>
      <c r="N386" s="8" t="n"/>
      <c r="O386" s="8" t="n"/>
      <c r="P386" s="8" t="n"/>
      <c r="Q386" s="8" t="n"/>
      <c r="R386" s="5">
        <f>IF($A386="","",IFERROR(INDEX(Companies!$I$2:$I$500,MATCH($A386,Companies!$A$2:$A$500,0)),""))</f>
        <v/>
      </c>
      <c r="S386" s="8" t="n"/>
      <c r="T386" s="8" t="n"/>
      <c r="U386" s="8" t="n"/>
      <c r="V386" s="8" t="n"/>
      <c r="W386" s="8" t="n"/>
    </row>
    <row r="387">
      <c r="C387" s="5">
        <f>IF($B387="","",TRIM(IF(INDEX('MOA role matrix'!$B$2:$D$13,1,MATCH($B387,'MOA role matrix'!$B$1:$D$1,0))="Fill","Project initiator, ","")IF(INDEX('MOA role matrix'!$B$2:$D$13,1,MATCH($B387,'MOA role matrix'!$B$1:$D$1,0))="If finance","Project initiator (if finance), ","")IF(INDEX('MOA role matrix'!$B$2:$D$13,1,MATCH($B387,'MOA role matrix'!$B$1:$D$1,0))="Auto","Project initiator (auto), ","")IF(INDEX('MOA role matrix'!$B$2:$D$13,2,MATCH($B387,'MOA role matrix'!$B$1:$D$1,0))="Fill","MOA signers (client), ","")IF(INDEX('MOA role matrix'!$B$2:$D$13,2,MATCH($B387,'MOA role matrix'!$B$1:$D$1,0))="If finance","MOA signers (client) (if finance), ","")IF(INDEX('MOA role matrix'!$B$2:$D$13,2,MATCH($B387,'MOA role matrix'!$B$1:$D$1,0))="Auto","MOA signers (client) (auto), ","")IF(INDEX('MOA role matrix'!$B$2:$D$13,3,MATCH($B387,'MOA role matrix'!$B$1:$D$1,0))="Fill","CFO / Head of Finance, ","")IF(INDEX('MOA role matrix'!$B$2:$D$13,3,MATCH($B387,'MOA role matrix'!$B$1:$D$1,0))="If finance","CFO / Head of Finance (if finance), ","")IF(INDEX('MOA role matrix'!$B$2:$D$13,3,MATCH($B387,'MOA role matrix'!$B$1:$D$1,0))="Auto","CFO / Head of Finance (auto), ","")IF(INDEX('MOA role matrix'!$B$2:$D$13,4,MATCH($B387,'MOA role matrix'!$B$1:$D$1,0))="Fill","CEO / COO / GM, ","")IF(INDEX('MOA role matrix'!$B$2:$D$13,4,MATCH($B387,'MOA role matrix'!$B$1:$D$1,0))="If finance","CEO / COO / GM (if finance), ","")IF(INDEX('MOA role matrix'!$B$2:$D$13,4,MATCH($B387,'MOA role matrix'!$B$1:$D$1,0))="Auto","CEO / COO / GM (auto), ","")IF(INDEX('MOA role matrix'!$B$2:$D$13,5,MATCH($B387,'MOA role matrix'!$B$1:$D$1,0))="Fill","Board member 1, ","")IF(INDEX('MOA role matrix'!$B$2:$D$13,5,MATCH($B387,'MOA role matrix'!$B$1:$D$1,0))="If finance","Board member 1 (if finance), ","")IF(INDEX('MOA role matrix'!$B$2:$D$13,5,MATCH($B387,'MOA role matrix'!$B$1:$D$1,0))="Auto","Board member 1 (auto), ","")IF(INDEX('MOA role matrix'!$B$2:$D$13,6,MATCH($B387,'MOA role matrix'!$B$1:$D$1,0))="Fill","Board member 2, ","")IF(INDEX('MOA role matrix'!$B$2:$D$13,6,MATCH($B387,'MOA role matrix'!$B$1:$D$1,0))="If finance","Board member 2 (if finance), ","")IF(INDEX('MOA role matrix'!$B$2:$D$13,6,MATCH($B387,'MOA role matrix'!$B$1:$D$1,0))="Auto","Board member 2 (auto), ","")IF(INDEX('MOA role matrix'!$B$2:$D$13,7,MATCH($B387,'MOA role matrix'!$B$1:$D$1,0))="Fill","LOA holder 1, ","")IF(INDEX('MOA role matrix'!$B$2:$D$13,7,MATCH($B387,'MOA role matrix'!$B$1:$D$1,0))="If finance","LOA holder 1 (if finance), ","")IF(INDEX('MOA role matrix'!$B$2:$D$13,7,MATCH($B387,'MOA role matrix'!$B$1:$D$1,0))="Auto","LOA holder 1 (auto), ","")IF(INDEX('MOA role matrix'!$B$2:$D$13,8,MATCH($B387,'MOA role matrix'!$B$1:$D$1,0))="Fill","LOA holder 2, ","")IF(INDEX('MOA role matrix'!$B$2:$D$13,8,MATCH($B387,'MOA role matrix'!$B$1:$D$1,0))="If finance","LOA holder 2 (if finance), ","")IF(INDEX('MOA role matrix'!$B$2:$D$13,8,MATCH($B387,'MOA role matrix'!$B$1:$D$1,0))="Auto","LOA holder 2 (auto), ","")IF(INDEX('MOA role matrix'!$B$2:$D$13,9,MATCH($B387,'MOA role matrix'!$B$1:$D$1,0))="Fill","Senior Manager CoSec, ","")IF(INDEX('MOA role matrix'!$B$2:$D$13,9,MATCH($B387,'MOA role matrix'!$B$1:$D$1,0))="If finance","Senior Manager CoSec (if finance), ","")IF(INDEX('MOA role matrix'!$B$2:$D$13,9,MATCH($B387,'MOA role matrix'!$B$1:$D$1,0))="Auto","Senior Manager CoSec (auto), ","")IF(INDEX('MOA role matrix'!$B$2:$D$13,10,MATCH($B387,'MOA role matrix'!$B$1:$D$1,0))="Fill","Division MOI managers, ","")IF(INDEX('MOA role matrix'!$B$2:$D$13,10,MATCH($B387,'MOA role matrix'!$B$1:$D$1,0))="If finance","Division MOI managers (if finance), ","")IF(INDEX('MOA role matrix'!$B$2:$D$13,10,MATCH($B387,'MOA role matrix'!$B$1:$D$1,0))="Auto","Division MOI managers (auto), ","")IF(INDEX('MOA role matrix'!$B$2:$D$13,11,MATCH($B387,'MOA role matrix'!$B$1:$D$1,0))="Fill","Ms Teh (bank), ","")IF(INDEX('MOA role matrix'!$B$2:$D$13,11,MATCH($B387,'MOA role matrix'!$B$1:$D$1,0))="If finance","Ms Teh (bank) (if finance), ","")IF(INDEX('MOA role matrix'!$B$2:$D$13,11,MATCH($B387,'MOA role matrix'!$B$1:$D$1,0))="Auto","Ms Teh (bank) (auto), ","")IF(INDEX('MOA role matrix'!$B$2:$D$13,12,MATCH($B387,'MOA role matrix'!$B$1:$D$1,0))="Fill","DLCM, ","")IF(INDEX('MOA role matrix'!$B$2:$D$13,12,MATCH($B387,'MOA role matrix'!$B$1:$D$1,0))="If finance","DLCM (if finance), ","")IF(INDEX('MOA role matrix'!$B$2:$D$13,12,MATCH($B387,'MOA role matrix'!$B$1:$D$1,0))="Auto","DLCM (auto), ","")))</f>
        <v/>
      </c>
      <c r="D387" s="5">
        <f>IF($A387="","",IFERROR(INDEX(FILTER('Client contacts'!$B$2:$B$500,('Client contacts'!$A$2:$A$500=$A387)*('Client contacts'!$H$2:$H$500="Y"),""),1),""))</f>
        <v/>
      </c>
      <c r="E387" s="5">
        <f>IF($A387="","",IFERROR(INDEX(FILTER('Client contacts'!$C$2:$C$500,('Client contacts'!$A$2:$A$500=$A387)*('Client contacts'!$H$2:$H$500="Y"),""),1),""))</f>
        <v/>
      </c>
      <c r="F387" s="5">
        <f>IF($A387="","",IFERROR(INDEX(FILTER('Client contacts'!$B$2:$B$500,('Client contacts'!$A$2:$A$500=$A387)*('Client contacts'!$G$2:$G$500="Y"),""),1),""))</f>
        <v/>
      </c>
      <c r="G387" s="5">
        <f>IF($A387="","",IFERROR(INDEX(FILTER('Client contacts'!$C$2:$C$500,('Client contacts'!$A$2:$A$500=$A387)*('Client contacts'!$G$2:$G$500="Y"),""),1),""))</f>
        <v/>
      </c>
      <c r="H387" s="5">
        <f>IF($A387="","",IFERROR(INDEX(FILTER('Client contacts'!$B$2:$B$500,('Client contacts'!$A$2:$A$500=$A387)*('Client contacts'!$G$2:$G$500="Y"),""),2),""))</f>
        <v/>
      </c>
      <c r="I387" s="5">
        <f>IF($A387="","",IFERROR(INDEX(FILTER('Client contacts'!$C$2:$C$500,('Client contacts'!$A$2:$A$500=$A387)*('Client contacts'!$G$2:$G$500="Y"),""),2),""))</f>
        <v/>
      </c>
      <c r="J387" s="8" t="n"/>
      <c r="K387" s="8" t="n"/>
      <c r="L387" s="8" t="n"/>
      <c r="M387" s="8" t="n"/>
      <c r="N387" s="8" t="n"/>
      <c r="O387" s="8" t="n"/>
      <c r="P387" s="8" t="n"/>
      <c r="Q387" s="8" t="n"/>
      <c r="R387" s="5">
        <f>IF($A387="","",IFERROR(INDEX(Companies!$I$2:$I$500,MATCH($A387,Companies!$A$2:$A$500,0)),""))</f>
        <v/>
      </c>
      <c r="S387" s="8" t="n"/>
      <c r="T387" s="8" t="n"/>
      <c r="U387" s="8" t="n"/>
      <c r="V387" s="8" t="n"/>
      <c r="W387" s="8" t="n"/>
    </row>
    <row r="388">
      <c r="C388" s="5">
        <f>IF($B388="","",TRIM(IF(INDEX('MOA role matrix'!$B$2:$D$13,1,MATCH($B388,'MOA role matrix'!$B$1:$D$1,0))="Fill","Project initiator, ","")IF(INDEX('MOA role matrix'!$B$2:$D$13,1,MATCH($B388,'MOA role matrix'!$B$1:$D$1,0))="If finance","Project initiator (if finance), ","")IF(INDEX('MOA role matrix'!$B$2:$D$13,1,MATCH($B388,'MOA role matrix'!$B$1:$D$1,0))="Auto","Project initiator (auto), ","")IF(INDEX('MOA role matrix'!$B$2:$D$13,2,MATCH($B388,'MOA role matrix'!$B$1:$D$1,0))="Fill","MOA signers (client), ","")IF(INDEX('MOA role matrix'!$B$2:$D$13,2,MATCH($B388,'MOA role matrix'!$B$1:$D$1,0))="If finance","MOA signers (client) (if finance), ","")IF(INDEX('MOA role matrix'!$B$2:$D$13,2,MATCH($B388,'MOA role matrix'!$B$1:$D$1,0))="Auto","MOA signers (client) (auto), ","")IF(INDEX('MOA role matrix'!$B$2:$D$13,3,MATCH($B388,'MOA role matrix'!$B$1:$D$1,0))="Fill","CFO / Head of Finance, ","")IF(INDEX('MOA role matrix'!$B$2:$D$13,3,MATCH($B388,'MOA role matrix'!$B$1:$D$1,0))="If finance","CFO / Head of Finance (if finance), ","")IF(INDEX('MOA role matrix'!$B$2:$D$13,3,MATCH($B388,'MOA role matrix'!$B$1:$D$1,0))="Auto","CFO / Head of Finance (auto), ","")IF(INDEX('MOA role matrix'!$B$2:$D$13,4,MATCH($B388,'MOA role matrix'!$B$1:$D$1,0))="Fill","CEO / COO / GM, ","")IF(INDEX('MOA role matrix'!$B$2:$D$13,4,MATCH($B388,'MOA role matrix'!$B$1:$D$1,0))="If finance","CEO / COO / GM (if finance), ","")IF(INDEX('MOA role matrix'!$B$2:$D$13,4,MATCH($B388,'MOA role matrix'!$B$1:$D$1,0))="Auto","CEO / COO / GM (auto), ","")IF(INDEX('MOA role matrix'!$B$2:$D$13,5,MATCH($B388,'MOA role matrix'!$B$1:$D$1,0))="Fill","Board member 1, ","")IF(INDEX('MOA role matrix'!$B$2:$D$13,5,MATCH($B388,'MOA role matrix'!$B$1:$D$1,0))="If finance","Board member 1 (if finance), ","")IF(INDEX('MOA role matrix'!$B$2:$D$13,5,MATCH($B388,'MOA role matrix'!$B$1:$D$1,0))="Auto","Board member 1 (auto), ","")IF(INDEX('MOA role matrix'!$B$2:$D$13,6,MATCH($B388,'MOA role matrix'!$B$1:$D$1,0))="Fill","Board member 2, ","")IF(INDEX('MOA role matrix'!$B$2:$D$13,6,MATCH($B388,'MOA role matrix'!$B$1:$D$1,0))="If finance","Board member 2 (if finance), ","")IF(INDEX('MOA role matrix'!$B$2:$D$13,6,MATCH($B388,'MOA role matrix'!$B$1:$D$1,0))="Auto","Board member 2 (auto), ","")IF(INDEX('MOA role matrix'!$B$2:$D$13,7,MATCH($B388,'MOA role matrix'!$B$1:$D$1,0))="Fill","LOA holder 1, ","")IF(INDEX('MOA role matrix'!$B$2:$D$13,7,MATCH($B388,'MOA role matrix'!$B$1:$D$1,0))="If finance","LOA holder 1 (if finance), ","")IF(INDEX('MOA role matrix'!$B$2:$D$13,7,MATCH($B388,'MOA role matrix'!$B$1:$D$1,0))="Auto","LOA holder 1 (auto), ","")IF(INDEX('MOA role matrix'!$B$2:$D$13,8,MATCH($B388,'MOA role matrix'!$B$1:$D$1,0))="Fill","LOA holder 2, ","")IF(INDEX('MOA role matrix'!$B$2:$D$13,8,MATCH($B388,'MOA role matrix'!$B$1:$D$1,0))="If finance","LOA holder 2 (if finance), ","")IF(INDEX('MOA role matrix'!$B$2:$D$13,8,MATCH($B388,'MOA role matrix'!$B$1:$D$1,0))="Auto","LOA holder 2 (auto), ","")IF(INDEX('MOA role matrix'!$B$2:$D$13,9,MATCH($B388,'MOA role matrix'!$B$1:$D$1,0))="Fill","Senior Manager CoSec, ","")IF(INDEX('MOA role matrix'!$B$2:$D$13,9,MATCH($B388,'MOA role matrix'!$B$1:$D$1,0))="If finance","Senior Manager CoSec (if finance), ","")IF(INDEX('MOA role matrix'!$B$2:$D$13,9,MATCH($B388,'MOA role matrix'!$B$1:$D$1,0))="Auto","Senior Manager CoSec (auto), ","")IF(INDEX('MOA role matrix'!$B$2:$D$13,10,MATCH($B388,'MOA role matrix'!$B$1:$D$1,0))="Fill","Division MOI managers, ","")IF(INDEX('MOA role matrix'!$B$2:$D$13,10,MATCH($B388,'MOA role matrix'!$B$1:$D$1,0))="If finance","Division MOI managers (if finance), ","")IF(INDEX('MOA role matrix'!$B$2:$D$13,10,MATCH($B388,'MOA role matrix'!$B$1:$D$1,0))="Auto","Division MOI managers (auto), ","")IF(INDEX('MOA role matrix'!$B$2:$D$13,11,MATCH($B388,'MOA role matrix'!$B$1:$D$1,0))="Fill","Ms Teh (bank), ","")IF(INDEX('MOA role matrix'!$B$2:$D$13,11,MATCH($B388,'MOA role matrix'!$B$1:$D$1,0))="If finance","Ms Teh (bank) (if finance), ","")IF(INDEX('MOA role matrix'!$B$2:$D$13,11,MATCH($B388,'MOA role matrix'!$B$1:$D$1,0))="Auto","Ms Teh (bank) (auto), ","")IF(INDEX('MOA role matrix'!$B$2:$D$13,12,MATCH($B388,'MOA role matrix'!$B$1:$D$1,0))="Fill","DLCM, ","")IF(INDEX('MOA role matrix'!$B$2:$D$13,12,MATCH($B388,'MOA role matrix'!$B$1:$D$1,0))="If finance","DLCM (if finance), ","")IF(INDEX('MOA role matrix'!$B$2:$D$13,12,MATCH($B388,'MOA role matrix'!$B$1:$D$1,0))="Auto","DLCM (auto), ","")))</f>
        <v/>
      </c>
      <c r="D388" s="5">
        <f>IF($A388="","",IFERROR(INDEX(FILTER('Client contacts'!$B$2:$B$500,('Client contacts'!$A$2:$A$500=$A388)*('Client contacts'!$H$2:$H$500="Y"),""),1),""))</f>
        <v/>
      </c>
      <c r="E388" s="5">
        <f>IF($A388="","",IFERROR(INDEX(FILTER('Client contacts'!$C$2:$C$500,('Client contacts'!$A$2:$A$500=$A388)*('Client contacts'!$H$2:$H$500="Y"),""),1),""))</f>
        <v/>
      </c>
      <c r="F388" s="5">
        <f>IF($A388="","",IFERROR(INDEX(FILTER('Client contacts'!$B$2:$B$500,('Client contacts'!$A$2:$A$500=$A388)*('Client contacts'!$G$2:$G$500="Y"),""),1),""))</f>
        <v/>
      </c>
      <c r="G388" s="5">
        <f>IF($A388="","",IFERROR(INDEX(FILTER('Client contacts'!$C$2:$C$500,('Client contacts'!$A$2:$A$500=$A388)*('Client contacts'!$G$2:$G$500="Y"),""),1),""))</f>
        <v/>
      </c>
      <c r="H388" s="5">
        <f>IF($A388="","",IFERROR(INDEX(FILTER('Client contacts'!$B$2:$B$500,('Client contacts'!$A$2:$A$500=$A388)*('Client contacts'!$G$2:$G$500="Y"),""),2),""))</f>
        <v/>
      </c>
      <c r="I388" s="5">
        <f>IF($A388="","",IFERROR(INDEX(FILTER('Client contacts'!$C$2:$C$500,('Client contacts'!$A$2:$A$500=$A388)*('Client contacts'!$G$2:$G$500="Y"),""),2),""))</f>
        <v/>
      </c>
      <c r="J388" s="8" t="n"/>
      <c r="K388" s="8" t="n"/>
      <c r="L388" s="8" t="n"/>
      <c r="M388" s="8" t="n"/>
      <c r="N388" s="8" t="n"/>
      <c r="O388" s="8" t="n"/>
      <c r="P388" s="8" t="n"/>
      <c r="Q388" s="8" t="n"/>
      <c r="R388" s="5">
        <f>IF($A388="","",IFERROR(INDEX(Companies!$I$2:$I$500,MATCH($A388,Companies!$A$2:$A$500,0)),""))</f>
        <v/>
      </c>
      <c r="S388" s="8" t="n"/>
      <c r="T388" s="8" t="n"/>
      <c r="U388" s="8" t="n"/>
      <c r="V388" s="8" t="n"/>
      <c r="W388" s="8" t="n"/>
    </row>
    <row r="389">
      <c r="C389" s="5">
        <f>IF($B389="","",TRIM(IF(INDEX('MOA role matrix'!$B$2:$D$13,1,MATCH($B389,'MOA role matrix'!$B$1:$D$1,0))="Fill","Project initiator, ","")IF(INDEX('MOA role matrix'!$B$2:$D$13,1,MATCH($B389,'MOA role matrix'!$B$1:$D$1,0))="If finance","Project initiator (if finance), ","")IF(INDEX('MOA role matrix'!$B$2:$D$13,1,MATCH($B389,'MOA role matrix'!$B$1:$D$1,0))="Auto","Project initiator (auto), ","")IF(INDEX('MOA role matrix'!$B$2:$D$13,2,MATCH($B389,'MOA role matrix'!$B$1:$D$1,0))="Fill","MOA signers (client), ","")IF(INDEX('MOA role matrix'!$B$2:$D$13,2,MATCH($B389,'MOA role matrix'!$B$1:$D$1,0))="If finance","MOA signers (client) (if finance), ","")IF(INDEX('MOA role matrix'!$B$2:$D$13,2,MATCH($B389,'MOA role matrix'!$B$1:$D$1,0))="Auto","MOA signers (client) (auto), ","")IF(INDEX('MOA role matrix'!$B$2:$D$13,3,MATCH($B389,'MOA role matrix'!$B$1:$D$1,0))="Fill","CFO / Head of Finance, ","")IF(INDEX('MOA role matrix'!$B$2:$D$13,3,MATCH($B389,'MOA role matrix'!$B$1:$D$1,0))="If finance","CFO / Head of Finance (if finance), ","")IF(INDEX('MOA role matrix'!$B$2:$D$13,3,MATCH($B389,'MOA role matrix'!$B$1:$D$1,0))="Auto","CFO / Head of Finance (auto), ","")IF(INDEX('MOA role matrix'!$B$2:$D$13,4,MATCH($B389,'MOA role matrix'!$B$1:$D$1,0))="Fill","CEO / COO / GM, ","")IF(INDEX('MOA role matrix'!$B$2:$D$13,4,MATCH($B389,'MOA role matrix'!$B$1:$D$1,0))="If finance","CEO / COO / GM (if finance), ","")IF(INDEX('MOA role matrix'!$B$2:$D$13,4,MATCH($B389,'MOA role matrix'!$B$1:$D$1,0))="Auto","CEO / COO / GM (auto), ","")IF(INDEX('MOA role matrix'!$B$2:$D$13,5,MATCH($B389,'MOA role matrix'!$B$1:$D$1,0))="Fill","Board member 1, ","")IF(INDEX('MOA role matrix'!$B$2:$D$13,5,MATCH($B389,'MOA role matrix'!$B$1:$D$1,0))="If finance","Board member 1 (if finance), ","")IF(INDEX('MOA role matrix'!$B$2:$D$13,5,MATCH($B389,'MOA role matrix'!$B$1:$D$1,0))="Auto","Board member 1 (auto), ","")IF(INDEX('MOA role matrix'!$B$2:$D$13,6,MATCH($B389,'MOA role matrix'!$B$1:$D$1,0))="Fill","Board member 2, ","")IF(INDEX('MOA role matrix'!$B$2:$D$13,6,MATCH($B389,'MOA role matrix'!$B$1:$D$1,0))="If finance","Board member 2 (if finance), ","")IF(INDEX('MOA role matrix'!$B$2:$D$13,6,MATCH($B389,'MOA role matrix'!$B$1:$D$1,0))="Auto","Board member 2 (auto), ","")IF(INDEX('MOA role matrix'!$B$2:$D$13,7,MATCH($B389,'MOA role matrix'!$B$1:$D$1,0))="Fill","LOA holder 1, ","")IF(INDEX('MOA role matrix'!$B$2:$D$13,7,MATCH($B389,'MOA role matrix'!$B$1:$D$1,0))="If finance","LOA holder 1 (if finance), ","")IF(INDEX('MOA role matrix'!$B$2:$D$13,7,MATCH($B389,'MOA role matrix'!$B$1:$D$1,0))="Auto","LOA holder 1 (auto), ","")IF(INDEX('MOA role matrix'!$B$2:$D$13,8,MATCH($B389,'MOA role matrix'!$B$1:$D$1,0))="Fill","LOA holder 2, ","")IF(INDEX('MOA role matrix'!$B$2:$D$13,8,MATCH($B389,'MOA role matrix'!$B$1:$D$1,0))="If finance","LOA holder 2 (if finance), ","")IF(INDEX('MOA role matrix'!$B$2:$D$13,8,MATCH($B389,'MOA role matrix'!$B$1:$D$1,0))="Auto","LOA holder 2 (auto), ","")IF(INDEX('MOA role matrix'!$B$2:$D$13,9,MATCH($B389,'MOA role matrix'!$B$1:$D$1,0))="Fill","Senior Manager CoSec, ","")IF(INDEX('MOA role matrix'!$B$2:$D$13,9,MATCH($B389,'MOA role matrix'!$B$1:$D$1,0))="If finance","Senior Manager CoSec (if finance), ","")IF(INDEX('MOA role matrix'!$B$2:$D$13,9,MATCH($B389,'MOA role matrix'!$B$1:$D$1,0))="Auto","Senior Manager CoSec (auto), ","")IF(INDEX('MOA role matrix'!$B$2:$D$13,10,MATCH($B389,'MOA role matrix'!$B$1:$D$1,0))="Fill","Division MOI managers, ","")IF(INDEX('MOA role matrix'!$B$2:$D$13,10,MATCH($B389,'MOA role matrix'!$B$1:$D$1,0))="If finance","Division MOI managers (if finance), ","")IF(INDEX('MOA role matrix'!$B$2:$D$13,10,MATCH($B389,'MOA role matrix'!$B$1:$D$1,0))="Auto","Division MOI managers (auto), ","")IF(INDEX('MOA role matrix'!$B$2:$D$13,11,MATCH($B389,'MOA role matrix'!$B$1:$D$1,0))="Fill","Ms Teh (bank), ","")IF(INDEX('MOA role matrix'!$B$2:$D$13,11,MATCH($B389,'MOA role matrix'!$B$1:$D$1,0))="If finance","Ms Teh (bank) (if finance), ","")IF(INDEX('MOA role matrix'!$B$2:$D$13,11,MATCH($B389,'MOA role matrix'!$B$1:$D$1,0))="Auto","Ms Teh (bank) (auto), ","")IF(INDEX('MOA role matrix'!$B$2:$D$13,12,MATCH($B389,'MOA role matrix'!$B$1:$D$1,0))="Fill","DLCM, ","")IF(INDEX('MOA role matrix'!$B$2:$D$13,12,MATCH($B389,'MOA role matrix'!$B$1:$D$1,0))="If finance","DLCM (if finance), ","")IF(INDEX('MOA role matrix'!$B$2:$D$13,12,MATCH($B389,'MOA role matrix'!$B$1:$D$1,0))="Auto","DLCM (auto), ","")))</f>
        <v/>
      </c>
      <c r="D389" s="5">
        <f>IF($A389="","",IFERROR(INDEX(FILTER('Client contacts'!$B$2:$B$500,('Client contacts'!$A$2:$A$500=$A389)*('Client contacts'!$H$2:$H$500="Y"),""),1),""))</f>
        <v/>
      </c>
      <c r="E389" s="5">
        <f>IF($A389="","",IFERROR(INDEX(FILTER('Client contacts'!$C$2:$C$500,('Client contacts'!$A$2:$A$500=$A389)*('Client contacts'!$H$2:$H$500="Y"),""),1),""))</f>
        <v/>
      </c>
      <c r="F389" s="5">
        <f>IF($A389="","",IFERROR(INDEX(FILTER('Client contacts'!$B$2:$B$500,('Client contacts'!$A$2:$A$500=$A389)*('Client contacts'!$G$2:$G$500="Y"),""),1),""))</f>
        <v/>
      </c>
      <c r="G389" s="5">
        <f>IF($A389="","",IFERROR(INDEX(FILTER('Client contacts'!$C$2:$C$500,('Client contacts'!$A$2:$A$500=$A389)*('Client contacts'!$G$2:$G$500="Y"),""),1),""))</f>
        <v/>
      </c>
      <c r="H389" s="5">
        <f>IF($A389="","",IFERROR(INDEX(FILTER('Client contacts'!$B$2:$B$500,('Client contacts'!$A$2:$A$500=$A389)*('Client contacts'!$G$2:$G$500="Y"),""),2),""))</f>
        <v/>
      </c>
      <c r="I389" s="5">
        <f>IF($A389="","",IFERROR(INDEX(FILTER('Client contacts'!$C$2:$C$500,('Client contacts'!$A$2:$A$500=$A389)*('Client contacts'!$G$2:$G$500="Y"),""),2),""))</f>
        <v/>
      </c>
      <c r="J389" s="8" t="n"/>
      <c r="K389" s="8" t="n"/>
      <c r="L389" s="8" t="n"/>
      <c r="M389" s="8" t="n"/>
      <c r="N389" s="8" t="n"/>
      <c r="O389" s="8" t="n"/>
      <c r="P389" s="8" t="n"/>
      <c r="Q389" s="8" t="n"/>
      <c r="R389" s="5">
        <f>IF($A389="","",IFERROR(INDEX(Companies!$I$2:$I$500,MATCH($A389,Companies!$A$2:$A$500,0)),""))</f>
        <v/>
      </c>
      <c r="S389" s="8" t="n"/>
      <c r="T389" s="8" t="n"/>
      <c r="U389" s="8" t="n"/>
      <c r="V389" s="8" t="n"/>
      <c r="W389" s="8" t="n"/>
    </row>
    <row r="390">
      <c r="C390" s="5">
        <f>IF($B390="","",TRIM(IF(INDEX('MOA role matrix'!$B$2:$D$13,1,MATCH($B390,'MOA role matrix'!$B$1:$D$1,0))="Fill","Project initiator, ","")IF(INDEX('MOA role matrix'!$B$2:$D$13,1,MATCH($B390,'MOA role matrix'!$B$1:$D$1,0))="If finance","Project initiator (if finance), ","")IF(INDEX('MOA role matrix'!$B$2:$D$13,1,MATCH($B390,'MOA role matrix'!$B$1:$D$1,0))="Auto","Project initiator (auto), ","")IF(INDEX('MOA role matrix'!$B$2:$D$13,2,MATCH($B390,'MOA role matrix'!$B$1:$D$1,0))="Fill","MOA signers (client), ","")IF(INDEX('MOA role matrix'!$B$2:$D$13,2,MATCH($B390,'MOA role matrix'!$B$1:$D$1,0))="If finance","MOA signers (client) (if finance), ","")IF(INDEX('MOA role matrix'!$B$2:$D$13,2,MATCH($B390,'MOA role matrix'!$B$1:$D$1,0))="Auto","MOA signers (client) (auto), ","")IF(INDEX('MOA role matrix'!$B$2:$D$13,3,MATCH($B390,'MOA role matrix'!$B$1:$D$1,0))="Fill","CFO / Head of Finance, ","")IF(INDEX('MOA role matrix'!$B$2:$D$13,3,MATCH($B390,'MOA role matrix'!$B$1:$D$1,0))="If finance","CFO / Head of Finance (if finance), ","")IF(INDEX('MOA role matrix'!$B$2:$D$13,3,MATCH($B390,'MOA role matrix'!$B$1:$D$1,0))="Auto","CFO / Head of Finance (auto), ","")IF(INDEX('MOA role matrix'!$B$2:$D$13,4,MATCH($B390,'MOA role matrix'!$B$1:$D$1,0))="Fill","CEO / COO / GM, ","")IF(INDEX('MOA role matrix'!$B$2:$D$13,4,MATCH($B390,'MOA role matrix'!$B$1:$D$1,0))="If finance","CEO / COO / GM (if finance), ","")IF(INDEX('MOA role matrix'!$B$2:$D$13,4,MATCH($B390,'MOA role matrix'!$B$1:$D$1,0))="Auto","CEO / COO / GM (auto), ","")IF(INDEX('MOA role matrix'!$B$2:$D$13,5,MATCH($B390,'MOA role matrix'!$B$1:$D$1,0))="Fill","Board member 1, ","")IF(INDEX('MOA role matrix'!$B$2:$D$13,5,MATCH($B390,'MOA role matrix'!$B$1:$D$1,0))="If finance","Board member 1 (if finance), ","")IF(INDEX('MOA role matrix'!$B$2:$D$13,5,MATCH($B390,'MOA role matrix'!$B$1:$D$1,0))="Auto","Board member 1 (auto), ","")IF(INDEX('MOA role matrix'!$B$2:$D$13,6,MATCH($B390,'MOA role matrix'!$B$1:$D$1,0))="Fill","Board member 2, ","")IF(INDEX('MOA role matrix'!$B$2:$D$13,6,MATCH($B390,'MOA role matrix'!$B$1:$D$1,0))="If finance","Board member 2 (if finance), ","")IF(INDEX('MOA role matrix'!$B$2:$D$13,6,MATCH($B390,'MOA role matrix'!$B$1:$D$1,0))="Auto","Board member 2 (auto), ","")IF(INDEX('MOA role matrix'!$B$2:$D$13,7,MATCH($B390,'MOA role matrix'!$B$1:$D$1,0))="Fill","LOA holder 1, ","")IF(INDEX('MOA role matrix'!$B$2:$D$13,7,MATCH($B390,'MOA role matrix'!$B$1:$D$1,0))="If finance","LOA holder 1 (if finance), ","")IF(INDEX('MOA role matrix'!$B$2:$D$13,7,MATCH($B390,'MOA role matrix'!$B$1:$D$1,0))="Auto","LOA holder 1 (auto), ","")IF(INDEX('MOA role matrix'!$B$2:$D$13,8,MATCH($B390,'MOA role matrix'!$B$1:$D$1,0))="Fill","LOA holder 2, ","")IF(INDEX('MOA role matrix'!$B$2:$D$13,8,MATCH($B390,'MOA role matrix'!$B$1:$D$1,0))="If finance","LOA holder 2 (if finance), ","")IF(INDEX('MOA role matrix'!$B$2:$D$13,8,MATCH($B390,'MOA role matrix'!$B$1:$D$1,0))="Auto","LOA holder 2 (auto), ","")IF(INDEX('MOA role matrix'!$B$2:$D$13,9,MATCH($B390,'MOA role matrix'!$B$1:$D$1,0))="Fill","Senior Manager CoSec, ","")IF(INDEX('MOA role matrix'!$B$2:$D$13,9,MATCH($B390,'MOA role matrix'!$B$1:$D$1,0))="If finance","Senior Manager CoSec (if finance), ","")IF(INDEX('MOA role matrix'!$B$2:$D$13,9,MATCH($B390,'MOA role matrix'!$B$1:$D$1,0))="Auto","Senior Manager CoSec (auto), ","")IF(INDEX('MOA role matrix'!$B$2:$D$13,10,MATCH($B390,'MOA role matrix'!$B$1:$D$1,0))="Fill","Division MOI managers, ","")IF(INDEX('MOA role matrix'!$B$2:$D$13,10,MATCH($B390,'MOA role matrix'!$B$1:$D$1,0))="If finance","Division MOI managers (if finance), ","")IF(INDEX('MOA role matrix'!$B$2:$D$13,10,MATCH($B390,'MOA role matrix'!$B$1:$D$1,0))="Auto","Division MOI managers (auto), ","")IF(INDEX('MOA role matrix'!$B$2:$D$13,11,MATCH($B390,'MOA role matrix'!$B$1:$D$1,0))="Fill","Ms Teh (bank), ","")IF(INDEX('MOA role matrix'!$B$2:$D$13,11,MATCH($B390,'MOA role matrix'!$B$1:$D$1,0))="If finance","Ms Teh (bank) (if finance), ","")IF(INDEX('MOA role matrix'!$B$2:$D$13,11,MATCH($B390,'MOA role matrix'!$B$1:$D$1,0))="Auto","Ms Teh (bank) (auto), ","")IF(INDEX('MOA role matrix'!$B$2:$D$13,12,MATCH($B390,'MOA role matrix'!$B$1:$D$1,0))="Fill","DLCM, ","")IF(INDEX('MOA role matrix'!$B$2:$D$13,12,MATCH($B390,'MOA role matrix'!$B$1:$D$1,0))="If finance","DLCM (if finance), ","")IF(INDEX('MOA role matrix'!$B$2:$D$13,12,MATCH($B390,'MOA role matrix'!$B$1:$D$1,0))="Auto","DLCM (auto), ","")))</f>
        <v/>
      </c>
      <c r="D390" s="5">
        <f>IF($A390="","",IFERROR(INDEX(FILTER('Client contacts'!$B$2:$B$500,('Client contacts'!$A$2:$A$500=$A390)*('Client contacts'!$H$2:$H$500="Y"),""),1),""))</f>
        <v/>
      </c>
      <c r="E390" s="5">
        <f>IF($A390="","",IFERROR(INDEX(FILTER('Client contacts'!$C$2:$C$500,('Client contacts'!$A$2:$A$500=$A390)*('Client contacts'!$H$2:$H$500="Y"),""),1),""))</f>
        <v/>
      </c>
      <c r="F390" s="5">
        <f>IF($A390="","",IFERROR(INDEX(FILTER('Client contacts'!$B$2:$B$500,('Client contacts'!$A$2:$A$500=$A390)*('Client contacts'!$G$2:$G$500="Y"),""),1),""))</f>
        <v/>
      </c>
      <c r="G390" s="5">
        <f>IF($A390="","",IFERROR(INDEX(FILTER('Client contacts'!$C$2:$C$500,('Client contacts'!$A$2:$A$500=$A390)*('Client contacts'!$G$2:$G$500="Y"),""),1),""))</f>
        <v/>
      </c>
      <c r="H390" s="5">
        <f>IF($A390="","",IFERROR(INDEX(FILTER('Client contacts'!$B$2:$B$500,('Client contacts'!$A$2:$A$500=$A390)*('Client contacts'!$G$2:$G$500="Y"),""),2),""))</f>
        <v/>
      </c>
      <c r="I390" s="5">
        <f>IF($A390="","",IFERROR(INDEX(FILTER('Client contacts'!$C$2:$C$500,('Client contacts'!$A$2:$A$500=$A390)*('Client contacts'!$G$2:$G$500="Y"),""),2),""))</f>
        <v/>
      </c>
      <c r="J390" s="8" t="n"/>
      <c r="K390" s="8" t="n"/>
      <c r="L390" s="8" t="n"/>
      <c r="M390" s="8" t="n"/>
      <c r="N390" s="8" t="n"/>
      <c r="O390" s="8" t="n"/>
      <c r="P390" s="8" t="n"/>
      <c r="Q390" s="8" t="n"/>
      <c r="R390" s="5">
        <f>IF($A390="","",IFERROR(INDEX(Companies!$I$2:$I$500,MATCH($A390,Companies!$A$2:$A$500,0)),""))</f>
        <v/>
      </c>
      <c r="S390" s="8" t="n"/>
      <c r="T390" s="8" t="n"/>
      <c r="U390" s="8" t="n"/>
      <c r="V390" s="8" t="n"/>
      <c r="W390" s="8" t="n"/>
    </row>
    <row r="391">
      <c r="C391" s="5">
        <f>IF($B391="","",TRIM(IF(INDEX('MOA role matrix'!$B$2:$D$13,1,MATCH($B391,'MOA role matrix'!$B$1:$D$1,0))="Fill","Project initiator, ","")IF(INDEX('MOA role matrix'!$B$2:$D$13,1,MATCH($B391,'MOA role matrix'!$B$1:$D$1,0))="If finance","Project initiator (if finance), ","")IF(INDEX('MOA role matrix'!$B$2:$D$13,1,MATCH($B391,'MOA role matrix'!$B$1:$D$1,0))="Auto","Project initiator (auto), ","")IF(INDEX('MOA role matrix'!$B$2:$D$13,2,MATCH($B391,'MOA role matrix'!$B$1:$D$1,0))="Fill","MOA signers (client), ","")IF(INDEX('MOA role matrix'!$B$2:$D$13,2,MATCH($B391,'MOA role matrix'!$B$1:$D$1,0))="If finance","MOA signers (client) (if finance), ","")IF(INDEX('MOA role matrix'!$B$2:$D$13,2,MATCH($B391,'MOA role matrix'!$B$1:$D$1,0))="Auto","MOA signers (client) (auto), ","")IF(INDEX('MOA role matrix'!$B$2:$D$13,3,MATCH($B391,'MOA role matrix'!$B$1:$D$1,0))="Fill","CFO / Head of Finance, ","")IF(INDEX('MOA role matrix'!$B$2:$D$13,3,MATCH($B391,'MOA role matrix'!$B$1:$D$1,0))="If finance","CFO / Head of Finance (if finance), ","")IF(INDEX('MOA role matrix'!$B$2:$D$13,3,MATCH($B391,'MOA role matrix'!$B$1:$D$1,0))="Auto","CFO / Head of Finance (auto), ","")IF(INDEX('MOA role matrix'!$B$2:$D$13,4,MATCH($B391,'MOA role matrix'!$B$1:$D$1,0))="Fill","CEO / COO / GM, ","")IF(INDEX('MOA role matrix'!$B$2:$D$13,4,MATCH($B391,'MOA role matrix'!$B$1:$D$1,0))="If finance","CEO / COO / GM (if finance), ","")IF(INDEX('MOA role matrix'!$B$2:$D$13,4,MATCH($B391,'MOA role matrix'!$B$1:$D$1,0))="Auto","CEO / COO / GM (auto), ","")IF(INDEX('MOA role matrix'!$B$2:$D$13,5,MATCH($B391,'MOA role matrix'!$B$1:$D$1,0))="Fill","Board member 1, ","")IF(INDEX('MOA role matrix'!$B$2:$D$13,5,MATCH($B391,'MOA role matrix'!$B$1:$D$1,0))="If finance","Board member 1 (if finance), ","")IF(INDEX('MOA role matrix'!$B$2:$D$13,5,MATCH($B391,'MOA role matrix'!$B$1:$D$1,0))="Auto","Board member 1 (auto), ","")IF(INDEX('MOA role matrix'!$B$2:$D$13,6,MATCH($B391,'MOA role matrix'!$B$1:$D$1,0))="Fill","Board member 2, ","")IF(INDEX('MOA role matrix'!$B$2:$D$13,6,MATCH($B391,'MOA role matrix'!$B$1:$D$1,0))="If finance","Board member 2 (if finance), ","")IF(INDEX('MOA role matrix'!$B$2:$D$13,6,MATCH($B391,'MOA role matrix'!$B$1:$D$1,0))="Auto","Board member 2 (auto), ","")IF(INDEX('MOA role matrix'!$B$2:$D$13,7,MATCH($B391,'MOA role matrix'!$B$1:$D$1,0))="Fill","LOA holder 1, ","")IF(INDEX('MOA role matrix'!$B$2:$D$13,7,MATCH($B391,'MOA role matrix'!$B$1:$D$1,0))="If finance","LOA holder 1 (if finance), ","")IF(INDEX('MOA role matrix'!$B$2:$D$13,7,MATCH($B391,'MOA role matrix'!$B$1:$D$1,0))="Auto","LOA holder 1 (auto), ","")IF(INDEX('MOA role matrix'!$B$2:$D$13,8,MATCH($B391,'MOA role matrix'!$B$1:$D$1,0))="Fill","LOA holder 2, ","")IF(INDEX('MOA role matrix'!$B$2:$D$13,8,MATCH($B391,'MOA role matrix'!$B$1:$D$1,0))="If finance","LOA holder 2 (if finance), ","")IF(INDEX('MOA role matrix'!$B$2:$D$13,8,MATCH($B391,'MOA role matrix'!$B$1:$D$1,0))="Auto","LOA holder 2 (auto), ","")IF(INDEX('MOA role matrix'!$B$2:$D$13,9,MATCH($B391,'MOA role matrix'!$B$1:$D$1,0))="Fill","Senior Manager CoSec, ","")IF(INDEX('MOA role matrix'!$B$2:$D$13,9,MATCH($B391,'MOA role matrix'!$B$1:$D$1,0))="If finance","Senior Manager CoSec (if finance), ","")IF(INDEX('MOA role matrix'!$B$2:$D$13,9,MATCH($B391,'MOA role matrix'!$B$1:$D$1,0))="Auto","Senior Manager CoSec (auto), ","")IF(INDEX('MOA role matrix'!$B$2:$D$13,10,MATCH($B391,'MOA role matrix'!$B$1:$D$1,0))="Fill","Division MOI managers, ","")IF(INDEX('MOA role matrix'!$B$2:$D$13,10,MATCH($B391,'MOA role matrix'!$B$1:$D$1,0))="If finance","Division MOI managers (if finance), ","")IF(INDEX('MOA role matrix'!$B$2:$D$13,10,MATCH($B391,'MOA role matrix'!$B$1:$D$1,0))="Auto","Division MOI managers (auto), ","")IF(INDEX('MOA role matrix'!$B$2:$D$13,11,MATCH($B391,'MOA role matrix'!$B$1:$D$1,0))="Fill","Ms Teh (bank), ","")IF(INDEX('MOA role matrix'!$B$2:$D$13,11,MATCH($B391,'MOA role matrix'!$B$1:$D$1,0))="If finance","Ms Teh (bank) (if finance), ","")IF(INDEX('MOA role matrix'!$B$2:$D$13,11,MATCH($B391,'MOA role matrix'!$B$1:$D$1,0))="Auto","Ms Teh (bank) (auto), ","")IF(INDEX('MOA role matrix'!$B$2:$D$13,12,MATCH($B391,'MOA role matrix'!$B$1:$D$1,0))="Fill","DLCM, ","")IF(INDEX('MOA role matrix'!$B$2:$D$13,12,MATCH($B391,'MOA role matrix'!$B$1:$D$1,0))="If finance","DLCM (if finance), ","")IF(INDEX('MOA role matrix'!$B$2:$D$13,12,MATCH($B391,'MOA role matrix'!$B$1:$D$1,0))="Auto","DLCM (auto), ","")))</f>
        <v/>
      </c>
      <c r="D391" s="5">
        <f>IF($A391="","",IFERROR(INDEX(FILTER('Client contacts'!$B$2:$B$500,('Client contacts'!$A$2:$A$500=$A391)*('Client contacts'!$H$2:$H$500="Y"),""),1),""))</f>
        <v/>
      </c>
      <c r="E391" s="5">
        <f>IF($A391="","",IFERROR(INDEX(FILTER('Client contacts'!$C$2:$C$500,('Client contacts'!$A$2:$A$500=$A391)*('Client contacts'!$H$2:$H$500="Y"),""),1),""))</f>
        <v/>
      </c>
      <c r="F391" s="5">
        <f>IF($A391="","",IFERROR(INDEX(FILTER('Client contacts'!$B$2:$B$500,('Client contacts'!$A$2:$A$500=$A391)*('Client contacts'!$G$2:$G$500="Y"),""),1),""))</f>
        <v/>
      </c>
      <c r="G391" s="5">
        <f>IF($A391="","",IFERROR(INDEX(FILTER('Client contacts'!$C$2:$C$500,('Client contacts'!$A$2:$A$500=$A391)*('Client contacts'!$G$2:$G$500="Y"),""),1),""))</f>
        <v/>
      </c>
      <c r="H391" s="5">
        <f>IF($A391="","",IFERROR(INDEX(FILTER('Client contacts'!$B$2:$B$500,('Client contacts'!$A$2:$A$500=$A391)*('Client contacts'!$G$2:$G$500="Y"),""),2),""))</f>
        <v/>
      </c>
      <c r="I391" s="5">
        <f>IF($A391="","",IFERROR(INDEX(FILTER('Client contacts'!$C$2:$C$500,('Client contacts'!$A$2:$A$500=$A391)*('Client contacts'!$G$2:$G$500="Y"),""),2),""))</f>
        <v/>
      </c>
      <c r="J391" s="8" t="n"/>
      <c r="K391" s="8" t="n"/>
      <c r="L391" s="8" t="n"/>
      <c r="M391" s="8" t="n"/>
      <c r="N391" s="8" t="n"/>
      <c r="O391" s="8" t="n"/>
      <c r="P391" s="8" t="n"/>
      <c r="Q391" s="8" t="n"/>
      <c r="R391" s="5">
        <f>IF($A391="","",IFERROR(INDEX(Companies!$I$2:$I$500,MATCH($A391,Companies!$A$2:$A$500,0)),""))</f>
        <v/>
      </c>
      <c r="S391" s="8" t="n"/>
      <c r="T391" s="8" t="n"/>
      <c r="U391" s="8" t="n"/>
      <c r="V391" s="8" t="n"/>
      <c r="W391" s="8" t="n"/>
    </row>
    <row r="392">
      <c r="C392" s="5">
        <f>IF($B392="","",TRIM(IF(INDEX('MOA role matrix'!$B$2:$D$13,1,MATCH($B392,'MOA role matrix'!$B$1:$D$1,0))="Fill","Project initiator, ","")IF(INDEX('MOA role matrix'!$B$2:$D$13,1,MATCH($B392,'MOA role matrix'!$B$1:$D$1,0))="If finance","Project initiator (if finance), ","")IF(INDEX('MOA role matrix'!$B$2:$D$13,1,MATCH($B392,'MOA role matrix'!$B$1:$D$1,0))="Auto","Project initiator (auto), ","")IF(INDEX('MOA role matrix'!$B$2:$D$13,2,MATCH($B392,'MOA role matrix'!$B$1:$D$1,0))="Fill","MOA signers (client), ","")IF(INDEX('MOA role matrix'!$B$2:$D$13,2,MATCH($B392,'MOA role matrix'!$B$1:$D$1,0))="If finance","MOA signers (client) (if finance), ","")IF(INDEX('MOA role matrix'!$B$2:$D$13,2,MATCH($B392,'MOA role matrix'!$B$1:$D$1,0))="Auto","MOA signers (client) (auto), ","")IF(INDEX('MOA role matrix'!$B$2:$D$13,3,MATCH($B392,'MOA role matrix'!$B$1:$D$1,0))="Fill","CFO / Head of Finance, ","")IF(INDEX('MOA role matrix'!$B$2:$D$13,3,MATCH($B392,'MOA role matrix'!$B$1:$D$1,0))="If finance","CFO / Head of Finance (if finance), ","")IF(INDEX('MOA role matrix'!$B$2:$D$13,3,MATCH($B392,'MOA role matrix'!$B$1:$D$1,0))="Auto","CFO / Head of Finance (auto), ","")IF(INDEX('MOA role matrix'!$B$2:$D$13,4,MATCH($B392,'MOA role matrix'!$B$1:$D$1,0))="Fill","CEO / COO / GM, ","")IF(INDEX('MOA role matrix'!$B$2:$D$13,4,MATCH($B392,'MOA role matrix'!$B$1:$D$1,0))="If finance","CEO / COO / GM (if finance), ","")IF(INDEX('MOA role matrix'!$B$2:$D$13,4,MATCH($B392,'MOA role matrix'!$B$1:$D$1,0))="Auto","CEO / COO / GM (auto), ","")IF(INDEX('MOA role matrix'!$B$2:$D$13,5,MATCH($B392,'MOA role matrix'!$B$1:$D$1,0))="Fill","Board member 1, ","")IF(INDEX('MOA role matrix'!$B$2:$D$13,5,MATCH($B392,'MOA role matrix'!$B$1:$D$1,0))="If finance","Board member 1 (if finance), ","")IF(INDEX('MOA role matrix'!$B$2:$D$13,5,MATCH($B392,'MOA role matrix'!$B$1:$D$1,0))="Auto","Board member 1 (auto), ","")IF(INDEX('MOA role matrix'!$B$2:$D$13,6,MATCH($B392,'MOA role matrix'!$B$1:$D$1,0))="Fill","Board member 2, ","")IF(INDEX('MOA role matrix'!$B$2:$D$13,6,MATCH($B392,'MOA role matrix'!$B$1:$D$1,0))="If finance","Board member 2 (if finance), ","")IF(INDEX('MOA role matrix'!$B$2:$D$13,6,MATCH($B392,'MOA role matrix'!$B$1:$D$1,0))="Auto","Board member 2 (auto), ","")IF(INDEX('MOA role matrix'!$B$2:$D$13,7,MATCH($B392,'MOA role matrix'!$B$1:$D$1,0))="Fill","LOA holder 1, ","")IF(INDEX('MOA role matrix'!$B$2:$D$13,7,MATCH($B392,'MOA role matrix'!$B$1:$D$1,0))="If finance","LOA holder 1 (if finance), ","")IF(INDEX('MOA role matrix'!$B$2:$D$13,7,MATCH($B392,'MOA role matrix'!$B$1:$D$1,0))="Auto","LOA holder 1 (auto), ","")IF(INDEX('MOA role matrix'!$B$2:$D$13,8,MATCH($B392,'MOA role matrix'!$B$1:$D$1,0))="Fill","LOA holder 2, ","")IF(INDEX('MOA role matrix'!$B$2:$D$13,8,MATCH($B392,'MOA role matrix'!$B$1:$D$1,0))="If finance","LOA holder 2 (if finance), ","")IF(INDEX('MOA role matrix'!$B$2:$D$13,8,MATCH($B392,'MOA role matrix'!$B$1:$D$1,0))="Auto","LOA holder 2 (auto), ","")IF(INDEX('MOA role matrix'!$B$2:$D$13,9,MATCH($B392,'MOA role matrix'!$B$1:$D$1,0))="Fill","Senior Manager CoSec, ","")IF(INDEX('MOA role matrix'!$B$2:$D$13,9,MATCH($B392,'MOA role matrix'!$B$1:$D$1,0))="If finance","Senior Manager CoSec (if finance), ","")IF(INDEX('MOA role matrix'!$B$2:$D$13,9,MATCH($B392,'MOA role matrix'!$B$1:$D$1,0))="Auto","Senior Manager CoSec (auto), ","")IF(INDEX('MOA role matrix'!$B$2:$D$13,10,MATCH($B392,'MOA role matrix'!$B$1:$D$1,0))="Fill","Division MOI managers, ","")IF(INDEX('MOA role matrix'!$B$2:$D$13,10,MATCH($B392,'MOA role matrix'!$B$1:$D$1,0))="If finance","Division MOI managers (if finance), ","")IF(INDEX('MOA role matrix'!$B$2:$D$13,10,MATCH($B392,'MOA role matrix'!$B$1:$D$1,0))="Auto","Division MOI managers (auto), ","")IF(INDEX('MOA role matrix'!$B$2:$D$13,11,MATCH($B392,'MOA role matrix'!$B$1:$D$1,0))="Fill","Ms Teh (bank), ","")IF(INDEX('MOA role matrix'!$B$2:$D$13,11,MATCH($B392,'MOA role matrix'!$B$1:$D$1,0))="If finance","Ms Teh (bank) (if finance), ","")IF(INDEX('MOA role matrix'!$B$2:$D$13,11,MATCH($B392,'MOA role matrix'!$B$1:$D$1,0))="Auto","Ms Teh (bank) (auto), ","")IF(INDEX('MOA role matrix'!$B$2:$D$13,12,MATCH($B392,'MOA role matrix'!$B$1:$D$1,0))="Fill","DLCM, ","")IF(INDEX('MOA role matrix'!$B$2:$D$13,12,MATCH($B392,'MOA role matrix'!$B$1:$D$1,0))="If finance","DLCM (if finance), ","")IF(INDEX('MOA role matrix'!$B$2:$D$13,12,MATCH($B392,'MOA role matrix'!$B$1:$D$1,0))="Auto","DLCM (auto), ","")))</f>
        <v/>
      </c>
      <c r="D392" s="5">
        <f>IF($A392="","",IFERROR(INDEX(FILTER('Client contacts'!$B$2:$B$500,('Client contacts'!$A$2:$A$500=$A392)*('Client contacts'!$H$2:$H$500="Y"),""),1),""))</f>
        <v/>
      </c>
      <c r="E392" s="5">
        <f>IF($A392="","",IFERROR(INDEX(FILTER('Client contacts'!$C$2:$C$500,('Client contacts'!$A$2:$A$500=$A392)*('Client contacts'!$H$2:$H$500="Y"),""),1),""))</f>
        <v/>
      </c>
      <c r="F392" s="5">
        <f>IF($A392="","",IFERROR(INDEX(FILTER('Client contacts'!$B$2:$B$500,('Client contacts'!$A$2:$A$500=$A392)*('Client contacts'!$G$2:$G$500="Y"),""),1),""))</f>
        <v/>
      </c>
      <c r="G392" s="5">
        <f>IF($A392="","",IFERROR(INDEX(FILTER('Client contacts'!$C$2:$C$500,('Client contacts'!$A$2:$A$500=$A392)*('Client contacts'!$G$2:$G$500="Y"),""),1),""))</f>
        <v/>
      </c>
      <c r="H392" s="5">
        <f>IF($A392="","",IFERROR(INDEX(FILTER('Client contacts'!$B$2:$B$500,('Client contacts'!$A$2:$A$500=$A392)*('Client contacts'!$G$2:$G$500="Y"),""),2),""))</f>
        <v/>
      </c>
      <c r="I392" s="5">
        <f>IF($A392="","",IFERROR(INDEX(FILTER('Client contacts'!$C$2:$C$500,('Client contacts'!$A$2:$A$500=$A392)*('Client contacts'!$G$2:$G$500="Y"),""),2),""))</f>
        <v/>
      </c>
      <c r="J392" s="8" t="n"/>
      <c r="K392" s="8" t="n"/>
      <c r="L392" s="8" t="n"/>
      <c r="M392" s="8" t="n"/>
      <c r="N392" s="8" t="n"/>
      <c r="O392" s="8" t="n"/>
      <c r="P392" s="8" t="n"/>
      <c r="Q392" s="8" t="n"/>
      <c r="R392" s="5">
        <f>IF($A392="","",IFERROR(INDEX(Companies!$I$2:$I$500,MATCH($A392,Companies!$A$2:$A$500,0)),""))</f>
        <v/>
      </c>
      <c r="S392" s="8" t="n"/>
      <c r="T392" s="8" t="n"/>
      <c r="U392" s="8" t="n"/>
      <c r="V392" s="8" t="n"/>
      <c r="W392" s="8" t="n"/>
    </row>
    <row r="393">
      <c r="C393" s="5">
        <f>IF($B393="","",TRIM(IF(INDEX('MOA role matrix'!$B$2:$D$13,1,MATCH($B393,'MOA role matrix'!$B$1:$D$1,0))="Fill","Project initiator, ","")IF(INDEX('MOA role matrix'!$B$2:$D$13,1,MATCH($B393,'MOA role matrix'!$B$1:$D$1,0))="If finance","Project initiator (if finance), ","")IF(INDEX('MOA role matrix'!$B$2:$D$13,1,MATCH($B393,'MOA role matrix'!$B$1:$D$1,0))="Auto","Project initiator (auto), ","")IF(INDEX('MOA role matrix'!$B$2:$D$13,2,MATCH($B393,'MOA role matrix'!$B$1:$D$1,0))="Fill","MOA signers (client), ","")IF(INDEX('MOA role matrix'!$B$2:$D$13,2,MATCH($B393,'MOA role matrix'!$B$1:$D$1,0))="If finance","MOA signers (client) (if finance), ","")IF(INDEX('MOA role matrix'!$B$2:$D$13,2,MATCH($B393,'MOA role matrix'!$B$1:$D$1,0))="Auto","MOA signers (client) (auto), ","")IF(INDEX('MOA role matrix'!$B$2:$D$13,3,MATCH($B393,'MOA role matrix'!$B$1:$D$1,0))="Fill","CFO / Head of Finance, ","")IF(INDEX('MOA role matrix'!$B$2:$D$13,3,MATCH($B393,'MOA role matrix'!$B$1:$D$1,0))="If finance","CFO / Head of Finance (if finance), ","")IF(INDEX('MOA role matrix'!$B$2:$D$13,3,MATCH($B393,'MOA role matrix'!$B$1:$D$1,0))="Auto","CFO / Head of Finance (auto), ","")IF(INDEX('MOA role matrix'!$B$2:$D$13,4,MATCH($B393,'MOA role matrix'!$B$1:$D$1,0))="Fill","CEO / COO / GM, ","")IF(INDEX('MOA role matrix'!$B$2:$D$13,4,MATCH($B393,'MOA role matrix'!$B$1:$D$1,0))="If finance","CEO / COO / GM (if finance), ","")IF(INDEX('MOA role matrix'!$B$2:$D$13,4,MATCH($B393,'MOA role matrix'!$B$1:$D$1,0))="Auto","CEO / COO / GM (auto), ","")IF(INDEX('MOA role matrix'!$B$2:$D$13,5,MATCH($B393,'MOA role matrix'!$B$1:$D$1,0))="Fill","Board member 1, ","")IF(INDEX('MOA role matrix'!$B$2:$D$13,5,MATCH($B393,'MOA role matrix'!$B$1:$D$1,0))="If finance","Board member 1 (if finance), ","")IF(INDEX('MOA role matrix'!$B$2:$D$13,5,MATCH($B393,'MOA role matrix'!$B$1:$D$1,0))="Auto","Board member 1 (auto), ","")IF(INDEX('MOA role matrix'!$B$2:$D$13,6,MATCH($B393,'MOA role matrix'!$B$1:$D$1,0))="Fill","Board member 2, ","")IF(INDEX('MOA role matrix'!$B$2:$D$13,6,MATCH($B393,'MOA role matrix'!$B$1:$D$1,0))="If finance","Board member 2 (if finance), ","")IF(INDEX('MOA role matrix'!$B$2:$D$13,6,MATCH($B393,'MOA role matrix'!$B$1:$D$1,0))="Auto","Board member 2 (auto), ","")IF(INDEX('MOA role matrix'!$B$2:$D$13,7,MATCH($B393,'MOA role matrix'!$B$1:$D$1,0))="Fill","LOA holder 1, ","")IF(INDEX('MOA role matrix'!$B$2:$D$13,7,MATCH($B393,'MOA role matrix'!$B$1:$D$1,0))="If finance","LOA holder 1 (if finance), ","")IF(INDEX('MOA role matrix'!$B$2:$D$13,7,MATCH($B393,'MOA role matrix'!$B$1:$D$1,0))="Auto","LOA holder 1 (auto), ","")IF(INDEX('MOA role matrix'!$B$2:$D$13,8,MATCH($B393,'MOA role matrix'!$B$1:$D$1,0))="Fill","LOA holder 2, ","")IF(INDEX('MOA role matrix'!$B$2:$D$13,8,MATCH($B393,'MOA role matrix'!$B$1:$D$1,0))="If finance","LOA holder 2 (if finance), ","")IF(INDEX('MOA role matrix'!$B$2:$D$13,8,MATCH($B393,'MOA role matrix'!$B$1:$D$1,0))="Auto","LOA holder 2 (auto), ","")IF(INDEX('MOA role matrix'!$B$2:$D$13,9,MATCH($B393,'MOA role matrix'!$B$1:$D$1,0))="Fill","Senior Manager CoSec, ","")IF(INDEX('MOA role matrix'!$B$2:$D$13,9,MATCH($B393,'MOA role matrix'!$B$1:$D$1,0))="If finance","Senior Manager CoSec (if finance), ","")IF(INDEX('MOA role matrix'!$B$2:$D$13,9,MATCH($B393,'MOA role matrix'!$B$1:$D$1,0))="Auto","Senior Manager CoSec (auto), ","")IF(INDEX('MOA role matrix'!$B$2:$D$13,10,MATCH($B393,'MOA role matrix'!$B$1:$D$1,0))="Fill","Division MOI managers, ","")IF(INDEX('MOA role matrix'!$B$2:$D$13,10,MATCH($B393,'MOA role matrix'!$B$1:$D$1,0))="If finance","Division MOI managers (if finance), ","")IF(INDEX('MOA role matrix'!$B$2:$D$13,10,MATCH($B393,'MOA role matrix'!$B$1:$D$1,0))="Auto","Division MOI managers (auto), ","")IF(INDEX('MOA role matrix'!$B$2:$D$13,11,MATCH($B393,'MOA role matrix'!$B$1:$D$1,0))="Fill","Ms Teh (bank), ","")IF(INDEX('MOA role matrix'!$B$2:$D$13,11,MATCH($B393,'MOA role matrix'!$B$1:$D$1,0))="If finance","Ms Teh (bank) (if finance), ","")IF(INDEX('MOA role matrix'!$B$2:$D$13,11,MATCH($B393,'MOA role matrix'!$B$1:$D$1,0))="Auto","Ms Teh (bank) (auto), ","")IF(INDEX('MOA role matrix'!$B$2:$D$13,12,MATCH($B393,'MOA role matrix'!$B$1:$D$1,0))="Fill","DLCM, ","")IF(INDEX('MOA role matrix'!$B$2:$D$13,12,MATCH($B393,'MOA role matrix'!$B$1:$D$1,0))="If finance","DLCM (if finance), ","")IF(INDEX('MOA role matrix'!$B$2:$D$13,12,MATCH($B393,'MOA role matrix'!$B$1:$D$1,0))="Auto","DLCM (auto), ","")))</f>
        <v/>
      </c>
      <c r="D393" s="5">
        <f>IF($A393="","",IFERROR(INDEX(FILTER('Client contacts'!$B$2:$B$500,('Client contacts'!$A$2:$A$500=$A393)*('Client contacts'!$H$2:$H$500="Y"),""),1),""))</f>
        <v/>
      </c>
      <c r="E393" s="5">
        <f>IF($A393="","",IFERROR(INDEX(FILTER('Client contacts'!$C$2:$C$500,('Client contacts'!$A$2:$A$500=$A393)*('Client contacts'!$H$2:$H$500="Y"),""),1),""))</f>
        <v/>
      </c>
      <c r="F393" s="5">
        <f>IF($A393="","",IFERROR(INDEX(FILTER('Client contacts'!$B$2:$B$500,('Client contacts'!$A$2:$A$500=$A393)*('Client contacts'!$G$2:$G$500="Y"),""),1),""))</f>
        <v/>
      </c>
      <c r="G393" s="5">
        <f>IF($A393="","",IFERROR(INDEX(FILTER('Client contacts'!$C$2:$C$500,('Client contacts'!$A$2:$A$500=$A393)*('Client contacts'!$G$2:$G$500="Y"),""),1),""))</f>
        <v/>
      </c>
      <c r="H393" s="5">
        <f>IF($A393="","",IFERROR(INDEX(FILTER('Client contacts'!$B$2:$B$500,('Client contacts'!$A$2:$A$500=$A393)*('Client contacts'!$G$2:$G$500="Y"),""),2),""))</f>
        <v/>
      </c>
      <c r="I393" s="5">
        <f>IF($A393="","",IFERROR(INDEX(FILTER('Client contacts'!$C$2:$C$500,('Client contacts'!$A$2:$A$500=$A393)*('Client contacts'!$G$2:$G$500="Y"),""),2),""))</f>
        <v/>
      </c>
      <c r="J393" s="8" t="n"/>
      <c r="K393" s="8" t="n"/>
      <c r="L393" s="8" t="n"/>
      <c r="M393" s="8" t="n"/>
      <c r="N393" s="8" t="n"/>
      <c r="O393" s="8" t="n"/>
      <c r="P393" s="8" t="n"/>
      <c r="Q393" s="8" t="n"/>
      <c r="R393" s="5">
        <f>IF($A393="","",IFERROR(INDEX(Companies!$I$2:$I$500,MATCH($A393,Companies!$A$2:$A$500,0)),""))</f>
        <v/>
      </c>
      <c r="S393" s="8" t="n"/>
      <c r="T393" s="8" t="n"/>
      <c r="U393" s="8" t="n"/>
      <c r="V393" s="8" t="n"/>
      <c r="W393" s="8" t="n"/>
    </row>
    <row r="394">
      <c r="C394" s="5">
        <f>IF($B394="","",TRIM(IF(INDEX('MOA role matrix'!$B$2:$D$13,1,MATCH($B394,'MOA role matrix'!$B$1:$D$1,0))="Fill","Project initiator, ","")IF(INDEX('MOA role matrix'!$B$2:$D$13,1,MATCH($B394,'MOA role matrix'!$B$1:$D$1,0))="If finance","Project initiator (if finance), ","")IF(INDEX('MOA role matrix'!$B$2:$D$13,1,MATCH($B394,'MOA role matrix'!$B$1:$D$1,0))="Auto","Project initiator (auto), ","")IF(INDEX('MOA role matrix'!$B$2:$D$13,2,MATCH($B394,'MOA role matrix'!$B$1:$D$1,0))="Fill","MOA signers (client), ","")IF(INDEX('MOA role matrix'!$B$2:$D$13,2,MATCH($B394,'MOA role matrix'!$B$1:$D$1,0))="If finance","MOA signers (client) (if finance), ","")IF(INDEX('MOA role matrix'!$B$2:$D$13,2,MATCH($B394,'MOA role matrix'!$B$1:$D$1,0))="Auto","MOA signers (client) (auto), ","")IF(INDEX('MOA role matrix'!$B$2:$D$13,3,MATCH($B394,'MOA role matrix'!$B$1:$D$1,0))="Fill","CFO / Head of Finance, ","")IF(INDEX('MOA role matrix'!$B$2:$D$13,3,MATCH($B394,'MOA role matrix'!$B$1:$D$1,0))="If finance","CFO / Head of Finance (if finance), ","")IF(INDEX('MOA role matrix'!$B$2:$D$13,3,MATCH($B394,'MOA role matrix'!$B$1:$D$1,0))="Auto","CFO / Head of Finance (auto), ","")IF(INDEX('MOA role matrix'!$B$2:$D$13,4,MATCH($B394,'MOA role matrix'!$B$1:$D$1,0))="Fill","CEO / COO / GM, ","")IF(INDEX('MOA role matrix'!$B$2:$D$13,4,MATCH($B394,'MOA role matrix'!$B$1:$D$1,0))="If finance","CEO / COO / GM (if finance), ","")IF(INDEX('MOA role matrix'!$B$2:$D$13,4,MATCH($B394,'MOA role matrix'!$B$1:$D$1,0))="Auto","CEO / COO / GM (auto), ","")IF(INDEX('MOA role matrix'!$B$2:$D$13,5,MATCH($B394,'MOA role matrix'!$B$1:$D$1,0))="Fill","Board member 1, ","")IF(INDEX('MOA role matrix'!$B$2:$D$13,5,MATCH($B394,'MOA role matrix'!$B$1:$D$1,0))="If finance","Board member 1 (if finance), ","")IF(INDEX('MOA role matrix'!$B$2:$D$13,5,MATCH($B394,'MOA role matrix'!$B$1:$D$1,0))="Auto","Board member 1 (auto), ","")IF(INDEX('MOA role matrix'!$B$2:$D$13,6,MATCH($B394,'MOA role matrix'!$B$1:$D$1,0))="Fill","Board member 2, ","")IF(INDEX('MOA role matrix'!$B$2:$D$13,6,MATCH($B394,'MOA role matrix'!$B$1:$D$1,0))="If finance","Board member 2 (if finance), ","")IF(INDEX('MOA role matrix'!$B$2:$D$13,6,MATCH($B394,'MOA role matrix'!$B$1:$D$1,0))="Auto","Board member 2 (auto), ","")IF(INDEX('MOA role matrix'!$B$2:$D$13,7,MATCH($B394,'MOA role matrix'!$B$1:$D$1,0))="Fill","LOA holder 1, ","")IF(INDEX('MOA role matrix'!$B$2:$D$13,7,MATCH($B394,'MOA role matrix'!$B$1:$D$1,0))="If finance","LOA holder 1 (if finance), ","")IF(INDEX('MOA role matrix'!$B$2:$D$13,7,MATCH($B394,'MOA role matrix'!$B$1:$D$1,0))="Auto","LOA holder 1 (auto), ","")IF(INDEX('MOA role matrix'!$B$2:$D$13,8,MATCH($B394,'MOA role matrix'!$B$1:$D$1,0))="Fill","LOA holder 2, ","")IF(INDEX('MOA role matrix'!$B$2:$D$13,8,MATCH($B394,'MOA role matrix'!$B$1:$D$1,0))="If finance","LOA holder 2 (if finance), ","")IF(INDEX('MOA role matrix'!$B$2:$D$13,8,MATCH($B394,'MOA role matrix'!$B$1:$D$1,0))="Auto","LOA holder 2 (auto), ","")IF(INDEX('MOA role matrix'!$B$2:$D$13,9,MATCH($B394,'MOA role matrix'!$B$1:$D$1,0))="Fill","Senior Manager CoSec, ","")IF(INDEX('MOA role matrix'!$B$2:$D$13,9,MATCH($B394,'MOA role matrix'!$B$1:$D$1,0))="If finance","Senior Manager CoSec (if finance), ","")IF(INDEX('MOA role matrix'!$B$2:$D$13,9,MATCH($B394,'MOA role matrix'!$B$1:$D$1,0))="Auto","Senior Manager CoSec (auto), ","")IF(INDEX('MOA role matrix'!$B$2:$D$13,10,MATCH($B394,'MOA role matrix'!$B$1:$D$1,0))="Fill","Division MOI managers, ","")IF(INDEX('MOA role matrix'!$B$2:$D$13,10,MATCH($B394,'MOA role matrix'!$B$1:$D$1,0))="If finance","Division MOI managers (if finance), ","")IF(INDEX('MOA role matrix'!$B$2:$D$13,10,MATCH($B394,'MOA role matrix'!$B$1:$D$1,0))="Auto","Division MOI managers (auto), ","")IF(INDEX('MOA role matrix'!$B$2:$D$13,11,MATCH($B394,'MOA role matrix'!$B$1:$D$1,0))="Fill","Ms Teh (bank), ","")IF(INDEX('MOA role matrix'!$B$2:$D$13,11,MATCH($B394,'MOA role matrix'!$B$1:$D$1,0))="If finance","Ms Teh (bank) (if finance), ","")IF(INDEX('MOA role matrix'!$B$2:$D$13,11,MATCH($B394,'MOA role matrix'!$B$1:$D$1,0))="Auto","Ms Teh (bank) (auto), ","")IF(INDEX('MOA role matrix'!$B$2:$D$13,12,MATCH($B394,'MOA role matrix'!$B$1:$D$1,0))="Fill","DLCM, ","")IF(INDEX('MOA role matrix'!$B$2:$D$13,12,MATCH($B394,'MOA role matrix'!$B$1:$D$1,0))="If finance","DLCM (if finance), ","")IF(INDEX('MOA role matrix'!$B$2:$D$13,12,MATCH($B394,'MOA role matrix'!$B$1:$D$1,0))="Auto","DLCM (auto), ","")))</f>
        <v/>
      </c>
      <c r="D394" s="5">
        <f>IF($A394="","",IFERROR(INDEX(FILTER('Client contacts'!$B$2:$B$500,('Client contacts'!$A$2:$A$500=$A394)*('Client contacts'!$H$2:$H$500="Y"),""),1),""))</f>
        <v/>
      </c>
      <c r="E394" s="5">
        <f>IF($A394="","",IFERROR(INDEX(FILTER('Client contacts'!$C$2:$C$500,('Client contacts'!$A$2:$A$500=$A394)*('Client contacts'!$H$2:$H$500="Y"),""),1),""))</f>
        <v/>
      </c>
      <c r="F394" s="5">
        <f>IF($A394="","",IFERROR(INDEX(FILTER('Client contacts'!$B$2:$B$500,('Client contacts'!$A$2:$A$500=$A394)*('Client contacts'!$G$2:$G$500="Y"),""),1),""))</f>
        <v/>
      </c>
      <c r="G394" s="5">
        <f>IF($A394="","",IFERROR(INDEX(FILTER('Client contacts'!$C$2:$C$500,('Client contacts'!$A$2:$A$500=$A394)*('Client contacts'!$G$2:$G$500="Y"),""),1),""))</f>
        <v/>
      </c>
      <c r="H394" s="5">
        <f>IF($A394="","",IFERROR(INDEX(FILTER('Client contacts'!$B$2:$B$500,('Client contacts'!$A$2:$A$500=$A394)*('Client contacts'!$G$2:$G$500="Y"),""),2),""))</f>
        <v/>
      </c>
      <c r="I394" s="5">
        <f>IF($A394="","",IFERROR(INDEX(FILTER('Client contacts'!$C$2:$C$500,('Client contacts'!$A$2:$A$500=$A394)*('Client contacts'!$G$2:$G$500="Y"),""),2),""))</f>
        <v/>
      </c>
      <c r="J394" s="8" t="n"/>
      <c r="K394" s="8" t="n"/>
      <c r="L394" s="8" t="n"/>
      <c r="M394" s="8" t="n"/>
      <c r="N394" s="8" t="n"/>
      <c r="O394" s="8" t="n"/>
      <c r="P394" s="8" t="n"/>
      <c r="Q394" s="8" t="n"/>
      <c r="R394" s="5">
        <f>IF($A394="","",IFERROR(INDEX(Companies!$I$2:$I$500,MATCH($A394,Companies!$A$2:$A$500,0)),""))</f>
        <v/>
      </c>
      <c r="S394" s="8" t="n"/>
      <c r="T394" s="8" t="n"/>
      <c r="U394" s="8" t="n"/>
      <c r="V394" s="8" t="n"/>
      <c r="W394" s="8" t="n"/>
    </row>
    <row r="395">
      <c r="C395" s="5">
        <f>IF($B395="","",TRIM(IF(INDEX('MOA role matrix'!$B$2:$D$13,1,MATCH($B395,'MOA role matrix'!$B$1:$D$1,0))="Fill","Project initiator, ","")IF(INDEX('MOA role matrix'!$B$2:$D$13,1,MATCH($B395,'MOA role matrix'!$B$1:$D$1,0))="If finance","Project initiator (if finance), ","")IF(INDEX('MOA role matrix'!$B$2:$D$13,1,MATCH($B395,'MOA role matrix'!$B$1:$D$1,0))="Auto","Project initiator (auto), ","")IF(INDEX('MOA role matrix'!$B$2:$D$13,2,MATCH($B395,'MOA role matrix'!$B$1:$D$1,0))="Fill","MOA signers (client), ","")IF(INDEX('MOA role matrix'!$B$2:$D$13,2,MATCH($B395,'MOA role matrix'!$B$1:$D$1,0))="If finance","MOA signers (client) (if finance), ","")IF(INDEX('MOA role matrix'!$B$2:$D$13,2,MATCH($B395,'MOA role matrix'!$B$1:$D$1,0))="Auto","MOA signers (client) (auto), ","")IF(INDEX('MOA role matrix'!$B$2:$D$13,3,MATCH($B395,'MOA role matrix'!$B$1:$D$1,0))="Fill","CFO / Head of Finance, ","")IF(INDEX('MOA role matrix'!$B$2:$D$13,3,MATCH($B395,'MOA role matrix'!$B$1:$D$1,0))="If finance","CFO / Head of Finance (if finance), ","")IF(INDEX('MOA role matrix'!$B$2:$D$13,3,MATCH($B395,'MOA role matrix'!$B$1:$D$1,0))="Auto","CFO / Head of Finance (auto), ","")IF(INDEX('MOA role matrix'!$B$2:$D$13,4,MATCH($B395,'MOA role matrix'!$B$1:$D$1,0))="Fill","CEO / COO / GM, ","")IF(INDEX('MOA role matrix'!$B$2:$D$13,4,MATCH($B395,'MOA role matrix'!$B$1:$D$1,0))="If finance","CEO / COO / GM (if finance), ","")IF(INDEX('MOA role matrix'!$B$2:$D$13,4,MATCH($B395,'MOA role matrix'!$B$1:$D$1,0))="Auto","CEO / COO / GM (auto), ","")IF(INDEX('MOA role matrix'!$B$2:$D$13,5,MATCH($B395,'MOA role matrix'!$B$1:$D$1,0))="Fill","Board member 1, ","")IF(INDEX('MOA role matrix'!$B$2:$D$13,5,MATCH($B395,'MOA role matrix'!$B$1:$D$1,0))="If finance","Board member 1 (if finance), ","")IF(INDEX('MOA role matrix'!$B$2:$D$13,5,MATCH($B395,'MOA role matrix'!$B$1:$D$1,0))="Auto","Board member 1 (auto), ","")IF(INDEX('MOA role matrix'!$B$2:$D$13,6,MATCH($B395,'MOA role matrix'!$B$1:$D$1,0))="Fill","Board member 2, ","")IF(INDEX('MOA role matrix'!$B$2:$D$13,6,MATCH($B395,'MOA role matrix'!$B$1:$D$1,0))="If finance","Board member 2 (if finance), ","")IF(INDEX('MOA role matrix'!$B$2:$D$13,6,MATCH($B395,'MOA role matrix'!$B$1:$D$1,0))="Auto","Board member 2 (auto), ","")IF(INDEX('MOA role matrix'!$B$2:$D$13,7,MATCH($B395,'MOA role matrix'!$B$1:$D$1,0))="Fill","LOA holder 1, ","")IF(INDEX('MOA role matrix'!$B$2:$D$13,7,MATCH($B395,'MOA role matrix'!$B$1:$D$1,0))="If finance","LOA holder 1 (if finance), ","")IF(INDEX('MOA role matrix'!$B$2:$D$13,7,MATCH($B395,'MOA role matrix'!$B$1:$D$1,0))="Auto","LOA holder 1 (auto), ","")IF(INDEX('MOA role matrix'!$B$2:$D$13,8,MATCH($B395,'MOA role matrix'!$B$1:$D$1,0))="Fill","LOA holder 2, ","")IF(INDEX('MOA role matrix'!$B$2:$D$13,8,MATCH($B395,'MOA role matrix'!$B$1:$D$1,0))="If finance","LOA holder 2 (if finance), ","")IF(INDEX('MOA role matrix'!$B$2:$D$13,8,MATCH($B395,'MOA role matrix'!$B$1:$D$1,0))="Auto","LOA holder 2 (auto), ","")IF(INDEX('MOA role matrix'!$B$2:$D$13,9,MATCH($B395,'MOA role matrix'!$B$1:$D$1,0))="Fill","Senior Manager CoSec, ","")IF(INDEX('MOA role matrix'!$B$2:$D$13,9,MATCH($B395,'MOA role matrix'!$B$1:$D$1,0))="If finance","Senior Manager CoSec (if finance), ","")IF(INDEX('MOA role matrix'!$B$2:$D$13,9,MATCH($B395,'MOA role matrix'!$B$1:$D$1,0))="Auto","Senior Manager CoSec (auto), ","")IF(INDEX('MOA role matrix'!$B$2:$D$13,10,MATCH($B395,'MOA role matrix'!$B$1:$D$1,0))="Fill","Division MOI managers, ","")IF(INDEX('MOA role matrix'!$B$2:$D$13,10,MATCH($B395,'MOA role matrix'!$B$1:$D$1,0))="If finance","Division MOI managers (if finance), ","")IF(INDEX('MOA role matrix'!$B$2:$D$13,10,MATCH($B395,'MOA role matrix'!$B$1:$D$1,0))="Auto","Division MOI managers (auto), ","")IF(INDEX('MOA role matrix'!$B$2:$D$13,11,MATCH($B395,'MOA role matrix'!$B$1:$D$1,0))="Fill","Ms Teh (bank), ","")IF(INDEX('MOA role matrix'!$B$2:$D$13,11,MATCH($B395,'MOA role matrix'!$B$1:$D$1,0))="If finance","Ms Teh (bank) (if finance), ","")IF(INDEX('MOA role matrix'!$B$2:$D$13,11,MATCH($B395,'MOA role matrix'!$B$1:$D$1,0))="Auto","Ms Teh (bank) (auto), ","")IF(INDEX('MOA role matrix'!$B$2:$D$13,12,MATCH($B395,'MOA role matrix'!$B$1:$D$1,0))="Fill","DLCM, ","")IF(INDEX('MOA role matrix'!$B$2:$D$13,12,MATCH($B395,'MOA role matrix'!$B$1:$D$1,0))="If finance","DLCM (if finance), ","")IF(INDEX('MOA role matrix'!$B$2:$D$13,12,MATCH($B395,'MOA role matrix'!$B$1:$D$1,0))="Auto","DLCM (auto), ","")))</f>
        <v/>
      </c>
      <c r="D395" s="5">
        <f>IF($A395="","",IFERROR(INDEX(FILTER('Client contacts'!$B$2:$B$500,('Client contacts'!$A$2:$A$500=$A395)*('Client contacts'!$H$2:$H$500="Y"),""),1),""))</f>
        <v/>
      </c>
      <c r="E395" s="5">
        <f>IF($A395="","",IFERROR(INDEX(FILTER('Client contacts'!$C$2:$C$500,('Client contacts'!$A$2:$A$500=$A395)*('Client contacts'!$H$2:$H$500="Y"),""),1),""))</f>
        <v/>
      </c>
      <c r="F395" s="5">
        <f>IF($A395="","",IFERROR(INDEX(FILTER('Client contacts'!$B$2:$B$500,('Client contacts'!$A$2:$A$500=$A395)*('Client contacts'!$G$2:$G$500="Y"),""),1),""))</f>
        <v/>
      </c>
      <c r="G395" s="5">
        <f>IF($A395="","",IFERROR(INDEX(FILTER('Client contacts'!$C$2:$C$500,('Client contacts'!$A$2:$A$500=$A395)*('Client contacts'!$G$2:$G$500="Y"),""),1),""))</f>
        <v/>
      </c>
      <c r="H395" s="5">
        <f>IF($A395="","",IFERROR(INDEX(FILTER('Client contacts'!$B$2:$B$500,('Client contacts'!$A$2:$A$500=$A395)*('Client contacts'!$G$2:$G$500="Y"),""),2),""))</f>
        <v/>
      </c>
      <c r="I395" s="5">
        <f>IF($A395="","",IFERROR(INDEX(FILTER('Client contacts'!$C$2:$C$500,('Client contacts'!$A$2:$A$500=$A395)*('Client contacts'!$G$2:$G$500="Y"),""),2),""))</f>
        <v/>
      </c>
      <c r="J395" s="8" t="n"/>
      <c r="K395" s="8" t="n"/>
      <c r="L395" s="8" t="n"/>
      <c r="M395" s="8" t="n"/>
      <c r="N395" s="8" t="n"/>
      <c r="O395" s="8" t="n"/>
      <c r="P395" s="8" t="n"/>
      <c r="Q395" s="8" t="n"/>
      <c r="R395" s="5">
        <f>IF($A395="","",IFERROR(INDEX(Companies!$I$2:$I$500,MATCH($A395,Companies!$A$2:$A$500,0)),""))</f>
        <v/>
      </c>
      <c r="S395" s="8" t="n"/>
      <c r="T395" s="8" t="n"/>
      <c r="U395" s="8" t="n"/>
      <c r="V395" s="8" t="n"/>
      <c r="W395" s="8" t="n"/>
    </row>
    <row r="396">
      <c r="C396" s="5">
        <f>IF($B396="","",TRIM(IF(INDEX('MOA role matrix'!$B$2:$D$13,1,MATCH($B396,'MOA role matrix'!$B$1:$D$1,0))="Fill","Project initiator, ","")IF(INDEX('MOA role matrix'!$B$2:$D$13,1,MATCH($B396,'MOA role matrix'!$B$1:$D$1,0))="If finance","Project initiator (if finance), ","")IF(INDEX('MOA role matrix'!$B$2:$D$13,1,MATCH($B396,'MOA role matrix'!$B$1:$D$1,0))="Auto","Project initiator (auto), ","")IF(INDEX('MOA role matrix'!$B$2:$D$13,2,MATCH($B396,'MOA role matrix'!$B$1:$D$1,0))="Fill","MOA signers (client), ","")IF(INDEX('MOA role matrix'!$B$2:$D$13,2,MATCH($B396,'MOA role matrix'!$B$1:$D$1,0))="If finance","MOA signers (client) (if finance), ","")IF(INDEX('MOA role matrix'!$B$2:$D$13,2,MATCH($B396,'MOA role matrix'!$B$1:$D$1,0))="Auto","MOA signers (client) (auto), ","")IF(INDEX('MOA role matrix'!$B$2:$D$13,3,MATCH($B396,'MOA role matrix'!$B$1:$D$1,0))="Fill","CFO / Head of Finance, ","")IF(INDEX('MOA role matrix'!$B$2:$D$13,3,MATCH($B396,'MOA role matrix'!$B$1:$D$1,0))="If finance","CFO / Head of Finance (if finance), ","")IF(INDEX('MOA role matrix'!$B$2:$D$13,3,MATCH($B396,'MOA role matrix'!$B$1:$D$1,0))="Auto","CFO / Head of Finance (auto), ","")IF(INDEX('MOA role matrix'!$B$2:$D$13,4,MATCH($B396,'MOA role matrix'!$B$1:$D$1,0))="Fill","CEO / COO / GM, ","")IF(INDEX('MOA role matrix'!$B$2:$D$13,4,MATCH($B396,'MOA role matrix'!$B$1:$D$1,0))="If finance","CEO / COO / GM (if finance), ","")IF(INDEX('MOA role matrix'!$B$2:$D$13,4,MATCH($B396,'MOA role matrix'!$B$1:$D$1,0))="Auto","CEO / COO / GM (auto), ","")IF(INDEX('MOA role matrix'!$B$2:$D$13,5,MATCH($B396,'MOA role matrix'!$B$1:$D$1,0))="Fill","Board member 1, ","")IF(INDEX('MOA role matrix'!$B$2:$D$13,5,MATCH($B396,'MOA role matrix'!$B$1:$D$1,0))="If finance","Board member 1 (if finance), ","")IF(INDEX('MOA role matrix'!$B$2:$D$13,5,MATCH($B396,'MOA role matrix'!$B$1:$D$1,0))="Auto","Board member 1 (auto), ","")IF(INDEX('MOA role matrix'!$B$2:$D$13,6,MATCH($B396,'MOA role matrix'!$B$1:$D$1,0))="Fill","Board member 2, ","")IF(INDEX('MOA role matrix'!$B$2:$D$13,6,MATCH($B396,'MOA role matrix'!$B$1:$D$1,0))="If finance","Board member 2 (if finance), ","")IF(INDEX('MOA role matrix'!$B$2:$D$13,6,MATCH($B396,'MOA role matrix'!$B$1:$D$1,0))="Auto","Board member 2 (auto), ","")IF(INDEX('MOA role matrix'!$B$2:$D$13,7,MATCH($B396,'MOA role matrix'!$B$1:$D$1,0))="Fill","LOA holder 1, ","")IF(INDEX('MOA role matrix'!$B$2:$D$13,7,MATCH($B396,'MOA role matrix'!$B$1:$D$1,0))="If finance","LOA holder 1 (if finance), ","")IF(INDEX('MOA role matrix'!$B$2:$D$13,7,MATCH($B396,'MOA role matrix'!$B$1:$D$1,0))="Auto","LOA holder 1 (auto), ","")IF(INDEX('MOA role matrix'!$B$2:$D$13,8,MATCH($B396,'MOA role matrix'!$B$1:$D$1,0))="Fill","LOA holder 2, ","")IF(INDEX('MOA role matrix'!$B$2:$D$13,8,MATCH($B396,'MOA role matrix'!$B$1:$D$1,0))="If finance","LOA holder 2 (if finance), ","")IF(INDEX('MOA role matrix'!$B$2:$D$13,8,MATCH($B396,'MOA role matrix'!$B$1:$D$1,0))="Auto","LOA holder 2 (auto), ","")IF(INDEX('MOA role matrix'!$B$2:$D$13,9,MATCH($B396,'MOA role matrix'!$B$1:$D$1,0))="Fill","Senior Manager CoSec, ","")IF(INDEX('MOA role matrix'!$B$2:$D$13,9,MATCH($B396,'MOA role matrix'!$B$1:$D$1,0))="If finance","Senior Manager CoSec (if finance), ","")IF(INDEX('MOA role matrix'!$B$2:$D$13,9,MATCH($B396,'MOA role matrix'!$B$1:$D$1,0))="Auto","Senior Manager CoSec (auto), ","")IF(INDEX('MOA role matrix'!$B$2:$D$13,10,MATCH($B396,'MOA role matrix'!$B$1:$D$1,0))="Fill","Division MOI managers, ","")IF(INDEX('MOA role matrix'!$B$2:$D$13,10,MATCH($B396,'MOA role matrix'!$B$1:$D$1,0))="If finance","Division MOI managers (if finance), ","")IF(INDEX('MOA role matrix'!$B$2:$D$13,10,MATCH($B396,'MOA role matrix'!$B$1:$D$1,0))="Auto","Division MOI managers (auto), ","")IF(INDEX('MOA role matrix'!$B$2:$D$13,11,MATCH($B396,'MOA role matrix'!$B$1:$D$1,0))="Fill","Ms Teh (bank), ","")IF(INDEX('MOA role matrix'!$B$2:$D$13,11,MATCH($B396,'MOA role matrix'!$B$1:$D$1,0))="If finance","Ms Teh (bank) (if finance), ","")IF(INDEX('MOA role matrix'!$B$2:$D$13,11,MATCH($B396,'MOA role matrix'!$B$1:$D$1,0))="Auto","Ms Teh (bank) (auto), ","")IF(INDEX('MOA role matrix'!$B$2:$D$13,12,MATCH($B396,'MOA role matrix'!$B$1:$D$1,0))="Fill","DLCM, ","")IF(INDEX('MOA role matrix'!$B$2:$D$13,12,MATCH($B396,'MOA role matrix'!$B$1:$D$1,0))="If finance","DLCM (if finance), ","")IF(INDEX('MOA role matrix'!$B$2:$D$13,12,MATCH($B396,'MOA role matrix'!$B$1:$D$1,0))="Auto","DLCM (auto), ","")))</f>
        <v/>
      </c>
      <c r="D396" s="5">
        <f>IF($A396="","",IFERROR(INDEX(FILTER('Client contacts'!$B$2:$B$500,('Client contacts'!$A$2:$A$500=$A396)*('Client contacts'!$H$2:$H$500="Y"),""),1),""))</f>
        <v/>
      </c>
      <c r="E396" s="5">
        <f>IF($A396="","",IFERROR(INDEX(FILTER('Client contacts'!$C$2:$C$500,('Client contacts'!$A$2:$A$500=$A396)*('Client contacts'!$H$2:$H$500="Y"),""),1),""))</f>
        <v/>
      </c>
      <c r="F396" s="5">
        <f>IF($A396="","",IFERROR(INDEX(FILTER('Client contacts'!$B$2:$B$500,('Client contacts'!$A$2:$A$500=$A396)*('Client contacts'!$G$2:$G$500="Y"),""),1),""))</f>
        <v/>
      </c>
      <c r="G396" s="5">
        <f>IF($A396="","",IFERROR(INDEX(FILTER('Client contacts'!$C$2:$C$500,('Client contacts'!$A$2:$A$500=$A396)*('Client contacts'!$G$2:$G$500="Y"),""),1),""))</f>
        <v/>
      </c>
      <c r="H396" s="5">
        <f>IF($A396="","",IFERROR(INDEX(FILTER('Client contacts'!$B$2:$B$500,('Client contacts'!$A$2:$A$500=$A396)*('Client contacts'!$G$2:$G$500="Y"),""),2),""))</f>
        <v/>
      </c>
      <c r="I396" s="5">
        <f>IF($A396="","",IFERROR(INDEX(FILTER('Client contacts'!$C$2:$C$500,('Client contacts'!$A$2:$A$500=$A396)*('Client contacts'!$G$2:$G$500="Y"),""),2),""))</f>
        <v/>
      </c>
      <c r="J396" s="8" t="n"/>
      <c r="K396" s="8" t="n"/>
      <c r="L396" s="8" t="n"/>
      <c r="M396" s="8" t="n"/>
      <c r="N396" s="8" t="n"/>
      <c r="O396" s="8" t="n"/>
      <c r="P396" s="8" t="n"/>
      <c r="Q396" s="8" t="n"/>
      <c r="R396" s="5">
        <f>IF($A396="","",IFERROR(INDEX(Companies!$I$2:$I$500,MATCH($A396,Companies!$A$2:$A$500,0)),""))</f>
        <v/>
      </c>
      <c r="S396" s="8" t="n"/>
      <c r="T396" s="8" t="n"/>
      <c r="U396" s="8" t="n"/>
      <c r="V396" s="8" t="n"/>
      <c r="W396" s="8" t="n"/>
    </row>
    <row r="397">
      <c r="C397" s="5">
        <f>IF($B397="","",TRIM(IF(INDEX('MOA role matrix'!$B$2:$D$13,1,MATCH($B397,'MOA role matrix'!$B$1:$D$1,0))="Fill","Project initiator, ","")IF(INDEX('MOA role matrix'!$B$2:$D$13,1,MATCH($B397,'MOA role matrix'!$B$1:$D$1,0))="If finance","Project initiator (if finance), ","")IF(INDEX('MOA role matrix'!$B$2:$D$13,1,MATCH($B397,'MOA role matrix'!$B$1:$D$1,0))="Auto","Project initiator (auto), ","")IF(INDEX('MOA role matrix'!$B$2:$D$13,2,MATCH($B397,'MOA role matrix'!$B$1:$D$1,0))="Fill","MOA signers (client), ","")IF(INDEX('MOA role matrix'!$B$2:$D$13,2,MATCH($B397,'MOA role matrix'!$B$1:$D$1,0))="If finance","MOA signers (client) (if finance), ","")IF(INDEX('MOA role matrix'!$B$2:$D$13,2,MATCH($B397,'MOA role matrix'!$B$1:$D$1,0))="Auto","MOA signers (client) (auto), ","")IF(INDEX('MOA role matrix'!$B$2:$D$13,3,MATCH($B397,'MOA role matrix'!$B$1:$D$1,0))="Fill","CFO / Head of Finance, ","")IF(INDEX('MOA role matrix'!$B$2:$D$13,3,MATCH($B397,'MOA role matrix'!$B$1:$D$1,0))="If finance","CFO / Head of Finance (if finance), ","")IF(INDEX('MOA role matrix'!$B$2:$D$13,3,MATCH($B397,'MOA role matrix'!$B$1:$D$1,0))="Auto","CFO / Head of Finance (auto), ","")IF(INDEX('MOA role matrix'!$B$2:$D$13,4,MATCH($B397,'MOA role matrix'!$B$1:$D$1,0))="Fill","CEO / COO / GM, ","")IF(INDEX('MOA role matrix'!$B$2:$D$13,4,MATCH($B397,'MOA role matrix'!$B$1:$D$1,0))="If finance","CEO / COO / GM (if finance), ","")IF(INDEX('MOA role matrix'!$B$2:$D$13,4,MATCH($B397,'MOA role matrix'!$B$1:$D$1,0))="Auto","CEO / COO / GM (auto), ","")IF(INDEX('MOA role matrix'!$B$2:$D$13,5,MATCH($B397,'MOA role matrix'!$B$1:$D$1,0))="Fill","Board member 1, ","")IF(INDEX('MOA role matrix'!$B$2:$D$13,5,MATCH($B397,'MOA role matrix'!$B$1:$D$1,0))="If finance","Board member 1 (if finance), ","")IF(INDEX('MOA role matrix'!$B$2:$D$13,5,MATCH($B397,'MOA role matrix'!$B$1:$D$1,0))="Auto","Board member 1 (auto), ","")IF(INDEX('MOA role matrix'!$B$2:$D$13,6,MATCH($B397,'MOA role matrix'!$B$1:$D$1,0))="Fill","Board member 2, ","")IF(INDEX('MOA role matrix'!$B$2:$D$13,6,MATCH($B397,'MOA role matrix'!$B$1:$D$1,0))="If finance","Board member 2 (if finance), ","")IF(INDEX('MOA role matrix'!$B$2:$D$13,6,MATCH($B397,'MOA role matrix'!$B$1:$D$1,0))="Auto","Board member 2 (auto), ","")IF(INDEX('MOA role matrix'!$B$2:$D$13,7,MATCH($B397,'MOA role matrix'!$B$1:$D$1,0))="Fill","LOA holder 1, ","")IF(INDEX('MOA role matrix'!$B$2:$D$13,7,MATCH($B397,'MOA role matrix'!$B$1:$D$1,0))="If finance","LOA holder 1 (if finance), ","")IF(INDEX('MOA role matrix'!$B$2:$D$13,7,MATCH($B397,'MOA role matrix'!$B$1:$D$1,0))="Auto","LOA holder 1 (auto), ","")IF(INDEX('MOA role matrix'!$B$2:$D$13,8,MATCH($B397,'MOA role matrix'!$B$1:$D$1,0))="Fill","LOA holder 2, ","")IF(INDEX('MOA role matrix'!$B$2:$D$13,8,MATCH($B397,'MOA role matrix'!$B$1:$D$1,0))="If finance","LOA holder 2 (if finance), ","")IF(INDEX('MOA role matrix'!$B$2:$D$13,8,MATCH($B397,'MOA role matrix'!$B$1:$D$1,0))="Auto","LOA holder 2 (auto), ","")IF(INDEX('MOA role matrix'!$B$2:$D$13,9,MATCH($B397,'MOA role matrix'!$B$1:$D$1,0))="Fill","Senior Manager CoSec, ","")IF(INDEX('MOA role matrix'!$B$2:$D$13,9,MATCH($B397,'MOA role matrix'!$B$1:$D$1,0))="If finance","Senior Manager CoSec (if finance), ","")IF(INDEX('MOA role matrix'!$B$2:$D$13,9,MATCH($B397,'MOA role matrix'!$B$1:$D$1,0))="Auto","Senior Manager CoSec (auto), ","")IF(INDEX('MOA role matrix'!$B$2:$D$13,10,MATCH($B397,'MOA role matrix'!$B$1:$D$1,0))="Fill","Division MOI managers, ","")IF(INDEX('MOA role matrix'!$B$2:$D$13,10,MATCH($B397,'MOA role matrix'!$B$1:$D$1,0))="If finance","Division MOI managers (if finance), ","")IF(INDEX('MOA role matrix'!$B$2:$D$13,10,MATCH($B397,'MOA role matrix'!$B$1:$D$1,0))="Auto","Division MOI managers (auto), ","")IF(INDEX('MOA role matrix'!$B$2:$D$13,11,MATCH($B397,'MOA role matrix'!$B$1:$D$1,0))="Fill","Ms Teh (bank), ","")IF(INDEX('MOA role matrix'!$B$2:$D$13,11,MATCH($B397,'MOA role matrix'!$B$1:$D$1,0))="If finance","Ms Teh (bank) (if finance), ","")IF(INDEX('MOA role matrix'!$B$2:$D$13,11,MATCH($B397,'MOA role matrix'!$B$1:$D$1,0))="Auto","Ms Teh (bank) (auto), ","")IF(INDEX('MOA role matrix'!$B$2:$D$13,12,MATCH($B397,'MOA role matrix'!$B$1:$D$1,0))="Fill","DLCM, ","")IF(INDEX('MOA role matrix'!$B$2:$D$13,12,MATCH($B397,'MOA role matrix'!$B$1:$D$1,0))="If finance","DLCM (if finance), ","")IF(INDEX('MOA role matrix'!$B$2:$D$13,12,MATCH($B397,'MOA role matrix'!$B$1:$D$1,0))="Auto","DLCM (auto), ","")))</f>
        <v/>
      </c>
      <c r="D397" s="5">
        <f>IF($A397="","",IFERROR(INDEX(FILTER('Client contacts'!$B$2:$B$500,('Client contacts'!$A$2:$A$500=$A397)*('Client contacts'!$H$2:$H$500="Y"),""),1),""))</f>
        <v/>
      </c>
      <c r="E397" s="5">
        <f>IF($A397="","",IFERROR(INDEX(FILTER('Client contacts'!$C$2:$C$500,('Client contacts'!$A$2:$A$500=$A397)*('Client contacts'!$H$2:$H$500="Y"),""),1),""))</f>
        <v/>
      </c>
      <c r="F397" s="5">
        <f>IF($A397="","",IFERROR(INDEX(FILTER('Client contacts'!$B$2:$B$500,('Client contacts'!$A$2:$A$500=$A397)*('Client contacts'!$G$2:$G$500="Y"),""),1),""))</f>
        <v/>
      </c>
      <c r="G397" s="5">
        <f>IF($A397="","",IFERROR(INDEX(FILTER('Client contacts'!$C$2:$C$500,('Client contacts'!$A$2:$A$500=$A397)*('Client contacts'!$G$2:$G$500="Y"),""),1),""))</f>
        <v/>
      </c>
      <c r="H397" s="5">
        <f>IF($A397="","",IFERROR(INDEX(FILTER('Client contacts'!$B$2:$B$500,('Client contacts'!$A$2:$A$500=$A397)*('Client contacts'!$G$2:$G$500="Y"),""),2),""))</f>
        <v/>
      </c>
      <c r="I397" s="5">
        <f>IF($A397="","",IFERROR(INDEX(FILTER('Client contacts'!$C$2:$C$500,('Client contacts'!$A$2:$A$500=$A397)*('Client contacts'!$G$2:$G$500="Y"),""),2),""))</f>
        <v/>
      </c>
      <c r="J397" s="8" t="n"/>
      <c r="K397" s="8" t="n"/>
      <c r="L397" s="8" t="n"/>
      <c r="M397" s="8" t="n"/>
      <c r="N397" s="8" t="n"/>
      <c r="O397" s="8" t="n"/>
      <c r="P397" s="8" t="n"/>
      <c r="Q397" s="8" t="n"/>
      <c r="R397" s="5">
        <f>IF($A397="","",IFERROR(INDEX(Companies!$I$2:$I$500,MATCH($A397,Companies!$A$2:$A$500,0)),""))</f>
        <v/>
      </c>
      <c r="S397" s="8" t="n"/>
      <c r="T397" s="8" t="n"/>
      <c r="U397" s="8" t="n"/>
      <c r="V397" s="8" t="n"/>
      <c r="W397" s="8" t="n"/>
    </row>
    <row r="398">
      <c r="C398" s="5">
        <f>IF($B398="","",TRIM(IF(INDEX('MOA role matrix'!$B$2:$D$13,1,MATCH($B398,'MOA role matrix'!$B$1:$D$1,0))="Fill","Project initiator, ","")IF(INDEX('MOA role matrix'!$B$2:$D$13,1,MATCH($B398,'MOA role matrix'!$B$1:$D$1,0))="If finance","Project initiator (if finance), ","")IF(INDEX('MOA role matrix'!$B$2:$D$13,1,MATCH($B398,'MOA role matrix'!$B$1:$D$1,0))="Auto","Project initiator (auto), ","")IF(INDEX('MOA role matrix'!$B$2:$D$13,2,MATCH($B398,'MOA role matrix'!$B$1:$D$1,0))="Fill","MOA signers (client), ","")IF(INDEX('MOA role matrix'!$B$2:$D$13,2,MATCH($B398,'MOA role matrix'!$B$1:$D$1,0))="If finance","MOA signers (client) (if finance), ","")IF(INDEX('MOA role matrix'!$B$2:$D$13,2,MATCH($B398,'MOA role matrix'!$B$1:$D$1,0))="Auto","MOA signers (client) (auto), ","")IF(INDEX('MOA role matrix'!$B$2:$D$13,3,MATCH($B398,'MOA role matrix'!$B$1:$D$1,0))="Fill","CFO / Head of Finance, ","")IF(INDEX('MOA role matrix'!$B$2:$D$13,3,MATCH($B398,'MOA role matrix'!$B$1:$D$1,0))="If finance","CFO / Head of Finance (if finance), ","")IF(INDEX('MOA role matrix'!$B$2:$D$13,3,MATCH($B398,'MOA role matrix'!$B$1:$D$1,0))="Auto","CFO / Head of Finance (auto), ","")IF(INDEX('MOA role matrix'!$B$2:$D$13,4,MATCH($B398,'MOA role matrix'!$B$1:$D$1,0))="Fill","CEO / COO / GM, ","")IF(INDEX('MOA role matrix'!$B$2:$D$13,4,MATCH($B398,'MOA role matrix'!$B$1:$D$1,0))="If finance","CEO / COO / GM (if finance), ","")IF(INDEX('MOA role matrix'!$B$2:$D$13,4,MATCH($B398,'MOA role matrix'!$B$1:$D$1,0))="Auto","CEO / COO / GM (auto), ","")IF(INDEX('MOA role matrix'!$B$2:$D$13,5,MATCH($B398,'MOA role matrix'!$B$1:$D$1,0))="Fill","Board member 1, ","")IF(INDEX('MOA role matrix'!$B$2:$D$13,5,MATCH($B398,'MOA role matrix'!$B$1:$D$1,0))="If finance","Board member 1 (if finance), ","")IF(INDEX('MOA role matrix'!$B$2:$D$13,5,MATCH($B398,'MOA role matrix'!$B$1:$D$1,0))="Auto","Board member 1 (auto), ","")IF(INDEX('MOA role matrix'!$B$2:$D$13,6,MATCH($B398,'MOA role matrix'!$B$1:$D$1,0))="Fill","Board member 2, ","")IF(INDEX('MOA role matrix'!$B$2:$D$13,6,MATCH($B398,'MOA role matrix'!$B$1:$D$1,0))="If finance","Board member 2 (if finance), ","")IF(INDEX('MOA role matrix'!$B$2:$D$13,6,MATCH($B398,'MOA role matrix'!$B$1:$D$1,0))="Auto","Board member 2 (auto), ","")IF(INDEX('MOA role matrix'!$B$2:$D$13,7,MATCH($B398,'MOA role matrix'!$B$1:$D$1,0))="Fill","LOA holder 1, ","")IF(INDEX('MOA role matrix'!$B$2:$D$13,7,MATCH($B398,'MOA role matrix'!$B$1:$D$1,0))="If finance","LOA holder 1 (if finance), ","")IF(INDEX('MOA role matrix'!$B$2:$D$13,7,MATCH($B398,'MOA role matrix'!$B$1:$D$1,0))="Auto","LOA holder 1 (auto), ","")IF(INDEX('MOA role matrix'!$B$2:$D$13,8,MATCH($B398,'MOA role matrix'!$B$1:$D$1,0))="Fill","LOA holder 2, ","")IF(INDEX('MOA role matrix'!$B$2:$D$13,8,MATCH($B398,'MOA role matrix'!$B$1:$D$1,0))="If finance","LOA holder 2 (if finance), ","")IF(INDEX('MOA role matrix'!$B$2:$D$13,8,MATCH($B398,'MOA role matrix'!$B$1:$D$1,0))="Auto","LOA holder 2 (auto), ","")IF(INDEX('MOA role matrix'!$B$2:$D$13,9,MATCH($B398,'MOA role matrix'!$B$1:$D$1,0))="Fill","Senior Manager CoSec, ","")IF(INDEX('MOA role matrix'!$B$2:$D$13,9,MATCH($B398,'MOA role matrix'!$B$1:$D$1,0))="If finance","Senior Manager CoSec (if finance), ","")IF(INDEX('MOA role matrix'!$B$2:$D$13,9,MATCH($B398,'MOA role matrix'!$B$1:$D$1,0))="Auto","Senior Manager CoSec (auto), ","")IF(INDEX('MOA role matrix'!$B$2:$D$13,10,MATCH($B398,'MOA role matrix'!$B$1:$D$1,0))="Fill","Division MOI managers, ","")IF(INDEX('MOA role matrix'!$B$2:$D$13,10,MATCH($B398,'MOA role matrix'!$B$1:$D$1,0))="If finance","Division MOI managers (if finance), ","")IF(INDEX('MOA role matrix'!$B$2:$D$13,10,MATCH($B398,'MOA role matrix'!$B$1:$D$1,0))="Auto","Division MOI managers (auto), ","")IF(INDEX('MOA role matrix'!$B$2:$D$13,11,MATCH($B398,'MOA role matrix'!$B$1:$D$1,0))="Fill","Ms Teh (bank), ","")IF(INDEX('MOA role matrix'!$B$2:$D$13,11,MATCH($B398,'MOA role matrix'!$B$1:$D$1,0))="If finance","Ms Teh (bank) (if finance), ","")IF(INDEX('MOA role matrix'!$B$2:$D$13,11,MATCH($B398,'MOA role matrix'!$B$1:$D$1,0))="Auto","Ms Teh (bank) (auto), ","")IF(INDEX('MOA role matrix'!$B$2:$D$13,12,MATCH($B398,'MOA role matrix'!$B$1:$D$1,0))="Fill","DLCM, ","")IF(INDEX('MOA role matrix'!$B$2:$D$13,12,MATCH($B398,'MOA role matrix'!$B$1:$D$1,0))="If finance","DLCM (if finance), ","")IF(INDEX('MOA role matrix'!$B$2:$D$13,12,MATCH($B398,'MOA role matrix'!$B$1:$D$1,0))="Auto","DLCM (auto), ","")))</f>
        <v/>
      </c>
      <c r="D398" s="5">
        <f>IF($A398="","",IFERROR(INDEX(FILTER('Client contacts'!$B$2:$B$500,('Client contacts'!$A$2:$A$500=$A398)*('Client contacts'!$H$2:$H$500="Y"),""),1),""))</f>
        <v/>
      </c>
      <c r="E398" s="5">
        <f>IF($A398="","",IFERROR(INDEX(FILTER('Client contacts'!$C$2:$C$500,('Client contacts'!$A$2:$A$500=$A398)*('Client contacts'!$H$2:$H$500="Y"),""),1),""))</f>
        <v/>
      </c>
      <c r="F398" s="5">
        <f>IF($A398="","",IFERROR(INDEX(FILTER('Client contacts'!$B$2:$B$500,('Client contacts'!$A$2:$A$500=$A398)*('Client contacts'!$G$2:$G$500="Y"),""),1),""))</f>
        <v/>
      </c>
      <c r="G398" s="5">
        <f>IF($A398="","",IFERROR(INDEX(FILTER('Client contacts'!$C$2:$C$500,('Client contacts'!$A$2:$A$500=$A398)*('Client contacts'!$G$2:$G$500="Y"),""),1),""))</f>
        <v/>
      </c>
      <c r="H398" s="5">
        <f>IF($A398="","",IFERROR(INDEX(FILTER('Client contacts'!$B$2:$B$500,('Client contacts'!$A$2:$A$500=$A398)*('Client contacts'!$G$2:$G$500="Y"),""),2),""))</f>
        <v/>
      </c>
      <c r="I398" s="5">
        <f>IF($A398="","",IFERROR(INDEX(FILTER('Client contacts'!$C$2:$C$500,('Client contacts'!$A$2:$A$500=$A398)*('Client contacts'!$G$2:$G$500="Y"),""),2),""))</f>
        <v/>
      </c>
      <c r="J398" s="8" t="n"/>
      <c r="K398" s="8" t="n"/>
      <c r="L398" s="8" t="n"/>
      <c r="M398" s="8" t="n"/>
      <c r="N398" s="8" t="n"/>
      <c r="O398" s="8" t="n"/>
      <c r="P398" s="8" t="n"/>
      <c r="Q398" s="8" t="n"/>
      <c r="R398" s="5">
        <f>IF($A398="","",IFERROR(INDEX(Companies!$I$2:$I$500,MATCH($A398,Companies!$A$2:$A$500,0)),""))</f>
        <v/>
      </c>
      <c r="S398" s="8" t="n"/>
      <c r="T398" s="8" t="n"/>
      <c r="U398" s="8" t="n"/>
      <c r="V398" s="8" t="n"/>
      <c r="W398" s="8" t="n"/>
    </row>
    <row r="399">
      <c r="C399" s="5">
        <f>IF($B399="","",TRIM(IF(INDEX('MOA role matrix'!$B$2:$D$13,1,MATCH($B399,'MOA role matrix'!$B$1:$D$1,0))="Fill","Project initiator, ","")IF(INDEX('MOA role matrix'!$B$2:$D$13,1,MATCH($B399,'MOA role matrix'!$B$1:$D$1,0))="If finance","Project initiator (if finance), ","")IF(INDEX('MOA role matrix'!$B$2:$D$13,1,MATCH($B399,'MOA role matrix'!$B$1:$D$1,0))="Auto","Project initiator (auto), ","")IF(INDEX('MOA role matrix'!$B$2:$D$13,2,MATCH($B399,'MOA role matrix'!$B$1:$D$1,0))="Fill","MOA signers (client), ","")IF(INDEX('MOA role matrix'!$B$2:$D$13,2,MATCH($B399,'MOA role matrix'!$B$1:$D$1,0))="If finance","MOA signers (client) (if finance), ","")IF(INDEX('MOA role matrix'!$B$2:$D$13,2,MATCH($B399,'MOA role matrix'!$B$1:$D$1,0))="Auto","MOA signers (client) (auto), ","")IF(INDEX('MOA role matrix'!$B$2:$D$13,3,MATCH($B399,'MOA role matrix'!$B$1:$D$1,0))="Fill","CFO / Head of Finance, ","")IF(INDEX('MOA role matrix'!$B$2:$D$13,3,MATCH($B399,'MOA role matrix'!$B$1:$D$1,0))="If finance","CFO / Head of Finance (if finance), ","")IF(INDEX('MOA role matrix'!$B$2:$D$13,3,MATCH($B399,'MOA role matrix'!$B$1:$D$1,0))="Auto","CFO / Head of Finance (auto), ","")IF(INDEX('MOA role matrix'!$B$2:$D$13,4,MATCH($B399,'MOA role matrix'!$B$1:$D$1,0))="Fill","CEO / COO / GM, ","")IF(INDEX('MOA role matrix'!$B$2:$D$13,4,MATCH($B399,'MOA role matrix'!$B$1:$D$1,0))="If finance","CEO / COO / GM (if finance), ","")IF(INDEX('MOA role matrix'!$B$2:$D$13,4,MATCH($B399,'MOA role matrix'!$B$1:$D$1,0))="Auto","CEO / COO / GM (auto), ","")IF(INDEX('MOA role matrix'!$B$2:$D$13,5,MATCH($B399,'MOA role matrix'!$B$1:$D$1,0))="Fill","Board member 1, ","")IF(INDEX('MOA role matrix'!$B$2:$D$13,5,MATCH($B399,'MOA role matrix'!$B$1:$D$1,0))="If finance","Board member 1 (if finance), ","")IF(INDEX('MOA role matrix'!$B$2:$D$13,5,MATCH($B399,'MOA role matrix'!$B$1:$D$1,0))="Auto","Board member 1 (auto), ","")IF(INDEX('MOA role matrix'!$B$2:$D$13,6,MATCH($B399,'MOA role matrix'!$B$1:$D$1,0))="Fill","Board member 2, ","")IF(INDEX('MOA role matrix'!$B$2:$D$13,6,MATCH($B399,'MOA role matrix'!$B$1:$D$1,0))="If finance","Board member 2 (if finance), ","")IF(INDEX('MOA role matrix'!$B$2:$D$13,6,MATCH($B399,'MOA role matrix'!$B$1:$D$1,0))="Auto","Board member 2 (auto), ","")IF(INDEX('MOA role matrix'!$B$2:$D$13,7,MATCH($B399,'MOA role matrix'!$B$1:$D$1,0))="Fill","LOA holder 1, ","")IF(INDEX('MOA role matrix'!$B$2:$D$13,7,MATCH($B399,'MOA role matrix'!$B$1:$D$1,0))="If finance","LOA holder 1 (if finance), ","")IF(INDEX('MOA role matrix'!$B$2:$D$13,7,MATCH($B399,'MOA role matrix'!$B$1:$D$1,0))="Auto","LOA holder 1 (auto), ","")IF(INDEX('MOA role matrix'!$B$2:$D$13,8,MATCH($B399,'MOA role matrix'!$B$1:$D$1,0))="Fill","LOA holder 2, ","")IF(INDEX('MOA role matrix'!$B$2:$D$13,8,MATCH($B399,'MOA role matrix'!$B$1:$D$1,0))="If finance","LOA holder 2 (if finance), ","")IF(INDEX('MOA role matrix'!$B$2:$D$13,8,MATCH($B399,'MOA role matrix'!$B$1:$D$1,0))="Auto","LOA holder 2 (auto), ","")IF(INDEX('MOA role matrix'!$B$2:$D$13,9,MATCH($B399,'MOA role matrix'!$B$1:$D$1,0))="Fill","Senior Manager CoSec, ","")IF(INDEX('MOA role matrix'!$B$2:$D$13,9,MATCH($B399,'MOA role matrix'!$B$1:$D$1,0))="If finance","Senior Manager CoSec (if finance), ","")IF(INDEX('MOA role matrix'!$B$2:$D$13,9,MATCH($B399,'MOA role matrix'!$B$1:$D$1,0))="Auto","Senior Manager CoSec (auto), ","")IF(INDEX('MOA role matrix'!$B$2:$D$13,10,MATCH($B399,'MOA role matrix'!$B$1:$D$1,0))="Fill","Division MOI managers, ","")IF(INDEX('MOA role matrix'!$B$2:$D$13,10,MATCH($B399,'MOA role matrix'!$B$1:$D$1,0))="If finance","Division MOI managers (if finance), ","")IF(INDEX('MOA role matrix'!$B$2:$D$13,10,MATCH($B399,'MOA role matrix'!$B$1:$D$1,0))="Auto","Division MOI managers (auto), ","")IF(INDEX('MOA role matrix'!$B$2:$D$13,11,MATCH($B399,'MOA role matrix'!$B$1:$D$1,0))="Fill","Ms Teh (bank), ","")IF(INDEX('MOA role matrix'!$B$2:$D$13,11,MATCH($B399,'MOA role matrix'!$B$1:$D$1,0))="If finance","Ms Teh (bank) (if finance), ","")IF(INDEX('MOA role matrix'!$B$2:$D$13,11,MATCH($B399,'MOA role matrix'!$B$1:$D$1,0))="Auto","Ms Teh (bank) (auto), ","")IF(INDEX('MOA role matrix'!$B$2:$D$13,12,MATCH($B399,'MOA role matrix'!$B$1:$D$1,0))="Fill","DLCM, ","")IF(INDEX('MOA role matrix'!$B$2:$D$13,12,MATCH($B399,'MOA role matrix'!$B$1:$D$1,0))="If finance","DLCM (if finance), ","")IF(INDEX('MOA role matrix'!$B$2:$D$13,12,MATCH($B399,'MOA role matrix'!$B$1:$D$1,0))="Auto","DLCM (auto), ","")))</f>
        <v/>
      </c>
      <c r="D399" s="5">
        <f>IF($A399="","",IFERROR(INDEX(FILTER('Client contacts'!$B$2:$B$500,('Client contacts'!$A$2:$A$500=$A399)*('Client contacts'!$H$2:$H$500="Y"),""),1),""))</f>
        <v/>
      </c>
      <c r="E399" s="5">
        <f>IF($A399="","",IFERROR(INDEX(FILTER('Client contacts'!$C$2:$C$500,('Client contacts'!$A$2:$A$500=$A399)*('Client contacts'!$H$2:$H$500="Y"),""),1),""))</f>
        <v/>
      </c>
      <c r="F399" s="5">
        <f>IF($A399="","",IFERROR(INDEX(FILTER('Client contacts'!$B$2:$B$500,('Client contacts'!$A$2:$A$500=$A399)*('Client contacts'!$G$2:$G$500="Y"),""),1),""))</f>
        <v/>
      </c>
      <c r="G399" s="5">
        <f>IF($A399="","",IFERROR(INDEX(FILTER('Client contacts'!$C$2:$C$500,('Client contacts'!$A$2:$A$500=$A399)*('Client contacts'!$G$2:$G$500="Y"),""),1),""))</f>
        <v/>
      </c>
      <c r="H399" s="5">
        <f>IF($A399="","",IFERROR(INDEX(FILTER('Client contacts'!$B$2:$B$500,('Client contacts'!$A$2:$A$500=$A399)*('Client contacts'!$G$2:$G$500="Y"),""),2),""))</f>
        <v/>
      </c>
      <c r="I399" s="5">
        <f>IF($A399="","",IFERROR(INDEX(FILTER('Client contacts'!$C$2:$C$500,('Client contacts'!$A$2:$A$500=$A399)*('Client contacts'!$G$2:$G$500="Y"),""),2),""))</f>
        <v/>
      </c>
      <c r="J399" s="8" t="n"/>
      <c r="K399" s="8" t="n"/>
      <c r="L399" s="8" t="n"/>
      <c r="M399" s="8" t="n"/>
      <c r="N399" s="8" t="n"/>
      <c r="O399" s="8" t="n"/>
      <c r="P399" s="8" t="n"/>
      <c r="Q399" s="8" t="n"/>
      <c r="R399" s="5">
        <f>IF($A399="","",IFERROR(INDEX(Companies!$I$2:$I$500,MATCH($A399,Companies!$A$2:$A$500,0)),""))</f>
        <v/>
      </c>
      <c r="S399" s="8" t="n"/>
      <c r="T399" s="8" t="n"/>
      <c r="U399" s="8" t="n"/>
      <c r="V399" s="8" t="n"/>
      <c r="W399" s="8" t="n"/>
    </row>
    <row r="400">
      <c r="C400" s="5">
        <f>IF($B400="","",TRIM(IF(INDEX('MOA role matrix'!$B$2:$D$13,1,MATCH($B400,'MOA role matrix'!$B$1:$D$1,0))="Fill","Project initiator, ","")IF(INDEX('MOA role matrix'!$B$2:$D$13,1,MATCH($B400,'MOA role matrix'!$B$1:$D$1,0))="If finance","Project initiator (if finance), ","")IF(INDEX('MOA role matrix'!$B$2:$D$13,1,MATCH($B400,'MOA role matrix'!$B$1:$D$1,0))="Auto","Project initiator (auto), ","")IF(INDEX('MOA role matrix'!$B$2:$D$13,2,MATCH($B400,'MOA role matrix'!$B$1:$D$1,0))="Fill","MOA signers (client), ","")IF(INDEX('MOA role matrix'!$B$2:$D$13,2,MATCH($B400,'MOA role matrix'!$B$1:$D$1,0))="If finance","MOA signers (client) (if finance), ","")IF(INDEX('MOA role matrix'!$B$2:$D$13,2,MATCH($B400,'MOA role matrix'!$B$1:$D$1,0))="Auto","MOA signers (client) (auto), ","")IF(INDEX('MOA role matrix'!$B$2:$D$13,3,MATCH($B400,'MOA role matrix'!$B$1:$D$1,0))="Fill","CFO / Head of Finance, ","")IF(INDEX('MOA role matrix'!$B$2:$D$13,3,MATCH($B400,'MOA role matrix'!$B$1:$D$1,0))="If finance","CFO / Head of Finance (if finance), ","")IF(INDEX('MOA role matrix'!$B$2:$D$13,3,MATCH($B400,'MOA role matrix'!$B$1:$D$1,0))="Auto","CFO / Head of Finance (auto), ","")IF(INDEX('MOA role matrix'!$B$2:$D$13,4,MATCH($B400,'MOA role matrix'!$B$1:$D$1,0))="Fill","CEO / COO / GM, ","")IF(INDEX('MOA role matrix'!$B$2:$D$13,4,MATCH($B400,'MOA role matrix'!$B$1:$D$1,0))="If finance","CEO / COO / GM (if finance), ","")IF(INDEX('MOA role matrix'!$B$2:$D$13,4,MATCH($B400,'MOA role matrix'!$B$1:$D$1,0))="Auto","CEO / COO / GM (auto), ","")IF(INDEX('MOA role matrix'!$B$2:$D$13,5,MATCH($B400,'MOA role matrix'!$B$1:$D$1,0))="Fill","Board member 1, ","")IF(INDEX('MOA role matrix'!$B$2:$D$13,5,MATCH($B400,'MOA role matrix'!$B$1:$D$1,0))="If finance","Board member 1 (if finance), ","")IF(INDEX('MOA role matrix'!$B$2:$D$13,5,MATCH($B400,'MOA role matrix'!$B$1:$D$1,0))="Auto","Board member 1 (auto), ","")IF(INDEX('MOA role matrix'!$B$2:$D$13,6,MATCH($B400,'MOA role matrix'!$B$1:$D$1,0))="Fill","Board member 2, ","")IF(INDEX('MOA role matrix'!$B$2:$D$13,6,MATCH($B400,'MOA role matrix'!$B$1:$D$1,0))="If finance","Board member 2 (if finance), ","")IF(INDEX('MOA role matrix'!$B$2:$D$13,6,MATCH($B400,'MOA role matrix'!$B$1:$D$1,0))="Auto","Board member 2 (auto), ","")IF(INDEX('MOA role matrix'!$B$2:$D$13,7,MATCH($B400,'MOA role matrix'!$B$1:$D$1,0))="Fill","LOA holder 1, ","")IF(INDEX('MOA role matrix'!$B$2:$D$13,7,MATCH($B400,'MOA role matrix'!$B$1:$D$1,0))="If finance","LOA holder 1 (if finance), ","")IF(INDEX('MOA role matrix'!$B$2:$D$13,7,MATCH($B400,'MOA role matrix'!$B$1:$D$1,0))="Auto","LOA holder 1 (auto), ","")IF(INDEX('MOA role matrix'!$B$2:$D$13,8,MATCH($B400,'MOA role matrix'!$B$1:$D$1,0))="Fill","LOA holder 2, ","")IF(INDEX('MOA role matrix'!$B$2:$D$13,8,MATCH($B400,'MOA role matrix'!$B$1:$D$1,0))="If finance","LOA holder 2 (if finance), ","")IF(INDEX('MOA role matrix'!$B$2:$D$13,8,MATCH($B400,'MOA role matrix'!$B$1:$D$1,0))="Auto","LOA holder 2 (auto), ","")IF(INDEX('MOA role matrix'!$B$2:$D$13,9,MATCH($B400,'MOA role matrix'!$B$1:$D$1,0))="Fill","Senior Manager CoSec, ","")IF(INDEX('MOA role matrix'!$B$2:$D$13,9,MATCH($B400,'MOA role matrix'!$B$1:$D$1,0))="If finance","Senior Manager CoSec (if finance), ","")IF(INDEX('MOA role matrix'!$B$2:$D$13,9,MATCH($B400,'MOA role matrix'!$B$1:$D$1,0))="Auto","Senior Manager CoSec (auto), ","")IF(INDEX('MOA role matrix'!$B$2:$D$13,10,MATCH($B400,'MOA role matrix'!$B$1:$D$1,0))="Fill","Division MOI managers, ","")IF(INDEX('MOA role matrix'!$B$2:$D$13,10,MATCH($B400,'MOA role matrix'!$B$1:$D$1,0))="If finance","Division MOI managers (if finance), ","")IF(INDEX('MOA role matrix'!$B$2:$D$13,10,MATCH($B400,'MOA role matrix'!$B$1:$D$1,0))="Auto","Division MOI managers (auto), ","")IF(INDEX('MOA role matrix'!$B$2:$D$13,11,MATCH($B400,'MOA role matrix'!$B$1:$D$1,0))="Fill","Ms Teh (bank), ","")IF(INDEX('MOA role matrix'!$B$2:$D$13,11,MATCH($B400,'MOA role matrix'!$B$1:$D$1,0))="If finance","Ms Teh (bank) (if finance), ","")IF(INDEX('MOA role matrix'!$B$2:$D$13,11,MATCH($B400,'MOA role matrix'!$B$1:$D$1,0))="Auto","Ms Teh (bank) (auto), ","")IF(INDEX('MOA role matrix'!$B$2:$D$13,12,MATCH($B400,'MOA role matrix'!$B$1:$D$1,0))="Fill","DLCM, ","")IF(INDEX('MOA role matrix'!$B$2:$D$13,12,MATCH($B400,'MOA role matrix'!$B$1:$D$1,0))="If finance","DLCM (if finance), ","")IF(INDEX('MOA role matrix'!$B$2:$D$13,12,MATCH($B400,'MOA role matrix'!$B$1:$D$1,0))="Auto","DLCM (auto), ","")))</f>
        <v/>
      </c>
      <c r="D400" s="5">
        <f>IF($A400="","",IFERROR(INDEX(FILTER('Client contacts'!$B$2:$B$500,('Client contacts'!$A$2:$A$500=$A400)*('Client contacts'!$H$2:$H$500="Y"),""),1),""))</f>
        <v/>
      </c>
      <c r="E400" s="5">
        <f>IF($A400="","",IFERROR(INDEX(FILTER('Client contacts'!$C$2:$C$500,('Client contacts'!$A$2:$A$500=$A400)*('Client contacts'!$H$2:$H$500="Y"),""),1),""))</f>
        <v/>
      </c>
      <c r="F400" s="5">
        <f>IF($A400="","",IFERROR(INDEX(FILTER('Client contacts'!$B$2:$B$500,('Client contacts'!$A$2:$A$500=$A400)*('Client contacts'!$G$2:$G$500="Y"),""),1),""))</f>
        <v/>
      </c>
      <c r="G400" s="5">
        <f>IF($A400="","",IFERROR(INDEX(FILTER('Client contacts'!$C$2:$C$500,('Client contacts'!$A$2:$A$500=$A400)*('Client contacts'!$G$2:$G$500="Y"),""),1),""))</f>
        <v/>
      </c>
      <c r="H400" s="5">
        <f>IF($A400="","",IFERROR(INDEX(FILTER('Client contacts'!$B$2:$B$500,('Client contacts'!$A$2:$A$500=$A400)*('Client contacts'!$G$2:$G$500="Y"),""),2),""))</f>
        <v/>
      </c>
      <c r="I400" s="5">
        <f>IF($A400="","",IFERROR(INDEX(FILTER('Client contacts'!$C$2:$C$500,('Client contacts'!$A$2:$A$500=$A400)*('Client contacts'!$G$2:$G$500="Y"),""),2),""))</f>
        <v/>
      </c>
      <c r="J400" s="8" t="n"/>
      <c r="K400" s="8" t="n"/>
      <c r="L400" s="8" t="n"/>
      <c r="M400" s="8" t="n"/>
      <c r="N400" s="8" t="n"/>
      <c r="O400" s="8" t="n"/>
      <c r="P400" s="8" t="n"/>
      <c r="Q400" s="8" t="n"/>
      <c r="R400" s="5">
        <f>IF($A400="","",IFERROR(INDEX(Companies!$I$2:$I$500,MATCH($A400,Companies!$A$2:$A$500,0)),""))</f>
        <v/>
      </c>
      <c r="S400" s="8" t="n"/>
      <c r="T400" s="8" t="n"/>
      <c r="U400" s="8" t="n"/>
      <c r="V400" s="8" t="n"/>
      <c r="W400" s="8" t="n"/>
    </row>
    <row r="401">
      <c r="C401" s="5">
        <f>IF($B401="","",TRIM(IF(INDEX('MOA role matrix'!$B$2:$D$13,1,MATCH($B401,'MOA role matrix'!$B$1:$D$1,0))="Fill","Project initiator, ","")IF(INDEX('MOA role matrix'!$B$2:$D$13,1,MATCH($B401,'MOA role matrix'!$B$1:$D$1,0))="If finance","Project initiator (if finance), ","")IF(INDEX('MOA role matrix'!$B$2:$D$13,1,MATCH($B401,'MOA role matrix'!$B$1:$D$1,0))="Auto","Project initiator (auto), ","")IF(INDEX('MOA role matrix'!$B$2:$D$13,2,MATCH($B401,'MOA role matrix'!$B$1:$D$1,0))="Fill","MOA signers (client), ","")IF(INDEX('MOA role matrix'!$B$2:$D$13,2,MATCH($B401,'MOA role matrix'!$B$1:$D$1,0))="If finance","MOA signers (client) (if finance), ","")IF(INDEX('MOA role matrix'!$B$2:$D$13,2,MATCH($B401,'MOA role matrix'!$B$1:$D$1,0))="Auto","MOA signers (client) (auto), ","")IF(INDEX('MOA role matrix'!$B$2:$D$13,3,MATCH($B401,'MOA role matrix'!$B$1:$D$1,0))="Fill","CFO / Head of Finance, ","")IF(INDEX('MOA role matrix'!$B$2:$D$13,3,MATCH($B401,'MOA role matrix'!$B$1:$D$1,0))="If finance","CFO / Head of Finance (if finance), ","")IF(INDEX('MOA role matrix'!$B$2:$D$13,3,MATCH($B401,'MOA role matrix'!$B$1:$D$1,0))="Auto","CFO / Head of Finance (auto), ","")IF(INDEX('MOA role matrix'!$B$2:$D$13,4,MATCH($B401,'MOA role matrix'!$B$1:$D$1,0))="Fill","CEO / COO / GM, ","")IF(INDEX('MOA role matrix'!$B$2:$D$13,4,MATCH($B401,'MOA role matrix'!$B$1:$D$1,0))="If finance","CEO / COO / GM (if finance), ","")IF(INDEX('MOA role matrix'!$B$2:$D$13,4,MATCH($B401,'MOA role matrix'!$B$1:$D$1,0))="Auto","CEO / COO / GM (auto), ","")IF(INDEX('MOA role matrix'!$B$2:$D$13,5,MATCH($B401,'MOA role matrix'!$B$1:$D$1,0))="Fill","Board member 1, ","")IF(INDEX('MOA role matrix'!$B$2:$D$13,5,MATCH($B401,'MOA role matrix'!$B$1:$D$1,0))="If finance","Board member 1 (if finance), ","")IF(INDEX('MOA role matrix'!$B$2:$D$13,5,MATCH($B401,'MOA role matrix'!$B$1:$D$1,0))="Auto","Board member 1 (auto), ","")IF(INDEX('MOA role matrix'!$B$2:$D$13,6,MATCH($B401,'MOA role matrix'!$B$1:$D$1,0))="Fill","Board member 2, ","")IF(INDEX('MOA role matrix'!$B$2:$D$13,6,MATCH($B401,'MOA role matrix'!$B$1:$D$1,0))="If finance","Board member 2 (if finance), ","")IF(INDEX('MOA role matrix'!$B$2:$D$13,6,MATCH($B401,'MOA role matrix'!$B$1:$D$1,0))="Auto","Board member 2 (auto), ","")IF(INDEX('MOA role matrix'!$B$2:$D$13,7,MATCH($B401,'MOA role matrix'!$B$1:$D$1,0))="Fill","LOA holder 1, ","")IF(INDEX('MOA role matrix'!$B$2:$D$13,7,MATCH($B401,'MOA role matrix'!$B$1:$D$1,0))="If finance","LOA holder 1 (if finance), ","")IF(INDEX('MOA role matrix'!$B$2:$D$13,7,MATCH($B401,'MOA role matrix'!$B$1:$D$1,0))="Auto","LOA holder 1 (auto), ","")IF(INDEX('MOA role matrix'!$B$2:$D$13,8,MATCH($B401,'MOA role matrix'!$B$1:$D$1,0))="Fill","LOA holder 2, ","")IF(INDEX('MOA role matrix'!$B$2:$D$13,8,MATCH($B401,'MOA role matrix'!$B$1:$D$1,0))="If finance","LOA holder 2 (if finance), ","")IF(INDEX('MOA role matrix'!$B$2:$D$13,8,MATCH($B401,'MOA role matrix'!$B$1:$D$1,0))="Auto","LOA holder 2 (auto), ","")IF(INDEX('MOA role matrix'!$B$2:$D$13,9,MATCH($B401,'MOA role matrix'!$B$1:$D$1,0))="Fill","Senior Manager CoSec, ","")IF(INDEX('MOA role matrix'!$B$2:$D$13,9,MATCH($B401,'MOA role matrix'!$B$1:$D$1,0))="If finance","Senior Manager CoSec (if finance), ","")IF(INDEX('MOA role matrix'!$B$2:$D$13,9,MATCH($B401,'MOA role matrix'!$B$1:$D$1,0))="Auto","Senior Manager CoSec (auto), ","")IF(INDEX('MOA role matrix'!$B$2:$D$13,10,MATCH($B401,'MOA role matrix'!$B$1:$D$1,0))="Fill","Division MOI managers, ","")IF(INDEX('MOA role matrix'!$B$2:$D$13,10,MATCH($B401,'MOA role matrix'!$B$1:$D$1,0))="If finance","Division MOI managers (if finance), ","")IF(INDEX('MOA role matrix'!$B$2:$D$13,10,MATCH($B401,'MOA role matrix'!$B$1:$D$1,0))="Auto","Division MOI managers (auto), ","")IF(INDEX('MOA role matrix'!$B$2:$D$13,11,MATCH($B401,'MOA role matrix'!$B$1:$D$1,0))="Fill","Ms Teh (bank), ","")IF(INDEX('MOA role matrix'!$B$2:$D$13,11,MATCH($B401,'MOA role matrix'!$B$1:$D$1,0))="If finance","Ms Teh (bank) (if finance), ","")IF(INDEX('MOA role matrix'!$B$2:$D$13,11,MATCH($B401,'MOA role matrix'!$B$1:$D$1,0))="Auto","Ms Teh (bank) (auto), ","")IF(INDEX('MOA role matrix'!$B$2:$D$13,12,MATCH($B401,'MOA role matrix'!$B$1:$D$1,0))="Fill","DLCM, ","")IF(INDEX('MOA role matrix'!$B$2:$D$13,12,MATCH($B401,'MOA role matrix'!$B$1:$D$1,0))="If finance","DLCM (if finance), ","")IF(INDEX('MOA role matrix'!$B$2:$D$13,12,MATCH($B401,'MOA role matrix'!$B$1:$D$1,0))="Auto","DLCM (auto), ","")))</f>
        <v/>
      </c>
      <c r="D401" s="5">
        <f>IF($A401="","",IFERROR(INDEX(FILTER('Client contacts'!$B$2:$B$500,('Client contacts'!$A$2:$A$500=$A401)*('Client contacts'!$H$2:$H$500="Y"),""),1),""))</f>
        <v/>
      </c>
      <c r="E401" s="5">
        <f>IF($A401="","",IFERROR(INDEX(FILTER('Client contacts'!$C$2:$C$500,('Client contacts'!$A$2:$A$500=$A401)*('Client contacts'!$H$2:$H$500="Y"),""),1),""))</f>
        <v/>
      </c>
      <c r="F401" s="5">
        <f>IF($A401="","",IFERROR(INDEX(FILTER('Client contacts'!$B$2:$B$500,('Client contacts'!$A$2:$A$500=$A401)*('Client contacts'!$G$2:$G$500="Y"),""),1),""))</f>
        <v/>
      </c>
      <c r="G401" s="5">
        <f>IF($A401="","",IFERROR(INDEX(FILTER('Client contacts'!$C$2:$C$500,('Client contacts'!$A$2:$A$500=$A401)*('Client contacts'!$G$2:$G$500="Y"),""),1),""))</f>
        <v/>
      </c>
      <c r="H401" s="5">
        <f>IF($A401="","",IFERROR(INDEX(FILTER('Client contacts'!$B$2:$B$500,('Client contacts'!$A$2:$A$500=$A401)*('Client contacts'!$G$2:$G$500="Y"),""),2),""))</f>
        <v/>
      </c>
      <c r="I401" s="5">
        <f>IF($A401="","",IFERROR(INDEX(FILTER('Client contacts'!$C$2:$C$500,('Client contacts'!$A$2:$A$500=$A401)*('Client contacts'!$G$2:$G$500="Y"),""),2),""))</f>
        <v/>
      </c>
      <c r="J401" s="8" t="n"/>
      <c r="K401" s="8" t="n"/>
      <c r="L401" s="8" t="n"/>
      <c r="M401" s="8" t="n"/>
      <c r="N401" s="8" t="n"/>
      <c r="O401" s="8" t="n"/>
      <c r="P401" s="8" t="n"/>
      <c r="Q401" s="8" t="n"/>
      <c r="R401" s="5">
        <f>IF($A401="","",IFERROR(INDEX(Companies!$I$2:$I$500,MATCH($A401,Companies!$A$2:$A$500,0)),""))</f>
        <v/>
      </c>
      <c r="S401" s="8" t="n"/>
      <c r="T401" s="8" t="n"/>
      <c r="U401" s="8" t="n"/>
      <c r="V401" s="8" t="n"/>
      <c r="W401" s="8" t="n"/>
    </row>
    <row r="402">
      <c r="C402" s="5">
        <f>IF($B402="","",TRIM(IF(INDEX('MOA role matrix'!$B$2:$D$13,1,MATCH($B402,'MOA role matrix'!$B$1:$D$1,0))="Fill","Project initiator, ","")IF(INDEX('MOA role matrix'!$B$2:$D$13,1,MATCH($B402,'MOA role matrix'!$B$1:$D$1,0))="If finance","Project initiator (if finance), ","")IF(INDEX('MOA role matrix'!$B$2:$D$13,1,MATCH($B402,'MOA role matrix'!$B$1:$D$1,0))="Auto","Project initiator (auto), ","")IF(INDEX('MOA role matrix'!$B$2:$D$13,2,MATCH($B402,'MOA role matrix'!$B$1:$D$1,0))="Fill","MOA signers (client), ","")IF(INDEX('MOA role matrix'!$B$2:$D$13,2,MATCH($B402,'MOA role matrix'!$B$1:$D$1,0))="If finance","MOA signers (client) (if finance), ","")IF(INDEX('MOA role matrix'!$B$2:$D$13,2,MATCH($B402,'MOA role matrix'!$B$1:$D$1,0))="Auto","MOA signers (client) (auto), ","")IF(INDEX('MOA role matrix'!$B$2:$D$13,3,MATCH($B402,'MOA role matrix'!$B$1:$D$1,0))="Fill","CFO / Head of Finance, ","")IF(INDEX('MOA role matrix'!$B$2:$D$13,3,MATCH($B402,'MOA role matrix'!$B$1:$D$1,0))="If finance","CFO / Head of Finance (if finance), ","")IF(INDEX('MOA role matrix'!$B$2:$D$13,3,MATCH($B402,'MOA role matrix'!$B$1:$D$1,0))="Auto","CFO / Head of Finance (auto), ","")IF(INDEX('MOA role matrix'!$B$2:$D$13,4,MATCH($B402,'MOA role matrix'!$B$1:$D$1,0))="Fill","CEO / COO / GM, ","")IF(INDEX('MOA role matrix'!$B$2:$D$13,4,MATCH($B402,'MOA role matrix'!$B$1:$D$1,0))="If finance","CEO / COO / GM (if finance), ","")IF(INDEX('MOA role matrix'!$B$2:$D$13,4,MATCH($B402,'MOA role matrix'!$B$1:$D$1,0))="Auto","CEO / COO / GM (auto), ","")IF(INDEX('MOA role matrix'!$B$2:$D$13,5,MATCH($B402,'MOA role matrix'!$B$1:$D$1,0))="Fill","Board member 1, ","")IF(INDEX('MOA role matrix'!$B$2:$D$13,5,MATCH($B402,'MOA role matrix'!$B$1:$D$1,0))="If finance","Board member 1 (if finance), ","")IF(INDEX('MOA role matrix'!$B$2:$D$13,5,MATCH($B402,'MOA role matrix'!$B$1:$D$1,0))="Auto","Board member 1 (auto), ","")IF(INDEX('MOA role matrix'!$B$2:$D$13,6,MATCH($B402,'MOA role matrix'!$B$1:$D$1,0))="Fill","Board member 2, ","")IF(INDEX('MOA role matrix'!$B$2:$D$13,6,MATCH($B402,'MOA role matrix'!$B$1:$D$1,0))="If finance","Board member 2 (if finance), ","")IF(INDEX('MOA role matrix'!$B$2:$D$13,6,MATCH($B402,'MOA role matrix'!$B$1:$D$1,0))="Auto","Board member 2 (auto), ","")IF(INDEX('MOA role matrix'!$B$2:$D$13,7,MATCH($B402,'MOA role matrix'!$B$1:$D$1,0))="Fill","LOA holder 1, ","")IF(INDEX('MOA role matrix'!$B$2:$D$13,7,MATCH($B402,'MOA role matrix'!$B$1:$D$1,0))="If finance","LOA holder 1 (if finance), ","")IF(INDEX('MOA role matrix'!$B$2:$D$13,7,MATCH($B402,'MOA role matrix'!$B$1:$D$1,0))="Auto","LOA holder 1 (auto), ","")IF(INDEX('MOA role matrix'!$B$2:$D$13,8,MATCH($B402,'MOA role matrix'!$B$1:$D$1,0))="Fill","LOA holder 2, ","")IF(INDEX('MOA role matrix'!$B$2:$D$13,8,MATCH($B402,'MOA role matrix'!$B$1:$D$1,0))="If finance","LOA holder 2 (if finance), ","")IF(INDEX('MOA role matrix'!$B$2:$D$13,8,MATCH($B402,'MOA role matrix'!$B$1:$D$1,0))="Auto","LOA holder 2 (auto), ","")IF(INDEX('MOA role matrix'!$B$2:$D$13,9,MATCH($B402,'MOA role matrix'!$B$1:$D$1,0))="Fill","Senior Manager CoSec, ","")IF(INDEX('MOA role matrix'!$B$2:$D$13,9,MATCH($B402,'MOA role matrix'!$B$1:$D$1,0))="If finance","Senior Manager CoSec (if finance), ","")IF(INDEX('MOA role matrix'!$B$2:$D$13,9,MATCH($B402,'MOA role matrix'!$B$1:$D$1,0))="Auto","Senior Manager CoSec (auto), ","")IF(INDEX('MOA role matrix'!$B$2:$D$13,10,MATCH($B402,'MOA role matrix'!$B$1:$D$1,0))="Fill","Division MOI managers, ","")IF(INDEX('MOA role matrix'!$B$2:$D$13,10,MATCH($B402,'MOA role matrix'!$B$1:$D$1,0))="If finance","Division MOI managers (if finance), ","")IF(INDEX('MOA role matrix'!$B$2:$D$13,10,MATCH($B402,'MOA role matrix'!$B$1:$D$1,0))="Auto","Division MOI managers (auto), ","")IF(INDEX('MOA role matrix'!$B$2:$D$13,11,MATCH($B402,'MOA role matrix'!$B$1:$D$1,0))="Fill","Ms Teh (bank), ","")IF(INDEX('MOA role matrix'!$B$2:$D$13,11,MATCH($B402,'MOA role matrix'!$B$1:$D$1,0))="If finance","Ms Teh (bank) (if finance), ","")IF(INDEX('MOA role matrix'!$B$2:$D$13,11,MATCH($B402,'MOA role matrix'!$B$1:$D$1,0))="Auto","Ms Teh (bank) (auto), ","")IF(INDEX('MOA role matrix'!$B$2:$D$13,12,MATCH($B402,'MOA role matrix'!$B$1:$D$1,0))="Fill","DLCM, ","")IF(INDEX('MOA role matrix'!$B$2:$D$13,12,MATCH($B402,'MOA role matrix'!$B$1:$D$1,0))="If finance","DLCM (if finance), ","")IF(INDEX('MOA role matrix'!$B$2:$D$13,12,MATCH($B402,'MOA role matrix'!$B$1:$D$1,0))="Auto","DLCM (auto), ","")))</f>
        <v/>
      </c>
      <c r="D402" s="5">
        <f>IF($A402="","",IFERROR(INDEX(FILTER('Client contacts'!$B$2:$B$500,('Client contacts'!$A$2:$A$500=$A402)*('Client contacts'!$H$2:$H$500="Y"),""),1),""))</f>
        <v/>
      </c>
      <c r="E402" s="5">
        <f>IF($A402="","",IFERROR(INDEX(FILTER('Client contacts'!$C$2:$C$500,('Client contacts'!$A$2:$A$500=$A402)*('Client contacts'!$H$2:$H$500="Y"),""),1),""))</f>
        <v/>
      </c>
      <c r="F402" s="5">
        <f>IF($A402="","",IFERROR(INDEX(FILTER('Client contacts'!$B$2:$B$500,('Client contacts'!$A$2:$A$500=$A402)*('Client contacts'!$G$2:$G$500="Y"),""),1),""))</f>
        <v/>
      </c>
      <c r="G402" s="5">
        <f>IF($A402="","",IFERROR(INDEX(FILTER('Client contacts'!$C$2:$C$500,('Client contacts'!$A$2:$A$500=$A402)*('Client contacts'!$G$2:$G$500="Y"),""),1),""))</f>
        <v/>
      </c>
      <c r="H402" s="5">
        <f>IF($A402="","",IFERROR(INDEX(FILTER('Client contacts'!$B$2:$B$500,('Client contacts'!$A$2:$A$500=$A402)*('Client contacts'!$G$2:$G$500="Y"),""),2),""))</f>
        <v/>
      </c>
      <c r="I402" s="5">
        <f>IF($A402="","",IFERROR(INDEX(FILTER('Client contacts'!$C$2:$C$500,('Client contacts'!$A$2:$A$500=$A402)*('Client contacts'!$G$2:$G$500="Y"),""),2),""))</f>
        <v/>
      </c>
      <c r="J402" s="8" t="n"/>
      <c r="K402" s="8" t="n"/>
      <c r="L402" s="8" t="n"/>
      <c r="M402" s="8" t="n"/>
      <c r="N402" s="8" t="n"/>
      <c r="O402" s="8" t="n"/>
      <c r="P402" s="8" t="n"/>
      <c r="Q402" s="8" t="n"/>
      <c r="R402" s="5">
        <f>IF($A402="","",IFERROR(INDEX(Companies!$I$2:$I$500,MATCH($A402,Companies!$A$2:$A$500,0)),""))</f>
        <v/>
      </c>
      <c r="S402" s="8" t="n"/>
      <c r="T402" s="8" t="n"/>
      <c r="U402" s="8" t="n"/>
      <c r="V402" s="8" t="n"/>
      <c r="W402" s="8" t="n"/>
    </row>
    <row r="403">
      <c r="C403" s="5">
        <f>IF($B403="","",TRIM(IF(INDEX('MOA role matrix'!$B$2:$D$13,1,MATCH($B403,'MOA role matrix'!$B$1:$D$1,0))="Fill","Project initiator, ","")IF(INDEX('MOA role matrix'!$B$2:$D$13,1,MATCH($B403,'MOA role matrix'!$B$1:$D$1,0))="If finance","Project initiator (if finance), ","")IF(INDEX('MOA role matrix'!$B$2:$D$13,1,MATCH($B403,'MOA role matrix'!$B$1:$D$1,0))="Auto","Project initiator (auto), ","")IF(INDEX('MOA role matrix'!$B$2:$D$13,2,MATCH($B403,'MOA role matrix'!$B$1:$D$1,0))="Fill","MOA signers (client), ","")IF(INDEX('MOA role matrix'!$B$2:$D$13,2,MATCH($B403,'MOA role matrix'!$B$1:$D$1,0))="If finance","MOA signers (client) (if finance), ","")IF(INDEX('MOA role matrix'!$B$2:$D$13,2,MATCH($B403,'MOA role matrix'!$B$1:$D$1,0))="Auto","MOA signers (client) (auto), ","")IF(INDEX('MOA role matrix'!$B$2:$D$13,3,MATCH($B403,'MOA role matrix'!$B$1:$D$1,0))="Fill","CFO / Head of Finance, ","")IF(INDEX('MOA role matrix'!$B$2:$D$13,3,MATCH($B403,'MOA role matrix'!$B$1:$D$1,0))="If finance","CFO / Head of Finance (if finance), ","")IF(INDEX('MOA role matrix'!$B$2:$D$13,3,MATCH($B403,'MOA role matrix'!$B$1:$D$1,0))="Auto","CFO / Head of Finance (auto), ","")IF(INDEX('MOA role matrix'!$B$2:$D$13,4,MATCH($B403,'MOA role matrix'!$B$1:$D$1,0))="Fill","CEO / COO / GM, ","")IF(INDEX('MOA role matrix'!$B$2:$D$13,4,MATCH($B403,'MOA role matrix'!$B$1:$D$1,0))="If finance","CEO / COO / GM (if finance), ","")IF(INDEX('MOA role matrix'!$B$2:$D$13,4,MATCH($B403,'MOA role matrix'!$B$1:$D$1,0))="Auto","CEO / COO / GM (auto), ","")IF(INDEX('MOA role matrix'!$B$2:$D$13,5,MATCH($B403,'MOA role matrix'!$B$1:$D$1,0))="Fill","Board member 1, ","")IF(INDEX('MOA role matrix'!$B$2:$D$13,5,MATCH($B403,'MOA role matrix'!$B$1:$D$1,0))="If finance","Board member 1 (if finance), ","")IF(INDEX('MOA role matrix'!$B$2:$D$13,5,MATCH($B403,'MOA role matrix'!$B$1:$D$1,0))="Auto","Board member 1 (auto), ","")IF(INDEX('MOA role matrix'!$B$2:$D$13,6,MATCH($B403,'MOA role matrix'!$B$1:$D$1,0))="Fill","Board member 2, ","")IF(INDEX('MOA role matrix'!$B$2:$D$13,6,MATCH($B403,'MOA role matrix'!$B$1:$D$1,0))="If finance","Board member 2 (if finance), ","")IF(INDEX('MOA role matrix'!$B$2:$D$13,6,MATCH($B403,'MOA role matrix'!$B$1:$D$1,0))="Auto","Board member 2 (auto), ","")IF(INDEX('MOA role matrix'!$B$2:$D$13,7,MATCH($B403,'MOA role matrix'!$B$1:$D$1,0))="Fill","LOA holder 1, ","")IF(INDEX('MOA role matrix'!$B$2:$D$13,7,MATCH($B403,'MOA role matrix'!$B$1:$D$1,0))="If finance","LOA holder 1 (if finance), ","")IF(INDEX('MOA role matrix'!$B$2:$D$13,7,MATCH($B403,'MOA role matrix'!$B$1:$D$1,0))="Auto","LOA holder 1 (auto), ","")IF(INDEX('MOA role matrix'!$B$2:$D$13,8,MATCH($B403,'MOA role matrix'!$B$1:$D$1,0))="Fill","LOA holder 2, ","")IF(INDEX('MOA role matrix'!$B$2:$D$13,8,MATCH($B403,'MOA role matrix'!$B$1:$D$1,0))="If finance","LOA holder 2 (if finance), ","")IF(INDEX('MOA role matrix'!$B$2:$D$13,8,MATCH($B403,'MOA role matrix'!$B$1:$D$1,0))="Auto","LOA holder 2 (auto), ","")IF(INDEX('MOA role matrix'!$B$2:$D$13,9,MATCH($B403,'MOA role matrix'!$B$1:$D$1,0))="Fill","Senior Manager CoSec, ","")IF(INDEX('MOA role matrix'!$B$2:$D$13,9,MATCH($B403,'MOA role matrix'!$B$1:$D$1,0))="If finance","Senior Manager CoSec (if finance), ","")IF(INDEX('MOA role matrix'!$B$2:$D$13,9,MATCH($B403,'MOA role matrix'!$B$1:$D$1,0))="Auto","Senior Manager CoSec (auto), ","")IF(INDEX('MOA role matrix'!$B$2:$D$13,10,MATCH($B403,'MOA role matrix'!$B$1:$D$1,0))="Fill","Division MOI managers, ","")IF(INDEX('MOA role matrix'!$B$2:$D$13,10,MATCH($B403,'MOA role matrix'!$B$1:$D$1,0))="If finance","Division MOI managers (if finance), ","")IF(INDEX('MOA role matrix'!$B$2:$D$13,10,MATCH($B403,'MOA role matrix'!$B$1:$D$1,0))="Auto","Division MOI managers (auto), ","")IF(INDEX('MOA role matrix'!$B$2:$D$13,11,MATCH($B403,'MOA role matrix'!$B$1:$D$1,0))="Fill","Ms Teh (bank), ","")IF(INDEX('MOA role matrix'!$B$2:$D$13,11,MATCH($B403,'MOA role matrix'!$B$1:$D$1,0))="If finance","Ms Teh (bank) (if finance), ","")IF(INDEX('MOA role matrix'!$B$2:$D$13,11,MATCH($B403,'MOA role matrix'!$B$1:$D$1,0))="Auto","Ms Teh (bank) (auto), ","")IF(INDEX('MOA role matrix'!$B$2:$D$13,12,MATCH($B403,'MOA role matrix'!$B$1:$D$1,0))="Fill","DLCM, ","")IF(INDEX('MOA role matrix'!$B$2:$D$13,12,MATCH($B403,'MOA role matrix'!$B$1:$D$1,0))="If finance","DLCM (if finance), ","")IF(INDEX('MOA role matrix'!$B$2:$D$13,12,MATCH($B403,'MOA role matrix'!$B$1:$D$1,0))="Auto","DLCM (auto), ","")))</f>
        <v/>
      </c>
      <c r="D403" s="5">
        <f>IF($A403="","",IFERROR(INDEX(FILTER('Client contacts'!$B$2:$B$500,('Client contacts'!$A$2:$A$500=$A403)*('Client contacts'!$H$2:$H$500="Y"),""),1),""))</f>
        <v/>
      </c>
      <c r="E403" s="5">
        <f>IF($A403="","",IFERROR(INDEX(FILTER('Client contacts'!$C$2:$C$500,('Client contacts'!$A$2:$A$500=$A403)*('Client contacts'!$H$2:$H$500="Y"),""),1),""))</f>
        <v/>
      </c>
      <c r="F403" s="5">
        <f>IF($A403="","",IFERROR(INDEX(FILTER('Client contacts'!$B$2:$B$500,('Client contacts'!$A$2:$A$500=$A403)*('Client contacts'!$G$2:$G$500="Y"),""),1),""))</f>
        <v/>
      </c>
      <c r="G403" s="5">
        <f>IF($A403="","",IFERROR(INDEX(FILTER('Client contacts'!$C$2:$C$500,('Client contacts'!$A$2:$A$500=$A403)*('Client contacts'!$G$2:$G$500="Y"),""),1),""))</f>
        <v/>
      </c>
      <c r="H403" s="5">
        <f>IF($A403="","",IFERROR(INDEX(FILTER('Client contacts'!$B$2:$B$500,('Client contacts'!$A$2:$A$500=$A403)*('Client contacts'!$G$2:$G$500="Y"),""),2),""))</f>
        <v/>
      </c>
      <c r="I403" s="5">
        <f>IF($A403="","",IFERROR(INDEX(FILTER('Client contacts'!$C$2:$C$500,('Client contacts'!$A$2:$A$500=$A403)*('Client contacts'!$G$2:$G$500="Y"),""),2),""))</f>
        <v/>
      </c>
      <c r="J403" s="8" t="n"/>
      <c r="K403" s="8" t="n"/>
      <c r="L403" s="8" t="n"/>
      <c r="M403" s="8" t="n"/>
      <c r="N403" s="8" t="n"/>
      <c r="O403" s="8" t="n"/>
      <c r="P403" s="8" t="n"/>
      <c r="Q403" s="8" t="n"/>
      <c r="R403" s="5">
        <f>IF($A403="","",IFERROR(INDEX(Companies!$I$2:$I$500,MATCH($A403,Companies!$A$2:$A$500,0)),""))</f>
        <v/>
      </c>
      <c r="S403" s="8" t="n"/>
      <c r="T403" s="8" t="n"/>
      <c r="U403" s="8" t="n"/>
      <c r="V403" s="8" t="n"/>
      <c r="W403" s="8" t="n"/>
    </row>
    <row r="404">
      <c r="C404" s="5">
        <f>IF($B404="","",TRIM(IF(INDEX('MOA role matrix'!$B$2:$D$13,1,MATCH($B404,'MOA role matrix'!$B$1:$D$1,0))="Fill","Project initiator, ","")IF(INDEX('MOA role matrix'!$B$2:$D$13,1,MATCH($B404,'MOA role matrix'!$B$1:$D$1,0))="If finance","Project initiator (if finance), ","")IF(INDEX('MOA role matrix'!$B$2:$D$13,1,MATCH($B404,'MOA role matrix'!$B$1:$D$1,0))="Auto","Project initiator (auto), ","")IF(INDEX('MOA role matrix'!$B$2:$D$13,2,MATCH($B404,'MOA role matrix'!$B$1:$D$1,0))="Fill","MOA signers (client), ","")IF(INDEX('MOA role matrix'!$B$2:$D$13,2,MATCH($B404,'MOA role matrix'!$B$1:$D$1,0))="If finance","MOA signers (client) (if finance), ","")IF(INDEX('MOA role matrix'!$B$2:$D$13,2,MATCH($B404,'MOA role matrix'!$B$1:$D$1,0))="Auto","MOA signers (client) (auto), ","")IF(INDEX('MOA role matrix'!$B$2:$D$13,3,MATCH($B404,'MOA role matrix'!$B$1:$D$1,0))="Fill","CFO / Head of Finance, ","")IF(INDEX('MOA role matrix'!$B$2:$D$13,3,MATCH($B404,'MOA role matrix'!$B$1:$D$1,0))="If finance","CFO / Head of Finance (if finance), ","")IF(INDEX('MOA role matrix'!$B$2:$D$13,3,MATCH($B404,'MOA role matrix'!$B$1:$D$1,0))="Auto","CFO / Head of Finance (auto), ","")IF(INDEX('MOA role matrix'!$B$2:$D$13,4,MATCH($B404,'MOA role matrix'!$B$1:$D$1,0))="Fill","CEO / COO / GM, ","")IF(INDEX('MOA role matrix'!$B$2:$D$13,4,MATCH($B404,'MOA role matrix'!$B$1:$D$1,0))="If finance","CEO / COO / GM (if finance), ","")IF(INDEX('MOA role matrix'!$B$2:$D$13,4,MATCH($B404,'MOA role matrix'!$B$1:$D$1,0))="Auto","CEO / COO / GM (auto), ","")IF(INDEX('MOA role matrix'!$B$2:$D$13,5,MATCH($B404,'MOA role matrix'!$B$1:$D$1,0))="Fill","Board member 1, ","")IF(INDEX('MOA role matrix'!$B$2:$D$13,5,MATCH($B404,'MOA role matrix'!$B$1:$D$1,0))="If finance","Board member 1 (if finance), ","")IF(INDEX('MOA role matrix'!$B$2:$D$13,5,MATCH($B404,'MOA role matrix'!$B$1:$D$1,0))="Auto","Board member 1 (auto), ","")IF(INDEX('MOA role matrix'!$B$2:$D$13,6,MATCH($B404,'MOA role matrix'!$B$1:$D$1,0))="Fill","Board member 2, ","")IF(INDEX('MOA role matrix'!$B$2:$D$13,6,MATCH($B404,'MOA role matrix'!$B$1:$D$1,0))="If finance","Board member 2 (if finance), ","")IF(INDEX('MOA role matrix'!$B$2:$D$13,6,MATCH($B404,'MOA role matrix'!$B$1:$D$1,0))="Auto","Board member 2 (auto), ","")IF(INDEX('MOA role matrix'!$B$2:$D$13,7,MATCH($B404,'MOA role matrix'!$B$1:$D$1,0))="Fill","LOA holder 1, ","")IF(INDEX('MOA role matrix'!$B$2:$D$13,7,MATCH($B404,'MOA role matrix'!$B$1:$D$1,0))="If finance","LOA holder 1 (if finance), ","")IF(INDEX('MOA role matrix'!$B$2:$D$13,7,MATCH($B404,'MOA role matrix'!$B$1:$D$1,0))="Auto","LOA holder 1 (auto), ","")IF(INDEX('MOA role matrix'!$B$2:$D$13,8,MATCH($B404,'MOA role matrix'!$B$1:$D$1,0))="Fill","LOA holder 2, ","")IF(INDEX('MOA role matrix'!$B$2:$D$13,8,MATCH($B404,'MOA role matrix'!$B$1:$D$1,0))="If finance","LOA holder 2 (if finance), ","")IF(INDEX('MOA role matrix'!$B$2:$D$13,8,MATCH($B404,'MOA role matrix'!$B$1:$D$1,0))="Auto","LOA holder 2 (auto), ","")IF(INDEX('MOA role matrix'!$B$2:$D$13,9,MATCH($B404,'MOA role matrix'!$B$1:$D$1,0))="Fill","Senior Manager CoSec, ","")IF(INDEX('MOA role matrix'!$B$2:$D$13,9,MATCH($B404,'MOA role matrix'!$B$1:$D$1,0))="If finance","Senior Manager CoSec (if finance), ","")IF(INDEX('MOA role matrix'!$B$2:$D$13,9,MATCH($B404,'MOA role matrix'!$B$1:$D$1,0))="Auto","Senior Manager CoSec (auto), ","")IF(INDEX('MOA role matrix'!$B$2:$D$13,10,MATCH($B404,'MOA role matrix'!$B$1:$D$1,0))="Fill","Division MOI managers, ","")IF(INDEX('MOA role matrix'!$B$2:$D$13,10,MATCH($B404,'MOA role matrix'!$B$1:$D$1,0))="If finance","Division MOI managers (if finance), ","")IF(INDEX('MOA role matrix'!$B$2:$D$13,10,MATCH($B404,'MOA role matrix'!$B$1:$D$1,0))="Auto","Division MOI managers (auto), ","")IF(INDEX('MOA role matrix'!$B$2:$D$13,11,MATCH($B404,'MOA role matrix'!$B$1:$D$1,0))="Fill","Ms Teh (bank), ","")IF(INDEX('MOA role matrix'!$B$2:$D$13,11,MATCH($B404,'MOA role matrix'!$B$1:$D$1,0))="If finance","Ms Teh (bank) (if finance), ","")IF(INDEX('MOA role matrix'!$B$2:$D$13,11,MATCH($B404,'MOA role matrix'!$B$1:$D$1,0))="Auto","Ms Teh (bank) (auto), ","")IF(INDEX('MOA role matrix'!$B$2:$D$13,12,MATCH($B404,'MOA role matrix'!$B$1:$D$1,0))="Fill","DLCM, ","")IF(INDEX('MOA role matrix'!$B$2:$D$13,12,MATCH($B404,'MOA role matrix'!$B$1:$D$1,0))="If finance","DLCM (if finance), ","")IF(INDEX('MOA role matrix'!$B$2:$D$13,12,MATCH($B404,'MOA role matrix'!$B$1:$D$1,0))="Auto","DLCM (auto), ","")))</f>
        <v/>
      </c>
      <c r="D404" s="5">
        <f>IF($A404="","",IFERROR(INDEX(FILTER('Client contacts'!$B$2:$B$500,('Client contacts'!$A$2:$A$500=$A404)*('Client contacts'!$H$2:$H$500="Y"),""),1),""))</f>
        <v/>
      </c>
      <c r="E404" s="5">
        <f>IF($A404="","",IFERROR(INDEX(FILTER('Client contacts'!$C$2:$C$500,('Client contacts'!$A$2:$A$500=$A404)*('Client contacts'!$H$2:$H$500="Y"),""),1),""))</f>
        <v/>
      </c>
      <c r="F404" s="5">
        <f>IF($A404="","",IFERROR(INDEX(FILTER('Client contacts'!$B$2:$B$500,('Client contacts'!$A$2:$A$500=$A404)*('Client contacts'!$G$2:$G$500="Y"),""),1),""))</f>
        <v/>
      </c>
      <c r="G404" s="5">
        <f>IF($A404="","",IFERROR(INDEX(FILTER('Client contacts'!$C$2:$C$500,('Client contacts'!$A$2:$A$500=$A404)*('Client contacts'!$G$2:$G$500="Y"),""),1),""))</f>
        <v/>
      </c>
      <c r="H404" s="5">
        <f>IF($A404="","",IFERROR(INDEX(FILTER('Client contacts'!$B$2:$B$500,('Client contacts'!$A$2:$A$500=$A404)*('Client contacts'!$G$2:$G$500="Y"),""),2),""))</f>
        <v/>
      </c>
      <c r="I404" s="5">
        <f>IF($A404="","",IFERROR(INDEX(FILTER('Client contacts'!$C$2:$C$500,('Client contacts'!$A$2:$A$500=$A404)*('Client contacts'!$G$2:$G$500="Y"),""),2),""))</f>
        <v/>
      </c>
      <c r="J404" s="8" t="n"/>
      <c r="K404" s="8" t="n"/>
      <c r="L404" s="8" t="n"/>
      <c r="M404" s="8" t="n"/>
      <c r="N404" s="8" t="n"/>
      <c r="O404" s="8" t="n"/>
      <c r="P404" s="8" t="n"/>
      <c r="Q404" s="8" t="n"/>
      <c r="R404" s="5">
        <f>IF($A404="","",IFERROR(INDEX(Companies!$I$2:$I$500,MATCH($A404,Companies!$A$2:$A$500,0)),""))</f>
        <v/>
      </c>
      <c r="S404" s="8" t="n"/>
      <c r="T404" s="8" t="n"/>
      <c r="U404" s="8" t="n"/>
      <c r="V404" s="8" t="n"/>
      <c r="W404" s="8" t="n"/>
    </row>
    <row r="405">
      <c r="C405" s="5">
        <f>IF($B405="","",TRIM(IF(INDEX('MOA role matrix'!$B$2:$D$13,1,MATCH($B405,'MOA role matrix'!$B$1:$D$1,0))="Fill","Project initiator, ","")IF(INDEX('MOA role matrix'!$B$2:$D$13,1,MATCH($B405,'MOA role matrix'!$B$1:$D$1,0))="If finance","Project initiator (if finance), ","")IF(INDEX('MOA role matrix'!$B$2:$D$13,1,MATCH($B405,'MOA role matrix'!$B$1:$D$1,0))="Auto","Project initiator (auto), ","")IF(INDEX('MOA role matrix'!$B$2:$D$13,2,MATCH($B405,'MOA role matrix'!$B$1:$D$1,0))="Fill","MOA signers (client), ","")IF(INDEX('MOA role matrix'!$B$2:$D$13,2,MATCH($B405,'MOA role matrix'!$B$1:$D$1,0))="If finance","MOA signers (client) (if finance), ","")IF(INDEX('MOA role matrix'!$B$2:$D$13,2,MATCH($B405,'MOA role matrix'!$B$1:$D$1,0))="Auto","MOA signers (client) (auto), ","")IF(INDEX('MOA role matrix'!$B$2:$D$13,3,MATCH($B405,'MOA role matrix'!$B$1:$D$1,0))="Fill","CFO / Head of Finance, ","")IF(INDEX('MOA role matrix'!$B$2:$D$13,3,MATCH($B405,'MOA role matrix'!$B$1:$D$1,0))="If finance","CFO / Head of Finance (if finance), ","")IF(INDEX('MOA role matrix'!$B$2:$D$13,3,MATCH($B405,'MOA role matrix'!$B$1:$D$1,0))="Auto","CFO / Head of Finance (auto), ","")IF(INDEX('MOA role matrix'!$B$2:$D$13,4,MATCH($B405,'MOA role matrix'!$B$1:$D$1,0))="Fill","CEO / COO / GM, ","")IF(INDEX('MOA role matrix'!$B$2:$D$13,4,MATCH($B405,'MOA role matrix'!$B$1:$D$1,0))="If finance","CEO / COO / GM (if finance), ","")IF(INDEX('MOA role matrix'!$B$2:$D$13,4,MATCH($B405,'MOA role matrix'!$B$1:$D$1,0))="Auto","CEO / COO / GM (auto), ","")IF(INDEX('MOA role matrix'!$B$2:$D$13,5,MATCH($B405,'MOA role matrix'!$B$1:$D$1,0))="Fill","Board member 1, ","")IF(INDEX('MOA role matrix'!$B$2:$D$13,5,MATCH($B405,'MOA role matrix'!$B$1:$D$1,0))="If finance","Board member 1 (if finance), ","")IF(INDEX('MOA role matrix'!$B$2:$D$13,5,MATCH($B405,'MOA role matrix'!$B$1:$D$1,0))="Auto","Board member 1 (auto), ","")IF(INDEX('MOA role matrix'!$B$2:$D$13,6,MATCH($B405,'MOA role matrix'!$B$1:$D$1,0))="Fill","Board member 2, ","")IF(INDEX('MOA role matrix'!$B$2:$D$13,6,MATCH($B405,'MOA role matrix'!$B$1:$D$1,0))="If finance","Board member 2 (if finance), ","")IF(INDEX('MOA role matrix'!$B$2:$D$13,6,MATCH($B405,'MOA role matrix'!$B$1:$D$1,0))="Auto","Board member 2 (auto), ","")IF(INDEX('MOA role matrix'!$B$2:$D$13,7,MATCH($B405,'MOA role matrix'!$B$1:$D$1,0))="Fill","LOA holder 1, ","")IF(INDEX('MOA role matrix'!$B$2:$D$13,7,MATCH($B405,'MOA role matrix'!$B$1:$D$1,0))="If finance","LOA holder 1 (if finance), ","")IF(INDEX('MOA role matrix'!$B$2:$D$13,7,MATCH($B405,'MOA role matrix'!$B$1:$D$1,0))="Auto","LOA holder 1 (auto), ","")IF(INDEX('MOA role matrix'!$B$2:$D$13,8,MATCH($B405,'MOA role matrix'!$B$1:$D$1,0))="Fill","LOA holder 2, ","")IF(INDEX('MOA role matrix'!$B$2:$D$13,8,MATCH($B405,'MOA role matrix'!$B$1:$D$1,0))="If finance","LOA holder 2 (if finance), ","")IF(INDEX('MOA role matrix'!$B$2:$D$13,8,MATCH($B405,'MOA role matrix'!$B$1:$D$1,0))="Auto","LOA holder 2 (auto), ","")IF(INDEX('MOA role matrix'!$B$2:$D$13,9,MATCH($B405,'MOA role matrix'!$B$1:$D$1,0))="Fill","Senior Manager CoSec, ","")IF(INDEX('MOA role matrix'!$B$2:$D$13,9,MATCH($B405,'MOA role matrix'!$B$1:$D$1,0))="If finance","Senior Manager CoSec (if finance), ","")IF(INDEX('MOA role matrix'!$B$2:$D$13,9,MATCH($B405,'MOA role matrix'!$B$1:$D$1,0))="Auto","Senior Manager CoSec (auto), ","")IF(INDEX('MOA role matrix'!$B$2:$D$13,10,MATCH($B405,'MOA role matrix'!$B$1:$D$1,0))="Fill","Division MOI managers, ","")IF(INDEX('MOA role matrix'!$B$2:$D$13,10,MATCH($B405,'MOA role matrix'!$B$1:$D$1,0))="If finance","Division MOI managers (if finance), ","")IF(INDEX('MOA role matrix'!$B$2:$D$13,10,MATCH($B405,'MOA role matrix'!$B$1:$D$1,0))="Auto","Division MOI managers (auto), ","")IF(INDEX('MOA role matrix'!$B$2:$D$13,11,MATCH($B405,'MOA role matrix'!$B$1:$D$1,0))="Fill","Ms Teh (bank), ","")IF(INDEX('MOA role matrix'!$B$2:$D$13,11,MATCH($B405,'MOA role matrix'!$B$1:$D$1,0))="If finance","Ms Teh (bank) (if finance), ","")IF(INDEX('MOA role matrix'!$B$2:$D$13,11,MATCH($B405,'MOA role matrix'!$B$1:$D$1,0))="Auto","Ms Teh (bank) (auto), ","")IF(INDEX('MOA role matrix'!$B$2:$D$13,12,MATCH($B405,'MOA role matrix'!$B$1:$D$1,0))="Fill","DLCM, ","")IF(INDEX('MOA role matrix'!$B$2:$D$13,12,MATCH($B405,'MOA role matrix'!$B$1:$D$1,0))="If finance","DLCM (if finance), ","")IF(INDEX('MOA role matrix'!$B$2:$D$13,12,MATCH($B405,'MOA role matrix'!$B$1:$D$1,0))="Auto","DLCM (auto), ","")))</f>
        <v/>
      </c>
      <c r="D405" s="5">
        <f>IF($A405="","",IFERROR(INDEX(FILTER('Client contacts'!$B$2:$B$500,('Client contacts'!$A$2:$A$500=$A405)*('Client contacts'!$H$2:$H$500="Y"),""),1),""))</f>
        <v/>
      </c>
      <c r="E405" s="5">
        <f>IF($A405="","",IFERROR(INDEX(FILTER('Client contacts'!$C$2:$C$500,('Client contacts'!$A$2:$A$500=$A405)*('Client contacts'!$H$2:$H$500="Y"),""),1),""))</f>
        <v/>
      </c>
      <c r="F405" s="5">
        <f>IF($A405="","",IFERROR(INDEX(FILTER('Client contacts'!$B$2:$B$500,('Client contacts'!$A$2:$A$500=$A405)*('Client contacts'!$G$2:$G$500="Y"),""),1),""))</f>
        <v/>
      </c>
      <c r="G405" s="5">
        <f>IF($A405="","",IFERROR(INDEX(FILTER('Client contacts'!$C$2:$C$500,('Client contacts'!$A$2:$A$500=$A405)*('Client contacts'!$G$2:$G$500="Y"),""),1),""))</f>
        <v/>
      </c>
      <c r="H405" s="5">
        <f>IF($A405="","",IFERROR(INDEX(FILTER('Client contacts'!$B$2:$B$500,('Client contacts'!$A$2:$A$500=$A405)*('Client contacts'!$G$2:$G$500="Y"),""),2),""))</f>
        <v/>
      </c>
      <c r="I405" s="5">
        <f>IF($A405="","",IFERROR(INDEX(FILTER('Client contacts'!$C$2:$C$500,('Client contacts'!$A$2:$A$500=$A405)*('Client contacts'!$G$2:$G$500="Y"),""),2),""))</f>
        <v/>
      </c>
      <c r="J405" s="8" t="n"/>
      <c r="K405" s="8" t="n"/>
      <c r="L405" s="8" t="n"/>
      <c r="M405" s="8" t="n"/>
      <c r="N405" s="8" t="n"/>
      <c r="O405" s="8" t="n"/>
      <c r="P405" s="8" t="n"/>
      <c r="Q405" s="8" t="n"/>
      <c r="R405" s="5">
        <f>IF($A405="","",IFERROR(INDEX(Companies!$I$2:$I$500,MATCH($A405,Companies!$A$2:$A$500,0)),""))</f>
        <v/>
      </c>
      <c r="S405" s="8" t="n"/>
      <c r="T405" s="8" t="n"/>
      <c r="U405" s="8" t="n"/>
      <c r="V405" s="8" t="n"/>
      <c r="W405" s="8" t="n"/>
    </row>
    <row r="406">
      <c r="C406" s="5">
        <f>IF($B406="","",TRIM(IF(INDEX('MOA role matrix'!$B$2:$D$13,1,MATCH($B406,'MOA role matrix'!$B$1:$D$1,0))="Fill","Project initiator, ","")IF(INDEX('MOA role matrix'!$B$2:$D$13,1,MATCH($B406,'MOA role matrix'!$B$1:$D$1,0))="If finance","Project initiator (if finance), ","")IF(INDEX('MOA role matrix'!$B$2:$D$13,1,MATCH($B406,'MOA role matrix'!$B$1:$D$1,0))="Auto","Project initiator (auto), ","")IF(INDEX('MOA role matrix'!$B$2:$D$13,2,MATCH($B406,'MOA role matrix'!$B$1:$D$1,0))="Fill","MOA signers (client), ","")IF(INDEX('MOA role matrix'!$B$2:$D$13,2,MATCH($B406,'MOA role matrix'!$B$1:$D$1,0))="If finance","MOA signers (client) (if finance), ","")IF(INDEX('MOA role matrix'!$B$2:$D$13,2,MATCH($B406,'MOA role matrix'!$B$1:$D$1,0))="Auto","MOA signers (client) (auto), ","")IF(INDEX('MOA role matrix'!$B$2:$D$13,3,MATCH($B406,'MOA role matrix'!$B$1:$D$1,0))="Fill","CFO / Head of Finance, ","")IF(INDEX('MOA role matrix'!$B$2:$D$13,3,MATCH($B406,'MOA role matrix'!$B$1:$D$1,0))="If finance","CFO / Head of Finance (if finance), ","")IF(INDEX('MOA role matrix'!$B$2:$D$13,3,MATCH($B406,'MOA role matrix'!$B$1:$D$1,0))="Auto","CFO / Head of Finance (auto), ","")IF(INDEX('MOA role matrix'!$B$2:$D$13,4,MATCH($B406,'MOA role matrix'!$B$1:$D$1,0))="Fill","CEO / COO / GM, ","")IF(INDEX('MOA role matrix'!$B$2:$D$13,4,MATCH($B406,'MOA role matrix'!$B$1:$D$1,0))="If finance","CEO / COO / GM (if finance), ","")IF(INDEX('MOA role matrix'!$B$2:$D$13,4,MATCH($B406,'MOA role matrix'!$B$1:$D$1,0))="Auto","CEO / COO / GM (auto), ","")IF(INDEX('MOA role matrix'!$B$2:$D$13,5,MATCH($B406,'MOA role matrix'!$B$1:$D$1,0))="Fill","Board member 1, ","")IF(INDEX('MOA role matrix'!$B$2:$D$13,5,MATCH($B406,'MOA role matrix'!$B$1:$D$1,0))="If finance","Board member 1 (if finance), ","")IF(INDEX('MOA role matrix'!$B$2:$D$13,5,MATCH($B406,'MOA role matrix'!$B$1:$D$1,0))="Auto","Board member 1 (auto), ","")IF(INDEX('MOA role matrix'!$B$2:$D$13,6,MATCH($B406,'MOA role matrix'!$B$1:$D$1,0))="Fill","Board member 2, ","")IF(INDEX('MOA role matrix'!$B$2:$D$13,6,MATCH($B406,'MOA role matrix'!$B$1:$D$1,0))="If finance","Board member 2 (if finance), ","")IF(INDEX('MOA role matrix'!$B$2:$D$13,6,MATCH($B406,'MOA role matrix'!$B$1:$D$1,0))="Auto","Board member 2 (auto), ","")IF(INDEX('MOA role matrix'!$B$2:$D$13,7,MATCH($B406,'MOA role matrix'!$B$1:$D$1,0))="Fill","LOA holder 1, ","")IF(INDEX('MOA role matrix'!$B$2:$D$13,7,MATCH($B406,'MOA role matrix'!$B$1:$D$1,0))="If finance","LOA holder 1 (if finance), ","")IF(INDEX('MOA role matrix'!$B$2:$D$13,7,MATCH($B406,'MOA role matrix'!$B$1:$D$1,0))="Auto","LOA holder 1 (auto), ","")IF(INDEX('MOA role matrix'!$B$2:$D$13,8,MATCH($B406,'MOA role matrix'!$B$1:$D$1,0))="Fill","LOA holder 2, ","")IF(INDEX('MOA role matrix'!$B$2:$D$13,8,MATCH($B406,'MOA role matrix'!$B$1:$D$1,0))="If finance","LOA holder 2 (if finance), ","")IF(INDEX('MOA role matrix'!$B$2:$D$13,8,MATCH($B406,'MOA role matrix'!$B$1:$D$1,0))="Auto","LOA holder 2 (auto), ","")IF(INDEX('MOA role matrix'!$B$2:$D$13,9,MATCH($B406,'MOA role matrix'!$B$1:$D$1,0))="Fill","Senior Manager CoSec, ","")IF(INDEX('MOA role matrix'!$B$2:$D$13,9,MATCH($B406,'MOA role matrix'!$B$1:$D$1,0))="If finance","Senior Manager CoSec (if finance), ","")IF(INDEX('MOA role matrix'!$B$2:$D$13,9,MATCH($B406,'MOA role matrix'!$B$1:$D$1,0))="Auto","Senior Manager CoSec (auto), ","")IF(INDEX('MOA role matrix'!$B$2:$D$13,10,MATCH($B406,'MOA role matrix'!$B$1:$D$1,0))="Fill","Division MOI managers, ","")IF(INDEX('MOA role matrix'!$B$2:$D$13,10,MATCH($B406,'MOA role matrix'!$B$1:$D$1,0))="If finance","Division MOI managers (if finance), ","")IF(INDEX('MOA role matrix'!$B$2:$D$13,10,MATCH($B406,'MOA role matrix'!$B$1:$D$1,0))="Auto","Division MOI managers (auto), ","")IF(INDEX('MOA role matrix'!$B$2:$D$13,11,MATCH($B406,'MOA role matrix'!$B$1:$D$1,0))="Fill","Ms Teh (bank), ","")IF(INDEX('MOA role matrix'!$B$2:$D$13,11,MATCH($B406,'MOA role matrix'!$B$1:$D$1,0))="If finance","Ms Teh (bank) (if finance), ","")IF(INDEX('MOA role matrix'!$B$2:$D$13,11,MATCH($B406,'MOA role matrix'!$B$1:$D$1,0))="Auto","Ms Teh (bank) (auto), ","")IF(INDEX('MOA role matrix'!$B$2:$D$13,12,MATCH($B406,'MOA role matrix'!$B$1:$D$1,0))="Fill","DLCM, ","")IF(INDEX('MOA role matrix'!$B$2:$D$13,12,MATCH($B406,'MOA role matrix'!$B$1:$D$1,0))="If finance","DLCM (if finance), ","")IF(INDEX('MOA role matrix'!$B$2:$D$13,12,MATCH($B406,'MOA role matrix'!$B$1:$D$1,0))="Auto","DLCM (auto), ","")))</f>
        <v/>
      </c>
      <c r="D406" s="5">
        <f>IF($A406="","",IFERROR(INDEX(FILTER('Client contacts'!$B$2:$B$500,('Client contacts'!$A$2:$A$500=$A406)*('Client contacts'!$H$2:$H$500="Y"),""),1),""))</f>
        <v/>
      </c>
      <c r="E406" s="5">
        <f>IF($A406="","",IFERROR(INDEX(FILTER('Client contacts'!$C$2:$C$500,('Client contacts'!$A$2:$A$500=$A406)*('Client contacts'!$H$2:$H$500="Y"),""),1),""))</f>
        <v/>
      </c>
      <c r="F406" s="5">
        <f>IF($A406="","",IFERROR(INDEX(FILTER('Client contacts'!$B$2:$B$500,('Client contacts'!$A$2:$A$500=$A406)*('Client contacts'!$G$2:$G$500="Y"),""),1),""))</f>
        <v/>
      </c>
      <c r="G406" s="5">
        <f>IF($A406="","",IFERROR(INDEX(FILTER('Client contacts'!$C$2:$C$500,('Client contacts'!$A$2:$A$500=$A406)*('Client contacts'!$G$2:$G$500="Y"),""),1),""))</f>
        <v/>
      </c>
      <c r="H406" s="5">
        <f>IF($A406="","",IFERROR(INDEX(FILTER('Client contacts'!$B$2:$B$500,('Client contacts'!$A$2:$A$500=$A406)*('Client contacts'!$G$2:$G$500="Y"),""),2),""))</f>
        <v/>
      </c>
      <c r="I406" s="5">
        <f>IF($A406="","",IFERROR(INDEX(FILTER('Client contacts'!$C$2:$C$500,('Client contacts'!$A$2:$A$500=$A406)*('Client contacts'!$G$2:$G$500="Y"),""),2),""))</f>
        <v/>
      </c>
      <c r="J406" s="8" t="n"/>
      <c r="K406" s="8" t="n"/>
      <c r="L406" s="8" t="n"/>
      <c r="M406" s="8" t="n"/>
      <c r="N406" s="8" t="n"/>
      <c r="O406" s="8" t="n"/>
      <c r="P406" s="8" t="n"/>
      <c r="Q406" s="8" t="n"/>
      <c r="R406" s="5">
        <f>IF($A406="","",IFERROR(INDEX(Companies!$I$2:$I$500,MATCH($A406,Companies!$A$2:$A$500,0)),""))</f>
        <v/>
      </c>
      <c r="S406" s="8" t="n"/>
      <c r="T406" s="8" t="n"/>
      <c r="U406" s="8" t="n"/>
      <c r="V406" s="8" t="n"/>
      <c r="W406" s="8" t="n"/>
    </row>
    <row r="407">
      <c r="C407" s="5">
        <f>IF($B407="","",TRIM(IF(INDEX('MOA role matrix'!$B$2:$D$13,1,MATCH($B407,'MOA role matrix'!$B$1:$D$1,0))="Fill","Project initiator, ","")IF(INDEX('MOA role matrix'!$B$2:$D$13,1,MATCH($B407,'MOA role matrix'!$B$1:$D$1,0))="If finance","Project initiator (if finance), ","")IF(INDEX('MOA role matrix'!$B$2:$D$13,1,MATCH($B407,'MOA role matrix'!$B$1:$D$1,0))="Auto","Project initiator (auto), ","")IF(INDEX('MOA role matrix'!$B$2:$D$13,2,MATCH($B407,'MOA role matrix'!$B$1:$D$1,0))="Fill","MOA signers (client), ","")IF(INDEX('MOA role matrix'!$B$2:$D$13,2,MATCH($B407,'MOA role matrix'!$B$1:$D$1,0))="If finance","MOA signers (client) (if finance), ","")IF(INDEX('MOA role matrix'!$B$2:$D$13,2,MATCH($B407,'MOA role matrix'!$B$1:$D$1,0))="Auto","MOA signers (client) (auto), ","")IF(INDEX('MOA role matrix'!$B$2:$D$13,3,MATCH($B407,'MOA role matrix'!$B$1:$D$1,0))="Fill","CFO / Head of Finance, ","")IF(INDEX('MOA role matrix'!$B$2:$D$13,3,MATCH($B407,'MOA role matrix'!$B$1:$D$1,0))="If finance","CFO / Head of Finance (if finance), ","")IF(INDEX('MOA role matrix'!$B$2:$D$13,3,MATCH($B407,'MOA role matrix'!$B$1:$D$1,0))="Auto","CFO / Head of Finance (auto), ","")IF(INDEX('MOA role matrix'!$B$2:$D$13,4,MATCH($B407,'MOA role matrix'!$B$1:$D$1,0))="Fill","CEO / COO / GM, ","")IF(INDEX('MOA role matrix'!$B$2:$D$13,4,MATCH($B407,'MOA role matrix'!$B$1:$D$1,0))="If finance","CEO / COO / GM (if finance), ","")IF(INDEX('MOA role matrix'!$B$2:$D$13,4,MATCH($B407,'MOA role matrix'!$B$1:$D$1,0))="Auto","CEO / COO / GM (auto), ","")IF(INDEX('MOA role matrix'!$B$2:$D$13,5,MATCH($B407,'MOA role matrix'!$B$1:$D$1,0))="Fill","Board member 1, ","")IF(INDEX('MOA role matrix'!$B$2:$D$13,5,MATCH($B407,'MOA role matrix'!$B$1:$D$1,0))="If finance","Board member 1 (if finance), ","")IF(INDEX('MOA role matrix'!$B$2:$D$13,5,MATCH($B407,'MOA role matrix'!$B$1:$D$1,0))="Auto","Board member 1 (auto), ","")IF(INDEX('MOA role matrix'!$B$2:$D$13,6,MATCH($B407,'MOA role matrix'!$B$1:$D$1,0))="Fill","Board member 2, ","")IF(INDEX('MOA role matrix'!$B$2:$D$13,6,MATCH($B407,'MOA role matrix'!$B$1:$D$1,0))="If finance","Board member 2 (if finance), ","")IF(INDEX('MOA role matrix'!$B$2:$D$13,6,MATCH($B407,'MOA role matrix'!$B$1:$D$1,0))="Auto","Board member 2 (auto), ","")IF(INDEX('MOA role matrix'!$B$2:$D$13,7,MATCH($B407,'MOA role matrix'!$B$1:$D$1,0))="Fill","LOA holder 1, ","")IF(INDEX('MOA role matrix'!$B$2:$D$13,7,MATCH($B407,'MOA role matrix'!$B$1:$D$1,0))="If finance","LOA holder 1 (if finance), ","")IF(INDEX('MOA role matrix'!$B$2:$D$13,7,MATCH($B407,'MOA role matrix'!$B$1:$D$1,0))="Auto","LOA holder 1 (auto), ","")IF(INDEX('MOA role matrix'!$B$2:$D$13,8,MATCH($B407,'MOA role matrix'!$B$1:$D$1,0))="Fill","LOA holder 2, ","")IF(INDEX('MOA role matrix'!$B$2:$D$13,8,MATCH($B407,'MOA role matrix'!$B$1:$D$1,0))="If finance","LOA holder 2 (if finance), ","")IF(INDEX('MOA role matrix'!$B$2:$D$13,8,MATCH($B407,'MOA role matrix'!$B$1:$D$1,0))="Auto","LOA holder 2 (auto), ","")IF(INDEX('MOA role matrix'!$B$2:$D$13,9,MATCH($B407,'MOA role matrix'!$B$1:$D$1,0))="Fill","Senior Manager CoSec, ","")IF(INDEX('MOA role matrix'!$B$2:$D$13,9,MATCH($B407,'MOA role matrix'!$B$1:$D$1,0))="If finance","Senior Manager CoSec (if finance), ","")IF(INDEX('MOA role matrix'!$B$2:$D$13,9,MATCH($B407,'MOA role matrix'!$B$1:$D$1,0))="Auto","Senior Manager CoSec (auto), ","")IF(INDEX('MOA role matrix'!$B$2:$D$13,10,MATCH($B407,'MOA role matrix'!$B$1:$D$1,0))="Fill","Division MOI managers, ","")IF(INDEX('MOA role matrix'!$B$2:$D$13,10,MATCH($B407,'MOA role matrix'!$B$1:$D$1,0))="If finance","Division MOI managers (if finance), ","")IF(INDEX('MOA role matrix'!$B$2:$D$13,10,MATCH($B407,'MOA role matrix'!$B$1:$D$1,0))="Auto","Division MOI managers (auto), ","")IF(INDEX('MOA role matrix'!$B$2:$D$13,11,MATCH($B407,'MOA role matrix'!$B$1:$D$1,0))="Fill","Ms Teh (bank), ","")IF(INDEX('MOA role matrix'!$B$2:$D$13,11,MATCH($B407,'MOA role matrix'!$B$1:$D$1,0))="If finance","Ms Teh (bank) (if finance), ","")IF(INDEX('MOA role matrix'!$B$2:$D$13,11,MATCH($B407,'MOA role matrix'!$B$1:$D$1,0))="Auto","Ms Teh (bank) (auto), ","")IF(INDEX('MOA role matrix'!$B$2:$D$13,12,MATCH($B407,'MOA role matrix'!$B$1:$D$1,0))="Fill","DLCM, ","")IF(INDEX('MOA role matrix'!$B$2:$D$13,12,MATCH($B407,'MOA role matrix'!$B$1:$D$1,0))="If finance","DLCM (if finance), ","")IF(INDEX('MOA role matrix'!$B$2:$D$13,12,MATCH($B407,'MOA role matrix'!$B$1:$D$1,0))="Auto","DLCM (auto), ","")))</f>
        <v/>
      </c>
      <c r="D407" s="5">
        <f>IF($A407="","",IFERROR(INDEX(FILTER('Client contacts'!$B$2:$B$500,('Client contacts'!$A$2:$A$500=$A407)*('Client contacts'!$H$2:$H$500="Y"),""),1),""))</f>
        <v/>
      </c>
      <c r="E407" s="5">
        <f>IF($A407="","",IFERROR(INDEX(FILTER('Client contacts'!$C$2:$C$500,('Client contacts'!$A$2:$A$500=$A407)*('Client contacts'!$H$2:$H$500="Y"),""),1),""))</f>
        <v/>
      </c>
      <c r="F407" s="5">
        <f>IF($A407="","",IFERROR(INDEX(FILTER('Client contacts'!$B$2:$B$500,('Client contacts'!$A$2:$A$500=$A407)*('Client contacts'!$G$2:$G$500="Y"),""),1),""))</f>
        <v/>
      </c>
      <c r="G407" s="5">
        <f>IF($A407="","",IFERROR(INDEX(FILTER('Client contacts'!$C$2:$C$500,('Client contacts'!$A$2:$A$500=$A407)*('Client contacts'!$G$2:$G$500="Y"),""),1),""))</f>
        <v/>
      </c>
      <c r="H407" s="5">
        <f>IF($A407="","",IFERROR(INDEX(FILTER('Client contacts'!$B$2:$B$500,('Client contacts'!$A$2:$A$500=$A407)*('Client contacts'!$G$2:$G$500="Y"),""),2),""))</f>
        <v/>
      </c>
      <c r="I407" s="5">
        <f>IF($A407="","",IFERROR(INDEX(FILTER('Client contacts'!$C$2:$C$500,('Client contacts'!$A$2:$A$500=$A407)*('Client contacts'!$G$2:$G$500="Y"),""),2),""))</f>
        <v/>
      </c>
      <c r="J407" s="8" t="n"/>
      <c r="K407" s="8" t="n"/>
      <c r="L407" s="8" t="n"/>
      <c r="M407" s="8" t="n"/>
      <c r="N407" s="8" t="n"/>
      <c r="O407" s="8" t="n"/>
      <c r="P407" s="8" t="n"/>
      <c r="Q407" s="8" t="n"/>
      <c r="R407" s="5">
        <f>IF($A407="","",IFERROR(INDEX(Companies!$I$2:$I$500,MATCH($A407,Companies!$A$2:$A$500,0)),""))</f>
        <v/>
      </c>
      <c r="S407" s="8" t="n"/>
      <c r="T407" s="8" t="n"/>
      <c r="U407" s="8" t="n"/>
      <c r="V407" s="8" t="n"/>
      <c r="W407" s="8" t="n"/>
    </row>
    <row r="408">
      <c r="C408" s="5">
        <f>IF($B408="","",TRIM(IF(INDEX('MOA role matrix'!$B$2:$D$13,1,MATCH($B408,'MOA role matrix'!$B$1:$D$1,0))="Fill","Project initiator, ","")IF(INDEX('MOA role matrix'!$B$2:$D$13,1,MATCH($B408,'MOA role matrix'!$B$1:$D$1,0))="If finance","Project initiator (if finance), ","")IF(INDEX('MOA role matrix'!$B$2:$D$13,1,MATCH($B408,'MOA role matrix'!$B$1:$D$1,0))="Auto","Project initiator (auto), ","")IF(INDEX('MOA role matrix'!$B$2:$D$13,2,MATCH($B408,'MOA role matrix'!$B$1:$D$1,0))="Fill","MOA signers (client), ","")IF(INDEX('MOA role matrix'!$B$2:$D$13,2,MATCH($B408,'MOA role matrix'!$B$1:$D$1,0))="If finance","MOA signers (client) (if finance), ","")IF(INDEX('MOA role matrix'!$B$2:$D$13,2,MATCH($B408,'MOA role matrix'!$B$1:$D$1,0))="Auto","MOA signers (client) (auto), ","")IF(INDEX('MOA role matrix'!$B$2:$D$13,3,MATCH($B408,'MOA role matrix'!$B$1:$D$1,0))="Fill","CFO / Head of Finance, ","")IF(INDEX('MOA role matrix'!$B$2:$D$13,3,MATCH($B408,'MOA role matrix'!$B$1:$D$1,0))="If finance","CFO / Head of Finance (if finance), ","")IF(INDEX('MOA role matrix'!$B$2:$D$13,3,MATCH($B408,'MOA role matrix'!$B$1:$D$1,0))="Auto","CFO / Head of Finance (auto), ","")IF(INDEX('MOA role matrix'!$B$2:$D$13,4,MATCH($B408,'MOA role matrix'!$B$1:$D$1,0))="Fill","CEO / COO / GM, ","")IF(INDEX('MOA role matrix'!$B$2:$D$13,4,MATCH($B408,'MOA role matrix'!$B$1:$D$1,0))="If finance","CEO / COO / GM (if finance), ","")IF(INDEX('MOA role matrix'!$B$2:$D$13,4,MATCH($B408,'MOA role matrix'!$B$1:$D$1,0))="Auto","CEO / COO / GM (auto), ","")IF(INDEX('MOA role matrix'!$B$2:$D$13,5,MATCH($B408,'MOA role matrix'!$B$1:$D$1,0))="Fill","Board member 1, ","")IF(INDEX('MOA role matrix'!$B$2:$D$13,5,MATCH($B408,'MOA role matrix'!$B$1:$D$1,0))="If finance","Board member 1 (if finance), ","")IF(INDEX('MOA role matrix'!$B$2:$D$13,5,MATCH($B408,'MOA role matrix'!$B$1:$D$1,0))="Auto","Board member 1 (auto), ","")IF(INDEX('MOA role matrix'!$B$2:$D$13,6,MATCH($B408,'MOA role matrix'!$B$1:$D$1,0))="Fill","Board member 2, ","")IF(INDEX('MOA role matrix'!$B$2:$D$13,6,MATCH($B408,'MOA role matrix'!$B$1:$D$1,0))="If finance","Board member 2 (if finance), ","")IF(INDEX('MOA role matrix'!$B$2:$D$13,6,MATCH($B408,'MOA role matrix'!$B$1:$D$1,0))="Auto","Board member 2 (auto), ","")IF(INDEX('MOA role matrix'!$B$2:$D$13,7,MATCH($B408,'MOA role matrix'!$B$1:$D$1,0))="Fill","LOA holder 1, ","")IF(INDEX('MOA role matrix'!$B$2:$D$13,7,MATCH($B408,'MOA role matrix'!$B$1:$D$1,0))="If finance","LOA holder 1 (if finance), ","")IF(INDEX('MOA role matrix'!$B$2:$D$13,7,MATCH($B408,'MOA role matrix'!$B$1:$D$1,0))="Auto","LOA holder 1 (auto), ","")IF(INDEX('MOA role matrix'!$B$2:$D$13,8,MATCH($B408,'MOA role matrix'!$B$1:$D$1,0))="Fill","LOA holder 2, ","")IF(INDEX('MOA role matrix'!$B$2:$D$13,8,MATCH($B408,'MOA role matrix'!$B$1:$D$1,0))="If finance","LOA holder 2 (if finance), ","")IF(INDEX('MOA role matrix'!$B$2:$D$13,8,MATCH($B408,'MOA role matrix'!$B$1:$D$1,0))="Auto","LOA holder 2 (auto), ","")IF(INDEX('MOA role matrix'!$B$2:$D$13,9,MATCH($B408,'MOA role matrix'!$B$1:$D$1,0))="Fill","Senior Manager CoSec, ","")IF(INDEX('MOA role matrix'!$B$2:$D$13,9,MATCH($B408,'MOA role matrix'!$B$1:$D$1,0))="If finance","Senior Manager CoSec (if finance), ","")IF(INDEX('MOA role matrix'!$B$2:$D$13,9,MATCH($B408,'MOA role matrix'!$B$1:$D$1,0))="Auto","Senior Manager CoSec (auto), ","")IF(INDEX('MOA role matrix'!$B$2:$D$13,10,MATCH($B408,'MOA role matrix'!$B$1:$D$1,0))="Fill","Division MOI managers, ","")IF(INDEX('MOA role matrix'!$B$2:$D$13,10,MATCH($B408,'MOA role matrix'!$B$1:$D$1,0))="If finance","Division MOI managers (if finance), ","")IF(INDEX('MOA role matrix'!$B$2:$D$13,10,MATCH($B408,'MOA role matrix'!$B$1:$D$1,0))="Auto","Division MOI managers (auto), ","")IF(INDEX('MOA role matrix'!$B$2:$D$13,11,MATCH($B408,'MOA role matrix'!$B$1:$D$1,0))="Fill","Ms Teh (bank), ","")IF(INDEX('MOA role matrix'!$B$2:$D$13,11,MATCH($B408,'MOA role matrix'!$B$1:$D$1,0))="If finance","Ms Teh (bank) (if finance), ","")IF(INDEX('MOA role matrix'!$B$2:$D$13,11,MATCH($B408,'MOA role matrix'!$B$1:$D$1,0))="Auto","Ms Teh (bank) (auto), ","")IF(INDEX('MOA role matrix'!$B$2:$D$13,12,MATCH($B408,'MOA role matrix'!$B$1:$D$1,0))="Fill","DLCM, ","")IF(INDEX('MOA role matrix'!$B$2:$D$13,12,MATCH($B408,'MOA role matrix'!$B$1:$D$1,0))="If finance","DLCM (if finance), ","")IF(INDEX('MOA role matrix'!$B$2:$D$13,12,MATCH($B408,'MOA role matrix'!$B$1:$D$1,0))="Auto","DLCM (auto), ","")))</f>
        <v/>
      </c>
      <c r="D408" s="5">
        <f>IF($A408="","",IFERROR(INDEX(FILTER('Client contacts'!$B$2:$B$500,('Client contacts'!$A$2:$A$500=$A408)*('Client contacts'!$H$2:$H$500="Y"),""),1),""))</f>
        <v/>
      </c>
      <c r="E408" s="5">
        <f>IF($A408="","",IFERROR(INDEX(FILTER('Client contacts'!$C$2:$C$500,('Client contacts'!$A$2:$A$500=$A408)*('Client contacts'!$H$2:$H$500="Y"),""),1),""))</f>
        <v/>
      </c>
      <c r="F408" s="5">
        <f>IF($A408="","",IFERROR(INDEX(FILTER('Client contacts'!$B$2:$B$500,('Client contacts'!$A$2:$A$500=$A408)*('Client contacts'!$G$2:$G$500="Y"),""),1),""))</f>
        <v/>
      </c>
      <c r="G408" s="5">
        <f>IF($A408="","",IFERROR(INDEX(FILTER('Client contacts'!$C$2:$C$500,('Client contacts'!$A$2:$A$500=$A408)*('Client contacts'!$G$2:$G$500="Y"),""),1),""))</f>
        <v/>
      </c>
      <c r="H408" s="5">
        <f>IF($A408="","",IFERROR(INDEX(FILTER('Client contacts'!$B$2:$B$500,('Client contacts'!$A$2:$A$500=$A408)*('Client contacts'!$G$2:$G$500="Y"),""),2),""))</f>
        <v/>
      </c>
      <c r="I408" s="5">
        <f>IF($A408="","",IFERROR(INDEX(FILTER('Client contacts'!$C$2:$C$500,('Client contacts'!$A$2:$A$500=$A408)*('Client contacts'!$G$2:$G$500="Y"),""),2),""))</f>
        <v/>
      </c>
      <c r="J408" s="8" t="n"/>
      <c r="K408" s="8" t="n"/>
      <c r="L408" s="8" t="n"/>
      <c r="M408" s="8" t="n"/>
      <c r="N408" s="8" t="n"/>
      <c r="O408" s="8" t="n"/>
      <c r="P408" s="8" t="n"/>
      <c r="Q408" s="8" t="n"/>
      <c r="R408" s="5">
        <f>IF($A408="","",IFERROR(INDEX(Companies!$I$2:$I$500,MATCH($A408,Companies!$A$2:$A$500,0)),""))</f>
        <v/>
      </c>
      <c r="S408" s="8" t="n"/>
      <c r="T408" s="8" t="n"/>
      <c r="U408" s="8" t="n"/>
      <c r="V408" s="8" t="n"/>
      <c r="W408" s="8" t="n"/>
    </row>
    <row r="409">
      <c r="C409" s="5">
        <f>IF($B409="","",TRIM(IF(INDEX('MOA role matrix'!$B$2:$D$13,1,MATCH($B409,'MOA role matrix'!$B$1:$D$1,0))="Fill","Project initiator, ","")IF(INDEX('MOA role matrix'!$B$2:$D$13,1,MATCH($B409,'MOA role matrix'!$B$1:$D$1,0))="If finance","Project initiator (if finance), ","")IF(INDEX('MOA role matrix'!$B$2:$D$13,1,MATCH($B409,'MOA role matrix'!$B$1:$D$1,0))="Auto","Project initiator (auto), ","")IF(INDEX('MOA role matrix'!$B$2:$D$13,2,MATCH($B409,'MOA role matrix'!$B$1:$D$1,0))="Fill","MOA signers (client), ","")IF(INDEX('MOA role matrix'!$B$2:$D$13,2,MATCH($B409,'MOA role matrix'!$B$1:$D$1,0))="If finance","MOA signers (client) (if finance), ","")IF(INDEX('MOA role matrix'!$B$2:$D$13,2,MATCH($B409,'MOA role matrix'!$B$1:$D$1,0))="Auto","MOA signers (client) (auto), ","")IF(INDEX('MOA role matrix'!$B$2:$D$13,3,MATCH($B409,'MOA role matrix'!$B$1:$D$1,0))="Fill","CFO / Head of Finance, ","")IF(INDEX('MOA role matrix'!$B$2:$D$13,3,MATCH($B409,'MOA role matrix'!$B$1:$D$1,0))="If finance","CFO / Head of Finance (if finance), ","")IF(INDEX('MOA role matrix'!$B$2:$D$13,3,MATCH($B409,'MOA role matrix'!$B$1:$D$1,0))="Auto","CFO / Head of Finance (auto), ","")IF(INDEX('MOA role matrix'!$B$2:$D$13,4,MATCH($B409,'MOA role matrix'!$B$1:$D$1,0))="Fill","CEO / COO / GM, ","")IF(INDEX('MOA role matrix'!$B$2:$D$13,4,MATCH($B409,'MOA role matrix'!$B$1:$D$1,0))="If finance","CEO / COO / GM (if finance), ","")IF(INDEX('MOA role matrix'!$B$2:$D$13,4,MATCH($B409,'MOA role matrix'!$B$1:$D$1,0))="Auto","CEO / COO / GM (auto), ","")IF(INDEX('MOA role matrix'!$B$2:$D$13,5,MATCH($B409,'MOA role matrix'!$B$1:$D$1,0))="Fill","Board member 1, ","")IF(INDEX('MOA role matrix'!$B$2:$D$13,5,MATCH($B409,'MOA role matrix'!$B$1:$D$1,0))="If finance","Board member 1 (if finance), ","")IF(INDEX('MOA role matrix'!$B$2:$D$13,5,MATCH($B409,'MOA role matrix'!$B$1:$D$1,0))="Auto","Board member 1 (auto), ","")IF(INDEX('MOA role matrix'!$B$2:$D$13,6,MATCH($B409,'MOA role matrix'!$B$1:$D$1,0))="Fill","Board member 2, ","")IF(INDEX('MOA role matrix'!$B$2:$D$13,6,MATCH($B409,'MOA role matrix'!$B$1:$D$1,0))="If finance","Board member 2 (if finance), ","")IF(INDEX('MOA role matrix'!$B$2:$D$13,6,MATCH($B409,'MOA role matrix'!$B$1:$D$1,0))="Auto","Board member 2 (auto), ","")IF(INDEX('MOA role matrix'!$B$2:$D$13,7,MATCH($B409,'MOA role matrix'!$B$1:$D$1,0))="Fill","LOA holder 1, ","")IF(INDEX('MOA role matrix'!$B$2:$D$13,7,MATCH($B409,'MOA role matrix'!$B$1:$D$1,0))="If finance","LOA holder 1 (if finance), ","")IF(INDEX('MOA role matrix'!$B$2:$D$13,7,MATCH($B409,'MOA role matrix'!$B$1:$D$1,0))="Auto","LOA holder 1 (auto), ","")IF(INDEX('MOA role matrix'!$B$2:$D$13,8,MATCH($B409,'MOA role matrix'!$B$1:$D$1,0))="Fill","LOA holder 2, ","")IF(INDEX('MOA role matrix'!$B$2:$D$13,8,MATCH($B409,'MOA role matrix'!$B$1:$D$1,0))="If finance","LOA holder 2 (if finance), ","")IF(INDEX('MOA role matrix'!$B$2:$D$13,8,MATCH($B409,'MOA role matrix'!$B$1:$D$1,0))="Auto","LOA holder 2 (auto), ","")IF(INDEX('MOA role matrix'!$B$2:$D$13,9,MATCH($B409,'MOA role matrix'!$B$1:$D$1,0))="Fill","Senior Manager CoSec, ","")IF(INDEX('MOA role matrix'!$B$2:$D$13,9,MATCH($B409,'MOA role matrix'!$B$1:$D$1,0))="If finance","Senior Manager CoSec (if finance), ","")IF(INDEX('MOA role matrix'!$B$2:$D$13,9,MATCH($B409,'MOA role matrix'!$B$1:$D$1,0))="Auto","Senior Manager CoSec (auto), ","")IF(INDEX('MOA role matrix'!$B$2:$D$13,10,MATCH($B409,'MOA role matrix'!$B$1:$D$1,0))="Fill","Division MOI managers, ","")IF(INDEX('MOA role matrix'!$B$2:$D$13,10,MATCH($B409,'MOA role matrix'!$B$1:$D$1,0))="If finance","Division MOI managers (if finance), ","")IF(INDEX('MOA role matrix'!$B$2:$D$13,10,MATCH($B409,'MOA role matrix'!$B$1:$D$1,0))="Auto","Division MOI managers (auto), ","")IF(INDEX('MOA role matrix'!$B$2:$D$13,11,MATCH($B409,'MOA role matrix'!$B$1:$D$1,0))="Fill","Ms Teh (bank), ","")IF(INDEX('MOA role matrix'!$B$2:$D$13,11,MATCH($B409,'MOA role matrix'!$B$1:$D$1,0))="If finance","Ms Teh (bank) (if finance), ","")IF(INDEX('MOA role matrix'!$B$2:$D$13,11,MATCH($B409,'MOA role matrix'!$B$1:$D$1,0))="Auto","Ms Teh (bank) (auto), ","")IF(INDEX('MOA role matrix'!$B$2:$D$13,12,MATCH($B409,'MOA role matrix'!$B$1:$D$1,0))="Fill","DLCM, ","")IF(INDEX('MOA role matrix'!$B$2:$D$13,12,MATCH($B409,'MOA role matrix'!$B$1:$D$1,0))="If finance","DLCM (if finance), ","")IF(INDEX('MOA role matrix'!$B$2:$D$13,12,MATCH($B409,'MOA role matrix'!$B$1:$D$1,0))="Auto","DLCM (auto), ","")))</f>
        <v/>
      </c>
      <c r="D409" s="5">
        <f>IF($A409="","",IFERROR(INDEX(FILTER('Client contacts'!$B$2:$B$500,('Client contacts'!$A$2:$A$500=$A409)*('Client contacts'!$H$2:$H$500="Y"),""),1),""))</f>
        <v/>
      </c>
      <c r="E409" s="5">
        <f>IF($A409="","",IFERROR(INDEX(FILTER('Client contacts'!$C$2:$C$500,('Client contacts'!$A$2:$A$500=$A409)*('Client contacts'!$H$2:$H$500="Y"),""),1),""))</f>
        <v/>
      </c>
      <c r="F409" s="5">
        <f>IF($A409="","",IFERROR(INDEX(FILTER('Client contacts'!$B$2:$B$500,('Client contacts'!$A$2:$A$500=$A409)*('Client contacts'!$G$2:$G$500="Y"),""),1),""))</f>
        <v/>
      </c>
      <c r="G409" s="5">
        <f>IF($A409="","",IFERROR(INDEX(FILTER('Client contacts'!$C$2:$C$500,('Client contacts'!$A$2:$A$500=$A409)*('Client contacts'!$G$2:$G$500="Y"),""),1),""))</f>
        <v/>
      </c>
      <c r="H409" s="5">
        <f>IF($A409="","",IFERROR(INDEX(FILTER('Client contacts'!$B$2:$B$500,('Client contacts'!$A$2:$A$500=$A409)*('Client contacts'!$G$2:$G$500="Y"),""),2),""))</f>
        <v/>
      </c>
      <c r="I409" s="5">
        <f>IF($A409="","",IFERROR(INDEX(FILTER('Client contacts'!$C$2:$C$500,('Client contacts'!$A$2:$A$500=$A409)*('Client contacts'!$G$2:$G$500="Y"),""),2),""))</f>
        <v/>
      </c>
      <c r="J409" s="8" t="n"/>
      <c r="K409" s="8" t="n"/>
      <c r="L409" s="8" t="n"/>
      <c r="M409" s="8" t="n"/>
      <c r="N409" s="8" t="n"/>
      <c r="O409" s="8" t="n"/>
      <c r="P409" s="8" t="n"/>
      <c r="Q409" s="8" t="n"/>
      <c r="R409" s="5">
        <f>IF($A409="","",IFERROR(INDEX(Companies!$I$2:$I$500,MATCH($A409,Companies!$A$2:$A$500,0)),""))</f>
        <v/>
      </c>
      <c r="S409" s="8" t="n"/>
      <c r="T409" s="8" t="n"/>
      <c r="U409" s="8" t="n"/>
      <c r="V409" s="8" t="n"/>
      <c r="W409" s="8" t="n"/>
    </row>
    <row r="410">
      <c r="C410" s="5">
        <f>IF($B410="","",TRIM(IF(INDEX('MOA role matrix'!$B$2:$D$13,1,MATCH($B410,'MOA role matrix'!$B$1:$D$1,0))="Fill","Project initiator, ","")IF(INDEX('MOA role matrix'!$B$2:$D$13,1,MATCH($B410,'MOA role matrix'!$B$1:$D$1,0))="If finance","Project initiator (if finance), ","")IF(INDEX('MOA role matrix'!$B$2:$D$13,1,MATCH($B410,'MOA role matrix'!$B$1:$D$1,0))="Auto","Project initiator (auto), ","")IF(INDEX('MOA role matrix'!$B$2:$D$13,2,MATCH($B410,'MOA role matrix'!$B$1:$D$1,0))="Fill","MOA signers (client), ","")IF(INDEX('MOA role matrix'!$B$2:$D$13,2,MATCH($B410,'MOA role matrix'!$B$1:$D$1,0))="If finance","MOA signers (client) (if finance), ","")IF(INDEX('MOA role matrix'!$B$2:$D$13,2,MATCH($B410,'MOA role matrix'!$B$1:$D$1,0))="Auto","MOA signers (client) (auto), ","")IF(INDEX('MOA role matrix'!$B$2:$D$13,3,MATCH($B410,'MOA role matrix'!$B$1:$D$1,0))="Fill","CFO / Head of Finance, ","")IF(INDEX('MOA role matrix'!$B$2:$D$13,3,MATCH($B410,'MOA role matrix'!$B$1:$D$1,0))="If finance","CFO / Head of Finance (if finance), ","")IF(INDEX('MOA role matrix'!$B$2:$D$13,3,MATCH($B410,'MOA role matrix'!$B$1:$D$1,0))="Auto","CFO / Head of Finance (auto), ","")IF(INDEX('MOA role matrix'!$B$2:$D$13,4,MATCH($B410,'MOA role matrix'!$B$1:$D$1,0))="Fill","CEO / COO / GM, ","")IF(INDEX('MOA role matrix'!$B$2:$D$13,4,MATCH($B410,'MOA role matrix'!$B$1:$D$1,0))="If finance","CEO / COO / GM (if finance), ","")IF(INDEX('MOA role matrix'!$B$2:$D$13,4,MATCH($B410,'MOA role matrix'!$B$1:$D$1,0))="Auto","CEO / COO / GM (auto), ","")IF(INDEX('MOA role matrix'!$B$2:$D$13,5,MATCH($B410,'MOA role matrix'!$B$1:$D$1,0))="Fill","Board member 1, ","")IF(INDEX('MOA role matrix'!$B$2:$D$13,5,MATCH($B410,'MOA role matrix'!$B$1:$D$1,0))="If finance","Board member 1 (if finance), ","")IF(INDEX('MOA role matrix'!$B$2:$D$13,5,MATCH($B410,'MOA role matrix'!$B$1:$D$1,0))="Auto","Board member 1 (auto), ","")IF(INDEX('MOA role matrix'!$B$2:$D$13,6,MATCH($B410,'MOA role matrix'!$B$1:$D$1,0))="Fill","Board member 2, ","")IF(INDEX('MOA role matrix'!$B$2:$D$13,6,MATCH($B410,'MOA role matrix'!$B$1:$D$1,0))="If finance","Board member 2 (if finance), ","")IF(INDEX('MOA role matrix'!$B$2:$D$13,6,MATCH($B410,'MOA role matrix'!$B$1:$D$1,0))="Auto","Board member 2 (auto), ","")IF(INDEX('MOA role matrix'!$B$2:$D$13,7,MATCH($B410,'MOA role matrix'!$B$1:$D$1,0))="Fill","LOA holder 1, ","")IF(INDEX('MOA role matrix'!$B$2:$D$13,7,MATCH($B410,'MOA role matrix'!$B$1:$D$1,0))="If finance","LOA holder 1 (if finance), ","")IF(INDEX('MOA role matrix'!$B$2:$D$13,7,MATCH($B410,'MOA role matrix'!$B$1:$D$1,0))="Auto","LOA holder 1 (auto), ","")IF(INDEX('MOA role matrix'!$B$2:$D$13,8,MATCH($B410,'MOA role matrix'!$B$1:$D$1,0))="Fill","LOA holder 2, ","")IF(INDEX('MOA role matrix'!$B$2:$D$13,8,MATCH($B410,'MOA role matrix'!$B$1:$D$1,0))="If finance","LOA holder 2 (if finance), ","")IF(INDEX('MOA role matrix'!$B$2:$D$13,8,MATCH($B410,'MOA role matrix'!$B$1:$D$1,0))="Auto","LOA holder 2 (auto), ","")IF(INDEX('MOA role matrix'!$B$2:$D$13,9,MATCH($B410,'MOA role matrix'!$B$1:$D$1,0))="Fill","Senior Manager CoSec, ","")IF(INDEX('MOA role matrix'!$B$2:$D$13,9,MATCH($B410,'MOA role matrix'!$B$1:$D$1,0))="If finance","Senior Manager CoSec (if finance), ","")IF(INDEX('MOA role matrix'!$B$2:$D$13,9,MATCH($B410,'MOA role matrix'!$B$1:$D$1,0))="Auto","Senior Manager CoSec (auto), ","")IF(INDEX('MOA role matrix'!$B$2:$D$13,10,MATCH($B410,'MOA role matrix'!$B$1:$D$1,0))="Fill","Division MOI managers, ","")IF(INDEX('MOA role matrix'!$B$2:$D$13,10,MATCH($B410,'MOA role matrix'!$B$1:$D$1,0))="If finance","Division MOI managers (if finance), ","")IF(INDEX('MOA role matrix'!$B$2:$D$13,10,MATCH($B410,'MOA role matrix'!$B$1:$D$1,0))="Auto","Division MOI managers (auto), ","")IF(INDEX('MOA role matrix'!$B$2:$D$13,11,MATCH($B410,'MOA role matrix'!$B$1:$D$1,0))="Fill","Ms Teh (bank), ","")IF(INDEX('MOA role matrix'!$B$2:$D$13,11,MATCH($B410,'MOA role matrix'!$B$1:$D$1,0))="If finance","Ms Teh (bank) (if finance), ","")IF(INDEX('MOA role matrix'!$B$2:$D$13,11,MATCH($B410,'MOA role matrix'!$B$1:$D$1,0))="Auto","Ms Teh (bank) (auto), ","")IF(INDEX('MOA role matrix'!$B$2:$D$13,12,MATCH($B410,'MOA role matrix'!$B$1:$D$1,0))="Fill","DLCM, ","")IF(INDEX('MOA role matrix'!$B$2:$D$13,12,MATCH($B410,'MOA role matrix'!$B$1:$D$1,0))="If finance","DLCM (if finance), ","")IF(INDEX('MOA role matrix'!$B$2:$D$13,12,MATCH($B410,'MOA role matrix'!$B$1:$D$1,0))="Auto","DLCM (auto), ","")))</f>
        <v/>
      </c>
      <c r="D410" s="5">
        <f>IF($A410="","",IFERROR(INDEX(FILTER('Client contacts'!$B$2:$B$500,('Client contacts'!$A$2:$A$500=$A410)*('Client contacts'!$H$2:$H$500="Y"),""),1),""))</f>
        <v/>
      </c>
      <c r="E410" s="5">
        <f>IF($A410="","",IFERROR(INDEX(FILTER('Client contacts'!$C$2:$C$500,('Client contacts'!$A$2:$A$500=$A410)*('Client contacts'!$H$2:$H$500="Y"),""),1),""))</f>
        <v/>
      </c>
      <c r="F410" s="5">
        <f>IF($A410="","",IFERROR(INDEX(FILTER('Client contacts'!$B$2:$B$500,('Client contacts'!$A$2:$A$500=$A410)*('Client contacts'!$G$2:$G$500="Y"),""),1),""))</f>
        <v/>
      </c>
      <c r="G410" s="5">
        <f>IF($A410="","",IFERROR(INDEX(FILTER('Client contacts'!$C$2:$C$500,('Client contacts'!$A$2:$A$500=$A410)*('Client contacts'!$G$2:$G$500="Y"),""),1),""))</f>
        <v/>
      </c>
      <c r="H410" s="5">
        <f>IF($A410="","",IFERROR(INDEX(FILTER('Client contacts'!$B$2:$B$500,('Client contacts'!$A$2:$A$500=$A410)*('Client contacts'!$G$2:$G$500="Y"),""),2),""))</f>
        <v/>
      </c>
      <c r="I410" s="5">
        <f>IF($A410="","",IFERROR(INDEX(FILTER('Client contacts'!$C$2:$C$500,('Client contacts'!$A$2:$A$500=$A410)*('Client contacts'!$G$2:$G$500="Y"),""),2),""))</f>
        <v/>
      </c>
      <c r="J410" s="8" t="n"/>
      <c r="K410" s="8" t="n"/>
      <c r="L410" s="8" t="n"/>
      <c r="M410" s="8" t="n"/>
      <c r="N410" s="8" t="n"/>
      <c r="O410" s="8" t="n"/>
      <c r="P410" s="8" t="n"/>
      <c r="Q410" s="8" t="n"/>
      <c r="R410" s="5">
        <f>IF($A410="","",IFERROR(INDEX(Companies!$I$2:$I$500,MATCH($A410,Companies!$A$2:$A$500,0)),""))</f>
        <v/>
      </c>
      <c r="S410" s="8" t="n"/>
      <c r="T410" s="8" t="n"/>
      <c r="U410" s="8" t="n"/>
      <c r="V410" s="8" t="n"/>
      <c r="W410" s="8" t="n"/>
    </row>
    <row r="411">
      <c r="C411" s="5">
        <f>IF($B411="","",TRIM(IF(INDEX('MOA role matrix'!$B$2:$D$13,1,MATCH($B411,'MOA role matrix'!$B$1:$D$1,0))="Fill","Project initiator, ","")IF(INDEX('MOA role matrix'!$B$2:$D$13,1,MATCH($B411,'MOA role matrix'!$B$1:$D$1,0))="If finance","Project initiator (if finance), ","")IF(INDEX('MOA role matrix'!$B$2:$D$13,1,MATCH($B411,'MOA role matrix'!$B$1:$D$1,0))="Auto","Project initiator (auto), ","")IF(INDEX('MOA role matrix'!$B$2:$D$13,2,MATCH($B411,'MOA role matrix'!$B$1:$D$1,0))="Fill","MOA signers (client), ","")IF(INDEX('MOA role matrix'!$B$2:$D$13,2,MATCH($B411,'MOA role matrix'!$B$1:$D$1,0))="If finance","MOA signers (client) (if finance), ","")IF(INDEX('MOA role matrix'!$B$2:$D$13,2,MATCH($B411,'MOA role matrix'!$B$1:$D$1,0))="Auto","MOA signers (client) (auto), ","")IF(INDEX('MOA role matrix'!$B$2:$D$13,3,MATCH($B411,'MOA role matrix'!$B$1:$D$1,0))="Fill","CFO / Head of Finance, ","")IF(INDEX('MOA role matrix'!$B$2:$D$13,3,MATCH($B411,'MOA role matrix'!$B$1:$D$1,0))="If finance","CFO / Head of Finance (if finance), ","")IF(INDEX('MOA role matrix'!$B$2:$D$13,3,MATCH($B411,'MOA role matrix'!$B$1:$D$1,0))="Auto","CFO / Head of Finance (auto), ","")IF(INDEX('MOA role matrix'!$B$2:$D$13,4,MATCH($B411,'MOA role matrix'!$B$1:$D$1,0))="Fill","CEO / COO / GM, ","")IF(INDEX('MOA role matrix'!$B$2:$D$13,4,MATCH($B411,'MOA role matrix'!$B$1:$D$1,0))="If finance","CEO / COO / GM (if finance), ","")IF(INDEX('MOA role matrix'!$B$2:$D$13,4,MATCH($B411,'MOA role matrix'!$B$1:$D$1,0))="Auto","CEO / COO / GM (auto), ","")IF(INDEX('MOA role matrix'!$B$2:$D$13,5,MATCH($B411,'MOA role matrix'!$B$1:$D$1,0))="Fill","Board member 1, ","")IF(INDEX('MOA role matrix'!$B$2:$D$13,5,MATCH($B411,'MOA role matrix'!$B$1:$D$1,0))="If finance","Board member 1 (if finance), ","")IF(INDEX('MOA role matrix'!$B$2:$D$13,5,MATCH($B411,'MOA role matrix'!$B$1:$D$1,0))="Auto","Board member 1 (auto), ","")IF(INDEX('MOA role matrix'!$B$2:$D$13,6,MATCH($B411,'MOA role matrix'!$B$1:$D$1,0))="Fill","Board member 2, ","")IF(INDEX('MOA role matrix'!$B$2:$D$13,6,MATCH($B411,'MOA role matrix'!$B$1:$D$1,0))="If finance","Board member 2 (if finance), ","")IF(INDEX('MOA role matrix'!$B$2:$D$13,6,MATCH($B411,'MOA role matrix'!$B$1:$D$1,0))="Auto","Board member 2 (auto), ","")IF(INDEX('MOA role matrix'!$B$2:$D$13,7,MATCH($B411,'MOA role matrix'!$B$1:$D$1,0))="Fill","LOA holder 1, ","")IF(INDEX('MOA role matrix'!$B$2:$D$13,7,MATCH($B411,'MOA role matrix'!$B$1:$D$1,0))="If finance","LOA holder 1 (if finance), ","")IF(INDEX('MOA role matrix'!$B$2:$D$13,7,MATCH($B411,'MOA role matrix'!$B$1:$D$1,0))="Auto","LOA holder 1 (auto), ","")IF(INDEX('MOA role matrix'!$B$2:$D$13,8,MATCH($B411,'MOA role matrix'!$B$1:$D$1,0))="Fill","LOA holder 2, ","")IF(INDEX('MOA role matrix'!$B$2:$D$13,8,MATCH($B411,'MOA role matrix'!$B$1:$D$1,0))="If finance","LOA holder 2 (if finance), ","")IF(INDEX('MOA role matrix'!$B$2:$D$13,8,MATCH($B411,'MOA role matrix'!$B$1:$D$1,0))="Auto","LOA holder 2 (auto), ","")IF(INDEX('MOA role matrix'!$B$2:$D$13,9,MATCH($B411,'MOA role matrix'!$B$1:$D$1,0))="Fill","Senior Manager CoSec, ","")IF(INDEX('MOA role matrix'!$B$2:$D$13,9,MATCH($B411,'MOA role matrix'!$B$1:$D$1,0))="If finance","Senior Manager CoSec (if finance), ","")IF(INDEX('MOA role matrix'!$B$2:$D$13,9,MATCH($B411,'MOA role matrix'!$B$1:$D$1,0))="Auto","Senior Manager CoSec (auto), ","")IF(INDEX('MOA role matrix'!$B$2:$D$13,10,MATCH($B411,'MOA role matrix'!$B$1:$D$1,0))="Fill","Division MOI managers, ","")IF(INDEX('MOA role matrix'!$B$2:$D$13,10,MATCH($B411,'MOA role matrix'!$B$1:$D$1,0))="If finance","Division MOI managers (if finance), ","")IF(INDEX('MOA role matrix'!$B$2:$D$13,10,MATCH($B411,'MOA role matrix'!$B$1:$D$1,0))="Auto","Division MOI managers (auto), ","")IF(INDEX('MOA role matrix'!$B$2:$D$13,11,MATCH($B411,'MOA role matrix'!$B$1:$D$1,0))="Fill","Ms Teh (bank), ","")IF(INDEX('MOA role matrix'!$B$2:$D$13,11,MATCH($B411,'MOA role matrix'!$B$1:$D$1,0))="If finance","Ms Teh (bank) (if finance), ","")IF(INDEX('MOA role matrix'!$B$2:$D$13,11,MATCH($B411,'MOA role matrix'!$B$1:$D$1,0))="Auto","Ms Teh (bank) (auto), ","")IF(INDEX('MOA role matrix'!$B$2:$D$13,12,MATCH($B411,'MOA role matrix'!$B$1:$D$1,0))="Fill","DLCM, ","")IF(INDEX('MOA role matrix'!$B$2:$D$13,12,MATCH($B411,'MOA role matrix'!$B$1:$D$1,0))="If finance","DLCM (if finance), ","")IF(INDEX('MOA role matrix'!$B$2:$D$13,12,MATCH($B411,'MOA role matrix'!$B$1:$D$1,0))="Auto","DLCM (auto), ","")))</f>
        <v/>
      </c>
      <c r="D411" s="5">
        <f>IF($A411="","",IFERROR(INDEX(FILTER('Client contacts'!$B$2:$B$500,('Client contacts'!$A$2:$A$500=$A411)*('Client contacts'!$H$2:$H$500="Y"),""),1),""))</f>
        <v/>
      </c>
      <c r="E411" s="5">
        <f>IF($A411="","",IFERROR(INDEX(FILTER('Client contacts'!$C$2:$C$500,('Client contacts'!$A$2:$A$500=$A411)*('Client contacts'!$H$2:$H$500="Y"),""),1),""))</f>
        <v/>
      </c>
      <c r="F411" s="5">
        <f>IF($A411="","",IFERROR(INDEX(FILTER('Client contacts'!$B$2:$B$500,('Client contacts'!$A$2:$A$500=$A411)*('Client contacts'!$G$2:$G$500="Y"),""),1),""))</f>
        <v/>
      </c>
      <c r="G411" s="5">
        <f>IF($A411="","",IFERROR(INDEX(FILTER('Client contacts'!$C$2:$C$500,('Client contacts'!$A$2:$A$500=$A411)*('Client contacts'!$G$2:$G$500="Y"),""),1),""))</f>
        <v/>
      </c>
      <c r="H411" s="5">
        <f>IF($A411="","",IFERROR(INDEX(FILTER('Client contacts'!$B$2:$B$500,('Client contacts'!$A$2:$A$500=$A411)*('Client contacts'!$G$2:$G$500="Y"),""),2),""))</f>
        <v/>
      </c>
      <c r="I411" s="5">
        <f>IF($A411="","",IFERROR(INDEX(FILTER('Client contacts'!$C$2:$C$500,('Client contacts'!$A$2:$A$500=$A411)*('Client contacts'!$G$2:$G$500="Y"),""),2),""))</f>
        <v/>
      </c>
      <c r="J411" s="8" t="n"/>
      <c r="K411" s="8" t="n"/>
      <c r="L411" s="8" t="n"/>
      <c r="M411" s="8" t="n"/>
      <c r="N411" s="8" t="n"/>
      <c r="O411" s="8" t="n"/>
      <c r="P411" s="8" t="n"/>
      <c r="Q411" s="8" t="n"/>
      <c r="R411" s="5">
        <f>IF($A411="","",IFERROR(INDEX(Companies!$I$2:$I$500,MATCH($A411,Companies!$A$2:$A$500,0)),""))</f>
        <v/>
      </c>
      <c r="S411" s="8" t="n"/>
      <c r="T411" s="8" t="n"/>
      <c r="U411" s="8" t="n"/>
      <c r="V411" s="8" t="n"/>
      <c r="W411" s="8" t="n"/>
    </row>
    <row r="412">
      <c r="C412" s="5">
        <f>IF($B412="","",TRIM(IF(INDEX('MOA role matrix'!$B$2:$D$13,1,MATCH($B412,'MOA role matrix'!$B$1:$D$1,0))="Fill","Project initiator, ","")IF(INDEX('MOA role matrix'!$B$2:$D$13,1,MATCH($B412,'MOA role matrix'!$B$1:$D$1,0))="If finance","Project initiator (if finance), ","")IF(INDEX('MOA role matrix'!$B$2:$D$13,1,MATCH($B412,'MOA role matrix'!$B$1:$D$1,0))="Auto","Project initiator (auto), ","")IF(INDEX('MOA role matrix'!$B$2:$D$13,2,MATCH($B412,'MOA role matrix'!$B$1:$D$1,0))="Fill","MOA signers (client), ","")IF(INDEX('MOA role matrix'!$B$2:$D$13,2,MATCH($B412,'MOA role matrix'!$B$1:$D$1,0))="If finance","MOA signers (client) (if finance), ","")IF(INDEX('MOA role matrix'!$B$2:$D$13,2,MATCH($B412,'MOA role matrix'!$B$1:$D$1,0))="Auto","MOA signers (client) (auto), ","")IF(INDEX('MOA role matrix'!$B$2:$D$13,3,MATCH($B412,'MOA role matrix'!$B$1:$D$1,0))="Fill","CFO / Head of Finance, ","")IF(INDEX('MOA role matrix'!$B$2:$D$13,3,MATCH($B412,'MOA role matrix'!$B$1:$D$1,0))="If finance","CFO / Head of Finance (if finance), ","")IF(INDEX('MOA role matrix'!$B$2:$D$13,3,MATCH($B412,'MOA role matrix'!$B$1:$D$1,0))="Auto","CFO / Head of Finance (auto), ","")IF(INDEX('MOA role matrix'!$B$2:$D$13,4,MATCH($B412,'MOA role matrix'!$B$1:$D$1,0))="Fill","CEO / COO / GM, ","")IF(INDEX('MOA role matrix'!$B$2:$D$13,4,MATCH($B412,'MOA role matrix'!$B$1:$D$1,0))="If finance","CEO / COO / GM (if finance), ","")IF(INDEX('MOA role matrix'!$B$2:$D$13,4,MATCH($B412,'MOA role matrix'!$B$1:$D$1,0))="Auto","CEO / COO / GM (auto), ","")IF(INDEX('MOA role matrix'!$B$2:$D$13,5,MATCH($B412,'MOA role matrix'!$B$1:$D$1,0))="Fill","Board member 1, ","")IF(INDEX('MOA role matrix'!$B$2:$D$13,5,MATCH($B412,'MOA role matrix'!$B$1:$D$1,0))="If finance","Board member 1 (if finance), ","")IF(INDEX('MOA role matrix'!$B$2:$D$13,5,MATCH($B412,'MOA role matrix'!$B$1:$D$1,0))="Auto","Board member 1 (auto), ","")IF(INDEX('MOA role matrix'!$B$2:$D$13,6,MATCH($B412,'MOA role matrix'!$B$1:$D$1,0))="Fill","Board member 2, ","")IF(INDEX('MOA role matrix'!$B$2:$D$13,6,MATCH($B412,'MOA role matrix'!$B$1:$D$1,0))="If finance","Board member 2 (if finance), ","")IF(INDEX('MOA role matrix'!$B$2:$D$13,6,MATCH($B412,'MOA role matrix'!$B$1:$D$1,0))="Auto","Board member 2 (auto), ","")IF(INDEX('MOA role matrix'!$B$2:$D$13,7,MATCH($B412,'MOA role matrix'!$B$1:$D$1,0))="Fill","LOA holder 1, ","")IF(INDEX('MOA role matrix'!$B$2:$D$13,7,MATCH($B412,'MOA role matrix'!$B$1:$D$1,0))="If finance","LOA holder 1 (if finance), ","")IF(INDEX('MOA role matrix'!$B$2:$D$13,7,MATCH($B412,'MOA role matrix'!$B$1:$D$1,0))="Auto","LOA holder 1 (auto), ","")IF(INDEX('MOA role matrix'!$B$2:$D$13,8,MATCH($B412,'MOA role matrix'!$B$1:$D$1,0))="Fill","LOA holder 2, ","")IF(INDEX('MOA role matrix'!$B$2:$D$13,8,MATCH($B412,'MOA role matrix'!$B$1:$D$1,0))="If finance","LOA holder 2 (if finance), ","")IF(INDEX('MOA role matrix'!$B$2:$D$13,8,MATCH($B412,'MOA role matrix'!$B$1:$D$1,0))="Auto","LOA holder 2 (auto), ","")IF(INDEX('MOA role matrix'!$B$2:$D$13,9,MATCH($B412,'MOA role matrix'!$B$1:$D$1,0))="Fill","Senior Manager CoSec, ","")IF(INDEX('MOA role matrix'!$B$2:$D$13,9,MATCH($B412,'MOA role matrix'!$B$1:$D$1,0))="If finance","Senior Manager CoSec (if finance), ","")IF(INDEX('MOA role matrix'!$B$2:$D$13,9,MATCH($B412,'MOA role matrix'!$B$1:$D$1,0))="Auto","Senior Manager CoSec (auto), ","")IF(INDEX('MOA role matrix'!$B$2:$D$13,10,MATCH($B412,'MOA role matrix'!$B$1:$D$1,0))="Fill","Division MOI managers, ","")IF(INDEX('MOA role matrix'!$B$2:$D$13,10,MATCH($B412,'MOA role matrix'!$B$1:$D$1,0))="If finance","Division MOI managers (if finance), ","")IF(INDEX('MOA role matrix'!$B$2:$D$13,10,MATCH($B412,'MOA role matrix'!$B$1:$D$1,0))="Auto","Division MOI managers (auto), ","")IF(INDEX('MOA role matrix'!$B$2:$D$13,11,MATCH($B412,'MOA role matrix'!$B$1:$D$1,0))="Fill","Ms Teh (bank), ","")IF(INDEX('MOA role matrix'!$B$2:$D$13,11,MATCH($B412,'MOA role matrix'!$B$1:$D$1,0))="If finance","Ms Teh (bank) (if finance), ","")IF(INDEX('MOA role matrix'!$B$2:$D$13,11,MATCH($B412,'MOA role matrix'!$B$1:$D$1,0))="Auto","Ms Teh (bank) (auto), ","")IF(INDEX('MOA role matrix'!$B$2:$D$13,12,MATCH($B412,'MOA role matrix'!$B$1:$D$1,0))="Fill","DLCM, ","")IF(INDEX('MOA role matrix'!$B$2:$D$13,12,MATCH($B412,'MOA role matrix'!$B$1:$D$1,0))="If finance","DLCM (if finance), ","")IF(INDEX('MOA role matrix'!$B$2:$D$13,12,MATCH($B412,'MOA role matrix'!$B$1:$D$1,0))="Auto","DLCM (auto), ","")))</f>
        <v/>
      </c>
      <c r="D412" s="5">
        <f>IF($A412="","",IFERROR(INDEX(FILTER('Client contacts'!$B$2:$B$500,('Client contacts'!$A$2:$A$500=$A412)*('Client contacts'!$H$2:$H$500="Y"),""),1),""))</f>
        <v/>
      </c>
      <c r="E412" s="5">
        <f>IF($A412="","",IFERROR(INDEX(FILTER('Client contacts'!$C$2:$C$500,('Client contacts'!$A$2:$A$500=$A412)*('Client contacts'!$H$2:$H$500="Y"),""),1),""))</f>
        <v/>
      </c>
      <c r="F412" s="5">
        <f>IF($A412="","",IFERROR(INDEX(FILTER('Client contacts'!$B$2:$B$500,('Client contacts'!$A$2:$A$500=$A412)*('Client contacts'!$G$2:$G$500="Y"),""),1),""))</f>
        <v/>
      </c>
      <c r="G412" s="5">
        <f>IF($A412="","",IFERROR(INDEX(FILTER('Client contacts'!$C$2:$C$500,('Client contacts'!$A$2:$A$500=$A412)*('Client contacts'!$G$2:$G$500="Y"),""),1),""))</f>
        <v/>
      </c>
      <c r="H412" s="5">
        <f>IF($A412="","",IFERROR(INDEX(FILTER('Client contacts'!$B$2:$B$500,('Client contacts'!$A$2:$A$500=$A412)*('Client contacts'!$G$2:$G$500="Y"),""),2),""))</f>
        <v/>
      </c>
      <c r="I412" s="5">
        <f>IF($A412="","",IFERROR(INDEX(FILTER('Client contacts'!$C$2:$C$500,('Client contacts'!$A$2:$A$500=$A412)*('Client contacts'!$G$2:$G$500="Y"),""),2),""))</f>
        <v/>
      </c>
      <c r="J412" s="8" t="n"/>
      <c r="K412" s="8" t="n"/>
      <c r="L412" s="8" t="n"/>
      <c r="M412" s="8" t="n"/>
      <c r="N412" s="8" t="n"/>
      <c r="O412" s="8" t="n"/>
      <c r="P412" s="8" t="n"/>
      <c r="Q412" s="8" t="n"/>
      <c r="R412" s="5">
        <f>IF($A412="","",IFERROR(INDEX(Companies!$I$2:$I$500,MATCH($A412,Companies!$A$2:$A$500,0)),""))</f>
        <v/>
      </c>
      <c r="S412" s="8" t="n"/>
      <c r="T412" s="8" t="n"/>
      <c r="U412" s="8" t="n"/>
      <c r="V412" s="8" t="n"/>
      <c r="W412" s="8" t="n"/>
    </row>
    <row r="413">
      <c r="C413" s="5">
        <f>IF($B413="","",TRIM(IF(INDEX('MOA role matrix'!$B$2:$D$13,1,MATCH($B413,'MOA role matrix'!$B$1:$D$1,0))="Fill","Project initiator, ","")IF(INDEX('MOA role matrix'!$B$2:$D$13,1,MATCH($B413,'MOA role matrix'!$B$1:$D$1,0))="If finance","Project initiator (if finance), ","")IF(INDEX('MOA role matrix'!$B$2:$D$13,1,MATCH($B413,'MOA role matrix'!$B$1:$D$1,0))="Auto","Project initiator (auto), ","")IF(INDEX('MOA role matrix'!$B$2:$D$13,2,MATCH($B413,'MOA role matrix'!$B$1:$D$1,0))="Fill","MOA signers (client), ","")IF(INDEX('MOA role matrix'!$B$2:$D$13,2,MATCH($B413,'MOA role matrix'!$B$1:$D$1,0))="If finance","MOA signers (client) (if finance), ","")IF(INDEX('MOA role matrix'!$B$2:$D$13,2,MATCH($B413,'MOA role matrix'!$B$1:$D$1,0))="Auto","MOA signers (client) (auto), ","")IF(INDEX('MOA role matrix'!$B$2:$D$13,3,MATCH($B413,'MOA role matrix'!$B$1:$D$1,0))="Fill","CFO / Head of Finance, ","")IF(INDEX('MOA role matrix'!$B$2:$D$13,3,MATCH($B413,'MOA role matrix'!$B$1:$D$1,0))="If finance","CFO / Head of Finance (if finance), ","")IF(INDEX('MOA role matrix'!$B$2:$D$13,3,MATCH($B413,'MOA role matrix'!$B$1:$D$1,0))="Auto","CFO / Head of Finance (auto), ","")IF(INDEX('MOA role matrix'!$B$2:$D$13,4,MATCH($B413,'MOA role matrix'!$B$1:$D$1,0))="Fill","CEO / COO / GM, ","")IF(INDEX('MOA role matrix'!$B$2:$D$13,4,MATCH($B413,'MOA role matrix'!$B$1:$D$1,0))="If finance","CEO / COO / GM (if finance), ","")IF(INDEX('MOA role matrix'!$B$2:$D$13,4,MATCH($B413,'MOA role matrix'!$B$1:$D$1,0))="Auto","CEO / COO / GM (auto), ","")IF(INDEX('MOA role matrix'!$B$2:$D$13,5,MATCH($B413,'MOA role matrix'!$B$1:$D$1,0))="Fill","Board member 1, ","")IF(INDEX('MOA role matrix'!$B$2:$D$13,5,MATCH($B413,'MOA role matrix'!$B$1:$D$1,0))="If finance","Board member 1 (if finance), ","")IF(INDEX('MOA role matrix'!$B$2:$D$13,5,MATCH($B413,'MOA role matrix'!$B$1:$D$1,0))="Auto","Board member 1 (auto), ","")IF(INDEX('MOA role matrix'!$B$2:$D$13,6,MATCH($B413,'MOA role matrix'!$B$1:$D$1,0))="Fill","Board member 2, ","")IF(INDEX('MOA role matrix'!$B$2:$D$13,6,MATCH($B413,'MOA role matrix'!$B$1:$D$1,0))="If finance","Board member 2 (if finance), ","")IF(INDEX('MOA role matrix'!$B$2:$D$13,6,MATCH($B413,'MOA role matrix'!$B$1:$D$1,0))="Auto","Board member 2 (auto), ","")IF(INDEX('MOA role matrix'!$B$2:$D$13,7,MATCH($B413,'MOA role matrix'!$B$1:$D$1,0))="Fill","LOA holder 1, ","")IF(INDEX('MOA role matrix'!$B$2:$D$13,7,MATCH($B413,'MOA role matrix'!$B$1:$D$1,0))="If finance","LOA holder 1 (if finance), ","")IF(INDEX('MOA role matrix'!$B$2:$D$13,7,MATCH($B413,'MOA role matrix'!$B$1:$D$1,0))="Auto","LOA holder 1 (auto), ","")IF(INDEX('MOA role matrix'!$B$2:$D$13,8,MATCH($B413,'MOA role matrix'!$B$1:$D$1,0))="Fill","LOA holder 2, ","")IF(INDEX('MOA role matrix'!$B$2:$D$13,8,MATCH($B413,'MOA role matrix'!$B$1:$D$1,0))="If finance","LOA holder 2 (if finance), ","")IF(INDEX('MOA role matrix'!$B$2:$D$13,8,MATCH($B413,'MOA role matrix'!$B$1:$D$1,0))="Auto","LOA holder 2 (auto), ","")IF(INDEX('MOA role matrix'!$B$2:$D$13,9,MATCH($B413,'MOA role matrix'!$B$1:$D$1,0))="Fill","Senior Manager CoSec, ","")IF(INDEX('MOA role matrix'!$B$2:$D$13,9,MATCH($B413,'MOA role matrix'!$B$1:$D$1,0))="If finance","Senior Manager CoSec (if finance), ","")IF(INDEX('MOA role matrix'!$B$2:$D$13,9,MATCH($B413,'MOA role matrix'!$B$1:$D$1,0))="Auto","Senior Manager CoSec (auto), ","")IF(INDEX('MOA role matrix'!$B$2:$D$13,10,MATCH($B413,'MOA role matrix'!$B$1:$D$1,0))="Fill","Division MOI managers, ","")IF(INDEX('MOA role matrix'!$B$2:$D$13,10,MATCH($B413,'MOA role matrix'!$B$1:$D$1,0))="If finance","Division MOI managers (if finance), ","")IF(INDEX('MOA role matrix'!$B$2:$D$13,10,MATCH($B413,'MOA role matrix'!$B$1:$D$1,0))="Auto","Division MOI managers (auto), ","")IF(INDEX('MOA role matrix'!$B$2:$D$13,11,MATCH($B413,'MOA role matrix'!$B$1:$D$1,0))="Fill","Ms Teh (bank), ","")IF(INDEX('MOA role matrix'!$B$2:$D$13,11,MATCH($B413,'MOA role matrix'!$B$1:$D$1,0))="If finance","Ms Teh (bank) (if finance), ","")IF(INDEX('MOA role matrix'!$B$2:$D$13,11,MATCH($B413,'MOA role matrix'!$B$1:$D$1,0))="Auto","Ms Teh (bank) (auto), ","")IF(INDEX('MOA role matrix'!$B$2:$D$13,12,MATCH($B413,'MOA role matrix'!$B$1:$D$1,0))="Fill","DLCM, ","")IF(INDEX('MOA role matrix'!$B$2:$D$13,12,MATCH($B413,'MOA role matrix'!$B$1:$D$1,0))="If finance","DLCM (if finance), ","")IF(INDEX('MOA role matrix'!$B$2:$D$13,12,MATCH($B413,'MOA role matrix'!$B$1:$D$1,0))="Auto","DLCM (auto), ","")))</f>
        <v/>
      </c>
      <c r="D413" s="5">
        <f>IF($A413="","",IFERROR(INDEX(FILTER('Client contacts'!$B$2:$B$500,('Client contacts'!$A$2:$A$500=$A413)*('Client contacts'!$H$2:$H$500="Y"),""),1),""))</f>
        <v/>
      </c>
      <c r="E413" s="5">
        <f>IF($A413="","",IFERROR(INDEX(FILTER('Client contacts'!$C$2:$C$500,('Client contacts'!$A$2:$A$500=$A413)*('Client contacts'!$H$2:$H$500="Y"),""),1),""))</f>
        <v/>
      </c>
      <c r="F413" s="5">
        <f>IF($A413="","",IFERROR(INDEX(FILTER('Client contacts'!$B$2:$B$500,('Client contacts'!$A$2:$A$500=$A413)*('Client contacts'!$G$2:$G$500="Y"),""),1),""))</f>
        <v/>
      </c>
      <c r="G413" s="5">
        <f>IF($A413="","",IFERROR(INDEX(FILTER('Client contacts'!$C$2:$C$500,('Client contacts'!$A$2:$A$500=$A413)*('Client contacts'!$G$2:$G$500="Y"),""),1),""))</f>
        <v/>
      </c>
      <c r="H413" s="5">
        <f>IF($A413="","",IFERROR(INDEX(FILTER('Client contacts'!$B$2:$B$500,('Client contacts'!$A$2:$A$500=$A413)*('Client contacts'!$G$2:$G$500="Y"),""),2),""))</f>
        <v/>
      </c>
      <c r="I413" s="5">
        <f>IF($A413="","",IFERROR(INDEX(FILTER('Client contacts'!$C$2:$C$500,('Client contacts'!$A$2:$A$500=$A413)*('Client contacts'!$G$2:$G$500="Y"),""),2),""))</f>
        <v/>
      </c>
      <c r="J413" s="8" t="n"/>
      <c r="K413" s="8" t="n"/>
      <c r="L413" s="8" t="n"/>
      <c r="M413" s="8" t="n"/>
      <c r="N413" s="8" t="n"/>
      <c r="O413" s="8" t="n"/>
      <c r="P413" s="8" t="n"/>
      <c r="Q413" s="8" t="n"/>
      <c r="R413" s="5">
        <f>IF($A413="","",IFERROR(INDEX(Companies!$I$2:$I$500,MATCH($A413,Companies!$A$2:$A$500,0)),""))</f>
        <v/>
      </c>
      <c r="S413" s="8" t="n"/>
      <c r="T413" s="8" t="n"/>
      <c r="U413" s="8" t="n"/>
      <c r="V413" s="8" t="n"/>
      <c r="W413" s="8" t="n"/>
    </row>
    <row r="414">
      <c r="C414" s="5">
        <f>IF($B414="","",TRIM(IF(INDEX('MOA role matrix'!$B$2:$D$13,1,MATCH($B414,'MOA role matrix'!$B$1:$D$1,0))="Fill","Project initiator, ","")IF(INDEX('MOA role matrix'!$B$2:$D$13,1,MATCH($B414,'MOA role matrix'!$B$1:$D$1,0))="If finance","Project initiator (if finance), ","")IF(INDEX('MOA role matrix'!$B$2:$D$13,1,MATCH($B414,'MOA role matrix'!$B$1:$D$1,0))="Auto","Project initiator (auto), ","")IF(INDEX('MOA role matrix'!$B$2:$D$13,2,MATCH($B414,'MOA role matrix'!$B$1:$D$1,0))="Fill","MOA signers (client), ","")IF(INDEX('MOA role matrix'!$B$2:$D$13,2,MATCH($B414,'MOA role matrix'!$B$1:$D$1,0))="If finance","MOA signers (client) (if finance), ","")IF(INDEX('MOA role matrix'!$B$2:$D$13,2,MATCH($B414,'MOA role matrix'!$B$1:$D$1,0))="Auto","MOA signers (client) (auto), ","")IF(INDEX('MOA role matrix'!$B$2:$D$13,3,MATCH($B414,'MOA role matrix'!$B$1:$D$1,0))="Fill","CFO / Head of Finance, ","")IF(INDEX('MOA role matrix'!$B$2:$D$13,3,MATCH($B414,'MOA role matrix'!$B$1:$D$1,0))="If finance","CFO / Head of Finance (if finance), ","")IF(INDEX('MOA role matrix'!$B$2:$D$13,3,MATCH($B414,'MOA role matrix'!$B$1:$D$1,0))="Auto","CFO / Head of Finance (auto), ","")IF(INDEX('MOA role matrix'!$B$2:$D$13,4,MATCH($B414,'MOA role matrix'!$B$1:$D$1,0))="Fill","CEO / COO / GM, ","")IF(INDEX('MOA role matrix'!$B$2:$D$13,4,MATCH($B414,'MOA role matrix'!$B$1:$D$1,0))="If finance","CEO / COO / GM (if finance), ","")IF(INDEX('MOA role matrix'!$B$2:$D$13,4,MATCH($B414,'MOA role matrix'!$B$1:$D$1,0))="Auto","CEO / COO / GM (auto), ","")IF(INDEX('MOA role matrix'!$B$2:$D$13,5,MATCH($B414,'MOA role matrix'!$B$1:$D$1,0))="Fill","Board member 1, ","")IF(INDEX('MOA role matrix'!$B$2:$D$13,5,MATCH($B414,'MOA role matrix'!$B$1:$D$1,0))="If finance","Board member 1 (if finance), ","")IF(INDEX('MOA role matrix'!$B$2:$D$13,5,MATCH($B414,'MOA role matrix'!$B$1:$D$1,0))="Auto","Board member 1 (auto), ","")IF(INDEX('MOA role matrix'!$B$2:$D$13,6,MATCH($B414,'MOA role matrix'!$B$1:$D$1,0))="Fill","Board member 2, ","")IF(INDEX('MOA role matrix'!$B$2:$D$13,6,MATCH($B414,'MOA role matrix'!$B$1:$D$1,0))="If finance","Board member 2 (if finance), ","")IF(INDEX('MOA role matrix'!$B$2:$D$13,6,MATCH($B414,'MOA role matrix'!$B$1:$D$1,0))="Auto","Board member 2 (auto), ","")IF(INDEX('MOA role matrix'!$B$2:$D$13,7,MATCH($B414,'MOA role matrix'!$B$1:$D$1,0))="Fill","LOA holder 1, ","")IF(INDEX('MOA role matrix'!$B$2:$D$13,7,MATCH($B414,'MOA role matrix'!$B$1:$D$1,0))="If finance","LOA holder 1 (if finance), ","")IF(INDEX('MOA role matrix'!$B$2:$D$13,7,MATCH($B414,'MOA role matrix'!$B$1:$D$1,0))="Auto","LOA holder 1 (auto), ","")IF(INDEX('MOA role matrix'!$B$2:$D$13,8,MATCH($B414,'MOA role matrix'!$B$1:$D$1,0))="Fill","LOA holder 2, ","")IF(INDEX('MOA role matrix'!$B$2:$D$13,8,MATCH($B414,'MOA role matrix'!$B$1:$D$1,0))="If finance","LOA holder 2 (if finance), ","")IF(INDEX('MOA role matrix'!$B$2:$D$13,8,MATCH($B414,'MOA role matrix'!$B$1:$D$1,0))="Auto","LOA holder 2 (auto), ","")IF(INDEX('MOA role matrix'!$B$2:$D$13,9,MATCH($B414,'MOA role matrix'!$B$1:$D$1,0))="Fill","Senior Manager CoSec, ","")IF(INDEX('MOA role matrix'!$B$2:$D$13,9,MATCH($B414,'MOA role matrix'!$B$1:$D$1,0))="If finance","Senior Manager CoSec (if finance), ","")IF(INDEX('MOA role matrix'!$B$2:$D$13,9,MATCH($B414,'MOA role matrix'!$B$1:$D$1,0))="Auto","Senior Manager CoSec (auto), ","")IF(INDEX('MOA role matrix'!$B$2:$D$13,10,MATCH($B414,'MOA role matrix'!$B$1:$D$1,0))="Fill","Division MOI managers, ","")IF(INDEX('MOA role matrix'!$B$2:$D$13,10,MATCH($B414,'MOA role matrix'!$B$1:$D$1,0))="If finance","Division MOI managers (if finance), ","")IF(INDEX('MOA role matrix'!$B$2:$D$13,10,MATCH($B414,'MOA role matrix'!$B$1:$D$1,0))="Auto","Division MOI managers (auto), ","")IF(INDEX('MOA role matrix'!$B$2:$D$13,11,MATCH($B414,'MOA role matrix'!$B$1:$D$1,0))="Fill","Ms Teh (bank), ","")IF(INDEX('MOA role matrix'!$B$2:$D$13,11,MATCH($B414,'MOA role matrix'!$B$1:$D$1,0))="If finance","Ms Teh (bank) (if finance), ","")IF(INDEX('MOA role matrix'!$B$2:$D$13,11,MATCH($B414,'MOA role matrix'!$B$1:$D$1,0))="Auto","Ms Teh (bank) (auto), ","")IF(INDEX('MOA role matrix'!$B$2:$D$13,12,MATCH($B414,'MOA role matrix'!$B$1:$D$1,0))="Fill","DLCM, ","")IF(INDEX('MOA role matrix'!$B$2:$D$13,12,MATCH($B414,'MOA role matrix'!$B$1:$D$1,0))="If finance","DLCM (if finance), ","")IF(INDEX('MOA role matrix'!$B$2:$D$13,12,MATCH($B414,'MOA role matrix'!$B$1:$D$1,0))="Auto","DLCM (auto), ","")))</f>
        <v/>
      </c>
      <c r="D414" s="5">
        <f>IF($A414="","",IFERROR(INDEX(FILTER('Client contacts'!$B$2:$B$500,('Client contacts'!$A$2:$A$500=$A414)*('Client contacts'!$H$2:$H$500="Y"),""),1),""))</f>
        <v/>
      </c>
      <c r="E414" s="5">
        <f>IF($A414="","",IFERROR(INDEX(FILTER('Client contacts'!$C$2:$C$500,('Client contacts'!$A$2:$A$500=$A414)*('Client contacts'!$H$2:$H$500="Y"),""),1),""))</f>
        <v/>
      </c>
      <c r="F414" s="5">
        <f>IF($A414="","",IFERROR(INDEX(FILTER('Client contacts'!$B$2:$B$500,('Client contacts'!$A$2:$A$500=$A414)*('Client contacts'!$G$2:$G$500="Y"),""),1),""))</f>
        <v/>
      </c>
      <c r="G414" s="5">
        <f>IF($A414="","",IFERROR(INDEX(FILTER('Client contacts'!$C$2:$C$500,('Client contacts'!$A$2:$A$500=$A414)*('Client contacts'!$G$2:$G$500="Y"),""),1),""))</f>
        <v/>
      </c>
      <c r="H414" s="5">
        <f>IF($A414="","",IFERROR(INDEX(FILTER('Client contacts'!$B$2:$B$500,('Client contacts'!$A$2:$A$500=$A414)*('Client contacts'!$G$2:$G$500="Y"),""),2),""))</f>
        <v/>
      </c>
      <c r="I414" s="5">
        <f>IF($A414="","",IFERROR(INDEX(FILTER('Client contacts'!$C$2:$C$500,('Client contacts'!$A$2:$A$500=$A414)*('Client contacts'!$G$2:$G$500="Y"),""),2),""))</f>
        <v/>
      </c>
      <c r="J414" s="8" t="n"/>
      <c r="K414" s="8" t="n"/>
      <c r="L414" s="8" t="n"/>
      <c r="M414" s="8" t="n"/>
      <c r="N414" s="8" t="n"/>
      <c r="O414" s="8" t="n"/>
      <c r="P414" s="8" t="n"/>
      <c r="Q414" s="8" t="n"/>
      <c r="R414" s="5">
        <f>IF($A414="","",IFERROR(INDEX(Companies!$I$2:$I$500,MATCH($A414,Companies!$A$2:$A$500,0)),""))</f>
        <v/>
      </c>
      <c r="S414" s="8" t="n"/>
      <c r="T414" s="8" t="n"/>
      <c r="U414" s="8" t="n"/>
      <c r="V414" s="8" t="n"/>
      <c r="W414" s="8" t="n"/>
    </row>
    <row r="415">
      <c r="C415" s="5">
        <f>IF($B415="","",TRIM(IF(INDEX('MOA role matrix'!$B$2:$D$13,1,MATCH($B415,'MOA role matrix'!$B$1:$D$1,0))="Fill","Project initiator, ","")IF(INDEX('MOA role matrix'!$B$2:$D$13,1,MATCH($B415,'MOA role matrix'!$B$1:$D$1,0))="If finance","Project initiator (if finance), ","")IF(INDEX('MOA role matrix'!$B$2:$D$13,1,MATCH($B415,'MOA role matrix'!$B$1:$D$1,0))="Auto","Project initiator (auto), ","")IF(INDEX('MOA role matrix'!$B$2:$D$13,2,MATCH($B415,'MOA role matrix'!$B$1:$D$1,0))="Fill","MOA signers (client), ","")IF(INDEX('MOA role matrix'!$B$2:$D$13,2,MATCH($B415,'MOA role matrix'!$B$1:$D$1,0))="If finance","MOA signers (client) (if finance), ","")IF(INDEX('MOA role matrix'!$B$2:$D$13,2,MATCH($B415,'MOA role matrix'!$B$1:$D$1,0))="Auto","MOA signers (client) (auto), ","")IF(INDEX('MOA role matrix'!$B$2:$D$13,3,MATCH($B415,'MOA role matrix'!$B$1:$D$1,0))="Fill","CFO / Head of Finance, ","")IF(INDEX('MOA role matrix'!$B$2:$D$13,3,MATCH($B415,'MOA role matrix'!$B$1:$D$1,0))="If finance","CFO / Head of Finance (if finance), ","")IF(INDEX('MOA role matrix'!$B$2:$D$13,3,MATCH($B415,'MOA role matrix'!$B$1:$D$1,0))="Auto","CFO / Head of Finance (auto), ","")IF(INDEX('MOA role matrix'!$B$2:$D$13,4,MATCH($B415,'MOA role matrix'!$B$1:$D$1,0))="Fill","CEO / COO / GM, ","")IF(INDEX('MOA role matrix'!$B$2:$D$13,4,MATCH($B415,'MOA role matrix'!$B$1:$D$1,0))="If finance","CEO / COO / GM (if finance), ","")IF(INDEX('MOA role matrix'!$B$2:$D$13,4,MATCH($B415,'MOA role matrix'!$B$1:$D$1,0))="Auto","CEO / COO / GM (auto), ","")IF(INDEX('MOA role matrix'!$B$2:$D$13,5,MATCH($B415,'MOA role matrix'!$B$1:$D$1,0))="Fill","Board member 1, ","")IF(INDEX('MOA role matrix'!$B$2:$D$13,5,MATCH($B415,'MOA role matrix'!$B$1:$D$1,0))="If finance","Board member 1 (if finance), ","")IF(INDEX('MOA role matrix'!$B$2:$D$13,5,MATCH($B415,'MOA role matrix'!$B$1:$D$1,0))="Auto","Board member 1 (auto), ","")IF(INDEX('MOA role matrix'!$B$2:$D$13,6,MATCH($B415,'MOA role matrix'!$B$1:$D$1,0))="Fill","Board member 2, ","")IF(INDEX('MOA role matrix'!$B$2:$D$13,6,MATCH($B415,'MOA role matrix'!$B$1:$D$1,0))="If finance","Board member 2 (if finance), ","")IF(INDEX('MOA role matrix'!$B$2:$D$13,6,MATCH($B415,'MOA role matrix'!$B$1:$D$1,0))="Auto","Board member 2 (auto), ","")IF(INDEX('MOA role matrix'!$B$2:$D$13,7,MATCH($B415,'MOA role matrix'!$B$1:$D$1,0))="Fill","LOA holder 1, ","")IF(INDEX('MOA role matrix'!$B$2:$D$13,7,MATCH($B415,'MOA role matrix'!$B$1:$D$1,0))="If finance","LOA holder 1 (if finance), ","")IF(INDEX('MOA role matrix'!$B$2:$D$13,7,MATCH($B415,'MOA role matrix'!$B$1:$D$1,0))="Auto","LOA holder 1 (auto), ","")IF(INDEX('MOA role matrix'!$B$2:$D$13,8,MATCH($B415,'MOA role matrix'!$B$1:$D$1,0))="Fill","LOA holder 2, ","")IF(INDEX('MOA role matrix'!$B$2:$D$13,8,MATCH($B415,'MOA role matrix'!$B$1:$D$1,0))="If finance","LOA holder 2 (if finance), ","")IF(INDEX('MOA role matrix'!$B$2:$D$13,8,MATCH($B415,'MOA role matrix'!$B$1:$D$1,0))="Auto","LOA holder 2 (auto), ","")IF(INDEX('MOA role matrix'!$B$2:$D$13,9,MATCH($B415,'MOA role matrix'!$B$1:$D$1,0))="Fill","Senior Manager CoSec, ","")IF(INDEX('MOA role matrix'!$B$2:$D$13,9,MATCH($B415,'MOA role matrix'!$B$1:$D$1,0))="If finance","Senior Manager CoSec (if finance), ","")IF(INDEX('MOA role matrix'!$B$2:$D$13,9,MATCH($B415,'MOA role matrix'!$B$1:$D$1,0))="Auto","Senior Manager CoSec (auto), ","")IF(INDEX('MOA role matrix'!$B$2:$D$13,10,MATCH($B415,'MOA role matrix'!$B$1:$D$1,0))="Fill","Division MOI managers, ","")IF(INDEX('MOA role matrix'!$B$2:$D$13,10,MATCH($B415,'MOA role matrix'!$B$1:$D$1,0))="If finance","Division MOI managers (if finance), ","")IF(INDEX('MOA role matrix'!$B$2:$D$13,10,MATCH($B415,'MOA role matrix'!$B$1:$D$1,0))="Auto","Division MOI managers (auto), ","")IF(INDEX('MOA role matrix'!$B$2:$D$13,11,MATCH($B415,'MOA role matrix'!$B$1:$D$1,0))="Fill","Ms Teh (bank), ","")IF(INDEX('MOA role matrix'!$B$2:$D$13,11,MATCH($B415,'MOA role matrix'!$B$1:$D$1,0))="If finance","Ms Teh (bank) (if finance), ","")IF(INDEX('MOA role matrix'!$B$2:$D$13,11,MATCH($B415,'MOA role matrix'!$B$1:$D$1,0))="Auto","Ms Teh (bank) (auto), ","")IF(INDEX('MOA role matrix'!$B$2:$D$13,12,MATCH($B415,'MOA role matrix'!$B$1:$D$1,0))="Fill","DLCM, ","")IF(INDEX('MOA role matrix'!$B$2:$D$13,12,MATCH($B415,'MOA role matrix'!$B$1:$D$1,0))="If finance","DLCM (if finance), ","")IF(INDEX('MOA role matrix'!$B$2:$D$13,12,MATCH($B415,'MOA role matrix'!$B$1:$D$1,0))="Auto","DLCM (auto), ","")))</f>
        <v/>
      </c>
      <c r="D415" s="5">
        <f>IF($A415="","",IFERROR(INDEX(FILTER('Client contacts'!$B$2:$B$500,('Client contacts'!$A$2:$A$500=$A415)*('Client contacts'!$H$2:$H$500="Y"),""),1),""))</f>
        <v/>
      </c>
      <c r="E415" s="5">
        <f>IF($A415="","",IFERROR(INDEX(FILTER('Client contacts'!$C$2:$C$500,('Client contacts'!$A$2:$A$500=$A415)*('Client contacts'!$H$2:$H$500="Y"),""),1),""))</f>
        <v/>
      </c>
      <c r="F415" s="5">
        <f>IF($A415="","",IFERROR(INDEX(FILTER('Client contacts'!$B$2:$B$500,('Client contacts'!$A$2:$A$500=$A415)*('Client contacts'!$G$2:$G$500="Y"),""),1),""))</f>
        <v/>
      </c>
      <c r="G415" s="5">
        <f>IF($A415="","",IFERROR(INDEX(FILTER('Client contacts'!$C$2:$C$500,('Client contacts'!$A$2:$A$500=$A415)*('Client contacts'!$G$2:$G$500="Y"),""),1),""))</f>
        <v/>
      </c>
      <c r="H415" s="5">
        <f>IF($A415="","",IFERROR(INDEX(FILTER('Client contacts'!$B$2:$B$500,('Client contacts'!$A$2:$A$500=$A415)*('Client contacts'!$G$2:$G$500="Y"),""),2),""))</f>
        <v/>
      </c>
      <c r="I415" s="5">
        <f>IF($A415="","",IFERROR(INDEX(FILTER('Client contacts'!$C$2:$C$500,('Client contacts'!$A$2:$A$500=$A415)*('Client contacts'!$G$2:$G$500="Y"),""),2),""))</f>
        <v/>
      </c>
      <c r="J415" s="8" t="n"/>
      <c r="K415" s="8" t="n"/>
      <c r="L415" s="8" t="n"/>
      <c r="M415" s="8" t="n"/>
      <c r="N415" s="8" t="n"/>
      <c r="O415" s="8" t="n"/>
      <c r="P415" s="8" t="n"/>
      <c r="Q415" s="8" t="n"/>
      <c r="R415" s="5">
        <f>IF($A415="","",IFERROR(INDEX(Companies!$I$2:$I$500,MATCH($A415,Companies!$A$2:$A$500,0)),""))</f>
        <v/>
      </c>
      <c r="S415" s="8" t="n"/>
      <c r="T415" s="8" t="n"/>
      <c r="U415" s="8" t="n"/>
      <c r="V415" s="8" t="n"/>
      <c r="W415" s="8" t="n"/>
    </row>
    <row r="416">
      <c r="C416" s="5">
        <f>IF($B416="","",TRIM(IF(INDEX('MOA role matrix'!$B$2:$D$13,1,MATCH($B416,'MOA role matrix'!$B$1:$D$1,0))="Fill","Project initiator, ","")IF(INDEX('MOA role matrix'!$B$2:$D$13,1,MATCH($B416,'MOA role matrix'!$B$1:$D$1,0))="If finance","Project initiator (if finance), ","")IF(INDEX('MOA role matrix'!$B$2:$D$13,1,MATCH($B416,'MOA role matrix'!$B$1:$D$1,0))="Auto","Project initiator (auto), ","")IF(INDEX('MOA role matrix'!$B$2:$D$13,2,MATCH($B416,'MOA role matrix'!$B$1:$D$1,0))="Fill","MOA signers (client), ","")IF(INDEX('MOA role matrix'!$B$2:$D$13,2,MATCH($B416,'MOA role matrix'!$B$1:$D$1,0))="If finance","MOA signers (client) (if finance), ","")IF(INDEX('MOA role matrix'!$B$2:$D$13,2,MATCH($B416,'MOA role matrix'!$B$1:$D$1,0))="Auto","MOA signers (client) (auto), ","")IF(INDEX('MOA role matrix'!$B$2:$D$13,3,MATCH($B416,'MOA role matrix'!$B$1:$D$1,0))="Fill","CFO / Head of Finance, ","")IF(INDEX('MOA role matrix'!$B$2:$D$13,3,MATCH($B416,'MOA role matrix'!$B$1:$D$1,0))="If finance","CFO / Head of Finance (if finance), ","")IF(INDEX('MOA role matrix'!$B$2:$D$13,3,MATCH($B416,'MOA role matrix'!$B$1:$D$1,0))="Auto","CFO / Head of Finance (auto), ","")IF(INDEX('MOA role matrix'!$B$2:$D$13,4,MATCH($B416,'MOA role matrix'!$B$1:$D$1,0))="Fill","CEO / COO / GM, ","")IF(INDEX('MOA role matrix'!$B$2:$D$13,4,MATCH($B416,'MOA role matrix'!$B$1:$D$1,0))="If finance","CEO / COO / GM (if finance), ","")IF(INDEX('MOA role matrix'!$B$2:$D$13,4,MATCH($B416,'MOA role matrix'!$B$1:$D$1,0))="Auto","CEO / COO / GM (auto), ","")IF(INDEX('MOA role matrix'!$B$2:$D$13,5,MATCH($B416,'MOA role matrix'!$B$1:$D$1,0))="Fill","Board member 1, ","")IF(INDEX('MOA role matrix'!$B$2:$D$13,5,MATCH($B416,'MOA role matrix'!$B$1:$D$1,0))="If finance","Board member 1 (if finance), ","")IF(INDEX('MOA role matrix'!$B$2:$D$13,5,MATCH($B416,'MOA role matrix'!$B$1:$D$1,0))="Auto","Board member 1 (auto), ","")IF(INDEX('MOA role matrix'!$B$2:$D$13,6,MATCH($B416,'MOA role matrix'!$B$1:$D$1,0))="Fill","Board member 2, ","")IF(INDEX('MOA role matrix'!$B$2:$D$13,6,MATCH($B416,'MOA role matrix'!$B$1:$D$1,0))="If finance","Board member 2 (if finance), ","")IF(INDEX('MOA role matrix'!$B$2:$D$13,6,MATCH($B416,'MOA role matrix'!$B$1:$D$1,0))="Auto","Board member 2 (auto), ","")IF(INDEX('MOA role matrix'!$B$2:$D$13,7,MATCH($B416,'MOA role matrix'!$B$1:$D$1,0))="Fill","LOA holder 1, ","")IF(INDEX('MOA role matrix'!$B$2:$D$13,7,MATCH($B416,'MOA role matrix'!$B$1:$D$1,0))="If finance","LOA holder 1 (if finance), ","")IF(INDEX('MOA role matrix'!$B$2:$D$13,7,MATCH($B416,'MOA role matrix'!$B$1:$D$1,0))="Auto","LOA holder 1 (auto), ","")IF(INDEX('MOA role matrix'!$B$2:$D$13,8,MATCH($B416,'MOA role matrix'!$B$1:$D$1,0))="Fill","LOA holder 2, ","")IF(INDEX('MOA role matrix'!$B$2:$D$13,8,MATCH($B416,'MOA role matrix'!$B$1:$D$1,0))="If finance","LOA holder 2 (if finance), ","")IF(INDEX('MOA role matrix'!$B$2:$D$13,8,MATCH($B416,'MOA role matrix'!$B$1:$D$1,0))="Auto","LOA holder 2 (auto), ","")IF(INDEX('MOA role matrix'!$B$2:$D$13,9,MATCH($B416,'MOA role matrix'!$B$1:$D$1,0))="Fill","Senior Manager CoSec, ","")IF(INDEX('MOA role matrix'!$B$2:$D$13,9,MATCH($B416,'MOA role matrix'!$B$1:$D$1,0))="If finance","Senior Manager CoSec (if finance), ","")IF(INDEX('MOA role matrix'!$B$2:$D$13,9,MATCH($B416,'MOA role matrix'!$B$1:$D$1,0))="Auto","Senior Manager CoSec (auto), ","")IF(INDEX('MOA role matrix'!$B$2:$D$13,10,MATCH($B416,'MOA role matrix'!$B$1:$D$1,0))="Fill","Division MOI managers, ","")IF(INDEX('MOA role matrix'!$B$2:$D$13,10,MATCH($B416,'MOA role matrix'!$B$1:$D$1,0))="If finance","Division MOI managers (if finance), ","")IF(INDEX('MOA role matrix'!$B$2:$D$13,10,MATCH($B416,'MOA role matrix'!$B$1:$D$1,0))="Auto","Division MOI managers (auto), ","")IF(INDEX('MOA role matrix'!$B$2:$D$13,11,MATCH($B416,'MOA role matrix'!$B$1:$D$1,0))="Fill","Ms Teh (bank), ","")IF(INDEX('MOA role matrix'!$B$2:$D$13,11,MATCH($B416,'MOA role matrix'!$B$1:$D$1,0))="If finance","Ms Teh (bank) (if finance), ","")IF(INDEX('MOA role matrix'!$B$2:$D$13,11,MATCH($B416,'MOA role matrix'!$B$1:$D$1,0))="Auto","Ms Teh (bank) (auto), ","")IF(INDEX('MOA role matrix'!$B$2:$D$13,12,MATCH($B416,'MOA role matrix'!$B$1:$D$1,0))="Fill","DLCM, ","")IF(INDEX('MOA role matrix'!$B$2:$D$13,12,MATCH($B416,'MOA role matrix'!$B$1:$D$1,0))="If finance","DLCM (if finance), ","")IF(INDEX('MOA role matrix'!$B$2:$D$13,12,MATCH($B416,'MOA role matrix'!$B$1:$D$1,0))="Auto","DLCM (auto), ","")))</f>
        <v/>
      </c>
      <c r="D416" s="5">
        <f>IF($A416="","",IFERROR(INDEX(FILTER('Client contacts'!$B$2:$B$500,('Client contacts'!$A$2:$A$500=$A416)*('Client contacts'!$H$2:$H$500="Y"),""),1),""))</f>
        <v/>
      </c>
      <c r="E416" s="5">
        <f>IF($A416="","",IFERROR(INDEX(FILTER('Client contacts'!$C$2:$C$500,('Client contacts'!$A$2:$A$500=$A416)*('Client contacts'!$H$2:$H$500="Y"),""),1),""))</f>
        <v/>
      </c>
      <c r="F416" s="5">
        <f>IF($A416="","",IFERROR(INDEX(FILTER('Client contacts'!$B$2:$B$500,('Client contacts'!$A$2:$A$500=$A416)*('Client contacts'!$G$2:$G$500="Y"),""),1),""))</f>
        <v/>
      </c>
      <c r="G416" s="5">
        <f>IF($A416="","",IFERROR(INDEX(FILTER('Client contacts'!$C$2:$C$500,('Client contacts'!$A$2:$A$500=$A416)*('Client contacts'!$G$2:$G$500="Y"),""),1),""))</f>
        <v/>
      </c>
      <c r="H416" s="5">
        <f>IF($A416="","",IFERROR(INDEX(FILTER('Client contacts'!$B$2:$B$500,('Client contacts'!$A$2:$A$500=$A416)*('Client contacts'!$G$2:$G$500="Y"),""),2),""))</f>
        <v/>
      </c>
      <c r="I416" s="5">
        <f>IF($A416="","",IFERROR(INDEX(FILTER('Client contacts'!$C$2:$C$500,('Client contacts'!$A$2:$A$500=$A416)*('Client contacts'!$G$2:$G$500="Y"),""),2),""))</f>
        <v/>
      </c>
      <c r="J416" s="8" t="n"/>
      <c r="K416" s="8" t="n"/>
      <c r="L416" s="8" t="n"/>
      <c r="M416" s="8" t="n"/>
      <c r="N416" s="8" t="n"/>
      <c r="O416" s="8" t="n"/>
      <c r="P416" s="8" t="n"/>
      <c r="Q416" s="8" t="n"/>
      <c r="R416" s="5">
        <f>IF($A416="","",IFERROR(INDEX(Companies!$I$2:$I$500,MATCH($A416,Companies!$A$2:$A$500,0)),""))</f>
        <v/>
      </c>
      <c r="S416" s="8" t="n"/>
      <c r="T416" s="8" t="n"/>
      <c r="U416" s="8" t="n"/>
      <c r="V416" s="8" t="n"/>
      <c r="W416" s="8" t="n"/>
    </row>
    <row r="417">
      <c r="C417" s="5">
        <f>IF($B417="","",TRIM(IF(INDEX('MOA role matrix'!$B$2:$D$13,1,MATCH($B417,'MOA role matrix'!$B$1:$D$1,0))="Fill","Project initiator, ","")IF(INDEX('MOA role matrix'!$B$2:$D$13,1,MATCH($B417,'MOA role matrix'!$B$1:$D$1,0))="If finance","Project initiator (if finance), ","")IF(INDEX('MOA role matrix'!$B$2:$D$13,1,MATCH($B417,'MOA role matrix'!$B$1:$D$1,0))="Auto","Project initiator (auto), ","")IF(INDEX('MOA role matrix'!$B$2:$D$13,2,MATCH($B417,'MOA role matrix'!$B$1:$D$1,0))="Fill","MOA signers (client), ","")IF(INDEX('MOA role matrix'!$B$2:$D$13,2,MATCH($B417,'MOA role matrix'!$B$1:$D$1,0))="If finance","MOA signers (client) (if finance), ","")IF(INDEX('MOA role matrix'!$B$2:$D$13,2,MATCH($B417,'MOA role matrix'!$B$1:$D$1,0))="Auto","MOA signers (client) (auto), ","")IF(INDEX('MOA role matrix'!$B$2:$D$13,3,MATCH($B417,'MOA role matrix'!$B$1:$D$1,0))="Fill","CFO / Head of Finance, ","")IF(INDEX('MOA role matrix'!$B$2:$D$13,3,MATCH($B417,'MOA role matrix'!$B$1:$D$1,0))="If finance","CFO / Head of Finance (if finance), ","")IF(INDEX('MOA role matrix'!$B$2:$D$13,3,MATCH($B417,'MOA role matrix'!$B$1:$D$1,0))="Auto","CFO / Head of Finance (auto), ","")IF(INDEX('MOA role matrix'!$B$2:$D$13,4,MATCH($B417,'MOA role matrix'!$B$1:$D$1,0))="Fill","CEO / COO / GM, ","")IF(INDEX('MOA role matrix'!$B$2:$D$13,4,MATCH($B417,'MOA role matrix'!$B$1:$D$1,0))="If finance","CEO / COO / GM (if finance), ","")IF(INDEX('MOA role matrix'!$B$2:$D$13,4,MATCH($B417,'MOA role matrix'!$B$1:$D$1,0))="Auto","CEO / COO / GM (auto), ","")IF(INDEX('MOA role matrix'!$B$2:$D$13,5,MATCH($B417,'MOA role matrix'!$B$1:$D$1,0))="Fill","Board member 1, ","")IF(INDEX('MOA role matrix'!$B$2:$D$13,5,MATCH($B417,'MOA role matrix'!$B$1:$D$1,0))="If finance","Board member 1 (if finance), ","")IF(INDEX('MOA role matrix'!$B$2:$D$13,5,MATCH($B417,'MOA role matrix'!$B$1:$D$1,0))="Auto","Board member 1 (auto), ","")IF(INDEX('MOA role matrix'!$B$2:$D$13,6,MATCH($B417,'MOA role matrix'!$B$1:$D$1,0))="Fill","Board member 2, ","")IF(INDEX('MOA role matrix'!$B$2:$D$13,6,MATCH($B417,'MOA role matrix'!$B$1:$D$1,0))="If finance","Board member 2 (if finance), ","")IF(INDEX('MOA role matrix'!$B$2:$D$13,6,MATCH($B417,'MOA role matrix'!$B$1:$D$1,0))="Auto","Board member 2 (auto), ","")IF(INDEX('MOA role matrix'!$B$2:$D$13,7,MATCH($B417,'MOA role matrix'!$B$1:$D$1,0))="Fill","LOA holder 1, ","")IF(INDEX('MOA role matrix'!$B$2:$D$13,7,MATCH($B417,'MOA role matrix'!$B$1:$D$1,0))="If finance","LOA holder 1 (if finance), ","")IF(INDEX('MOA role matrix'!$B$2:$D$13,7,MATCH($B417,'MOA role matrix'!$B$1:$D$1,0))="Auto","LOA holder 1 (auto), ","")IF(INDEX('MOA role matrix'!$B$2:$D$13,8,MATCH($B417,'MOA role matrix'!$B$1:$D$1,0))="Fill","LOA holder 2, ","")IF(INDEX('MOA role matrix'!$B$2:$D$13,8,MATCH($B417,'MOA role matrix'!$B$1:$D$1,0))="If finance","LOA holder 2 (if finance), ","")IF(INDEX('MOA role matrix'!$B$2:$D$13,8,MATCH($B417,'MOA role matrix'!$B$1:$D$1,0))="Auto","LOA holder 2 (auto), ","")IF(INDEX('MOA role matrix'!$B$2:$D$13,9,MATCH($B417,'MOA role matrix'!$B$1:$D$1,0))="Fill","Senior Manager CoSec, ","")IF(INDEX('MOA role matrix'!$B$2:$D$13,9,MATCH($B417,'MOA role matrix'!$B$1:$D$1,0))="If finance","Senior Manager CoSec (if finance), ","")IF(INDEX('MOA role matrix'!$B$2:$D$13,9,MATCH($B417,'MOA role matrix'!$B$1:$D$1,0))="Auto","Senior Manager CoSec (auto), ","")IF(INDEX('MOA role matrix'!$B$2:$D$13,10,MATCH($B417,'MOA role matrix'!$B$1:$D$1,0))="Fill","Division MOI managers, ","")IF(INDEX('MOA role matrix'!$B$2:$D$13,10,MATCH($B417,'MOA role matrix'!$B$1:$D$1,0))="If finance","Division MOI managers (if finance), ","")IF(INDEX('MOA role matrix'!$B$2:$D$13,10,MATCH($B417,'MOA role matrix'!$B$1:$D$1,0))="Auto","Division MOI managers (auto), ","")IF(INDEX('MOA role matrix'!$B$2:$D$13,11,MATCH($B417,'MOA role matrix'!$B$1:$D$1,0))="Fill","Ms Teh (bank), ","")IF(INDEX('MOA role matrix'!$B$2:$D$13,11,MATCH($B417,'MOA role matrix'!$B$1:$D$1,0))="If finance","Ms Teh (bank) (if finance), ","")IF(INDEX('MOA role matrix'!$B$2:$D$13,11,MATCH($B417,'MOA role matrix'!$B$1:$D$1,0))="Auto","Ms Teh (bank) (auto), ","")IF(INDEX('MOA role matrix'!$B$2:$D$13,12,MATCH($B417,'MOA role matrix'!$B$1:$D$1,0))="Fill","DLCM, ","")IF(INDEX('MOA role matrix'!$B$2:$D$13,12,MATCH($B417,'MOA role matrix'!$B$1:$D$1,0))="If finance","DLCM (if finance), ","")IF(INDEX('MOA role matrix'!$B$2:$D$13,12,MATCH($B417,'MOA role matrix'!$B$1:$D$1,0))="Auto","DLCM (auto), ","")))</f>
        <v/>
      </c>
      <c r="D417" s="5">
        <f>IF($A417="","",IFERROR(INDEX(FILTER('Client contacts'!$B$2:$B$500,('Client contacts'!$A$2:$A$500=$A417)*('Client contacts'!$H$2:$H$500="Y"),""),1),""))</f>
        <v/>
      </c>
      <c r="E417" s="5">
        <f>IF($A417="","",IFERROR(INDEX(FILTER('Client contacts'!$C$2:$C$500,('Client contacts'!$A$2:$A$500=$A417)*('Client contacts'!$H$2:$H$500="Y"),""),1),""))</f>
        <v/>
      </c>
      <c r="F417" s="5">
        <f>IF($A417="","",IFERROR(INDEX(FILTER('Client contacts'!$B$2:$B$500,('Client contacts'!$A$2:$A$500=$A417)*('Client contacts'!$G$2:$G$500="Y"),""),1),""))</f>
        <v/>
      </c>
      <c r="G417" s="5">
        <f>IF($A417="","",IFERROR(INDEX(FILTER('Client contacts'!$C$2:$C$500,('Client contacts'!$A$2:$A$500=$A417)*('Client contacts'!$G$2:$G$500="Y"),""),1),""))</f>
        <v/>
      </c>
      <c r="H417" s="5">
        <f>IF($A417="","",IFERROR(INDEX(FILTER('Client contacts'!$B$2:$B$500,('Client contacts'!$A$2:$A$500=$A417)*('Client contacts'!$G$2:$G$500="Y"),""),2),""))</f>
        <v/>
      </c>
      <c r="I417" s="5">
        <f>IF($A417="","",IFERROR(INDEX(FILTER('Client contacts'!$C$2:$C$500,('Client contacts'!$A$2:$A$500=$A417)*('Client contacts'!$G$2:$G$500="Y"),""),2),""))</f>
        <v/>
      </c>
      <c r="J417" s="8" t="n"/>
      <c r="K417" s="8" t="n"/>
      <c r="L417" s="8" t="n"/>
      <c r="M417" s="8" t="n"/>
      <c r="N417" s="8" t="n"/>
      <c r="O417" s="8" t="n"/>
      <c r="P417" s="8" t="n"/>
      <c r="Q417" s="8" t="n"/>
      <c r="R417" s="5">
        <f>IF($A417="","",IFERROR(INDEX(Companies!$I$2:$I$500,MATCH($A417,Companies!$A$2:$A$500,0)),""))</f>
        <v/>
      </c>
      <c r="S417" s="8" t="n"/>
      <c r="T417" s="8" t="n"/>
      <c r="U417" s="8" t="n"/>
      <c r="V417" s="8" t="n"/>
      <c r="W417" s="8" t="n"/>
    </row>
    <row r="418">
      <c r="C418" s="5">
        <f>IF($B418="","",TRIM(IF(INDEX('MOA role matrix'!$B$2:$D$13,1,MATCH($B418,'MOA role matrix'!$B$1:$D$1,0))="Fill","Project initiator, ","")IF(INDEX('MOA role matrix'!$B$2:$D$13,1,MATCH($B418,'MOA role matrix'!$B$1:$D$1,0))="If finance","Project initiator (if finance), ","")IF(INDEX('MOA role matrix'!$B$2:$D$13,1,MATCH($B418,'MOA role matrix'!$B$1:$D$1,0))="Auto","Project initiator (auto), ","")IF(INDEX('MOA role matrix'!$B$2:$D$13,2,MATCH($B418,'MOA role matrix'!$B$1:$D$1,0))="Fill","MOA signers (client), ","")IF(INDEX('MOA role matrix'!$B$2:$D$13,2,MATCH($B418,'MOA role matrix'!$B$1:$D$1,0))="If finance","MOA signers (client) (if finance), ","")IF(INDEX('MOA role matrix'!$B$2:$D$13,2,MATCH($B418,'MOA role matrix'!$B$1:$D$1,0))="Auto","MOA signers (client) (auto), ","")IF(INDEX('MOA role matrix'!$B$2:$D$13,3,MATCH($B418,'MOA role matrix'!$B$1:$D$1,0))="Fill","CFO / Head of Finance, ","")IF(INDEX('MOA role matrix'!$B$2:$D$13,3,MATCH($B418,'MOA role matrix'!$B$1:$D$1,0))="If finance","CFO / Head of Finance (if finance), ","")IF(INDEX('MOA role matrix'!$B$2:$D$13,3,MATCH($B418,'MOA role matrix'!$B$1:$D$1,0))="Auto","CFO / Head of Finance (auto), ","")IF(INDEX('MOA role matrix'!$B$2:$D$13,4,MATCH($B418,'MOA role matrix'!$B$1:$D$1,0))="Fill","CEO / COO / GM, ","")IF(INDEX('MOA role matrix'!$B$2:$D$13,4,MATCH($B418,'MOA role matrix'!$B$1:$D$1,0))="If finance","CEO / COO / GM (if finance), ","")IF(INDEX('MOA role matrix'!$B$2:$D$13,4,MATCH($B418,'MOA role matrix'!$B$1:$D$1,0))="Auto","CEO / COO / GM (auto), ","")IF(INDEX('MOA role matrix'!$B$2:$D$13,5,MATCH($B418,'MOA role matrix'!$B$1:$D$1,0))="Fill","Board member 1, ","")IF(INDEX('MOA role matrix'!$B$2:$D$13,5,MATCH($B418,'MOA role matrix'!$B$1:$D$1,0))="If finance","Board member 1 (if finance), ","")IF(INDEX('MOA role matrix'!$B$2:$D$13,5,MATCH($B418,'MOA role matrix'!$B$1:$D$1,0))="Auto","Board member 1 (auto), ","")IF(INDEX('MOA role matrix'!$B$2:$D$13,6,MATCH($B418,'MOA role matrix'!$B$1:$D$1,0))="Fill","Board member 2, ","")IF(INDEX('MOA role matrix'!$B$2:$D$13,6,MATCH($B418,'MOA role matrix'!$B$1:$D$1,0))="If finance","Board member 2 (if finance), ","")IF(INDEX('MOA role matrix'!$B$2:$D$13,6,MATCH($B418,'MOA role matrix'!$B$1:$D$1,0))="Auto","Board member 2 (auto), ","")IF(INDEX('MOA role matrix'!$B$2:$D$13,7,MATCH($B418,'MOA role matrix'!$B$1:$D$1,0))="Fill","LOA holder 1, ","")IF(INDEX('MOA role matrix'!$B$2:$D$13,7,MATCH($B418,'MOA role matrix'!$B$1:$D$1,0))="If finance","LOA holder 1 (if finance), ","")IF(INDEX('MOA role matrix'!$B$2:$D$13,7,MATCH($B418,'MOA role matrix'!$B$1:$D$1,0))="Auto","LOA holder 1 (auto), ","")IF(INDEX('MOA role matrix'!$B$2:$D$13,8,MATCH($B418,'MOA role matrix'!$B$1:$D$1,0))="Fill","LOA holder 2, ","")IF(INDEX('MOA role matrix'!$B$2:$D$13,8,MATCH($B418,'MOA role matrix'!$B$1:$D$1,0))="If finance","LOA holder 2 (if finance), ","")IF(INDEX('MOA role matrix'!$B$2:$D$13,8,MATCH($B418,'MOA role matrix'!$B$1:$D$1,0))="Auto","LOA holder 2 (auto), ","")IF(INDEX('MOA role matrix'!$B$2:$D$13,9,MATCH($B418,'MOA role matrix'!$B$1:$D$1,0))="Fill","Senior Manager CoSec, ","")IF(INDEX('MOA role matrix'!$B$2:$D$13,9,MATCH($B418,'MOA role matrix'!$B$1:$D$1,0))="If finance","Senior Manager CoSec (if finance), ","")IF(INDEX('MOA role matrix'!$B$2:$D$13,9,MATCH($B418,'MOA role matrix'!$B$1:$D$1,0))="Auto","Senior Manager CoSec (auto), ","")IF(INDEX('MOA role matrix'!$B$2:$D$13,10,MATCH($B418,'MOA role matrix'!$B$1:$D$1,0))="Fill","Division MOI managers, ","")IF(INDEX('MOA role matrix'!$B$2:$D$13,10,MATCH($B418,'MOA role matrix'!$B$1:$D$1,0))="If finance","Division MOI managers (if finance), ","")IF(INDEX('MOA role matrix'!$B$2:$D$13,10,MATCH($B418,'MOA role matrix'!$B$1:$D$1,0))="Auto","Division MOI managers (auto), ","")IF(INDEX('MOA role matrix'!$B$2:$D$13,11,MATCH($B418,'MOA role matrix'!$B$1:$D$1,0))="Fill","Ms Teh (bank), ","")IF(INDEX('MOA role matrix'!$B$2:$D$13,11,MATCH($B418,'MOA role matrix'!$B$1:$D$1,0))="If finance","Ms Teh (bank) (if finance), ","")IF(INDEX('MOA role matrix'!$B$2:$D$13,11,MATCH($B418,'MOA role matrix'!$B$1:$D$1,0))="Auto","Ms Teh (bank) (auto), ","")IF(INDEX('MOA role matrix'!$B$2:$D$13,12,MATCH($B418,'MOA role matrix'!$B$1:$D$1,0))="Fill","DLCM, ","")IF(INDEX('MOA role matrix'!$B$2:$D$13,12,MATCH($B418,'MOA role matrix'!$B$1:$D$1,0))="If finance","DLCM (if finance), ","")IF(INDEX('MOA role matrix'!$B$2:$D$13,12,MATCH($B418,'MOA role matrix'!$B$1:$D$1,0))="Auto","DLCM (auto), ","")))</f>
        <v/>
      </c>
      <c r="D418" s="5">
        <f>IF($A418="","",IFERROR(INDEX(FILTER('Client contacts'!$B$2:$B$500,('Client contacts'!$A$2:$A$500=$A418)*('Client contacts'!$H$2:$H$500="Y"),""),1),""))</f>
        <v/>
      </c>
      <c r="E418" s="5">
        <f>IF($A418="","",IFERROR(INDEX(FILTER('Client contacts'!$C$2:$C$500,('Client contacts'!$A$2:$A$500=$A418)*('Client contacts'!$H$2:$H$500="Y"),""),1),""))</f>
        <v/>
      </c>
      <c r="F418" s="5">
        <f>IF($A418="","",IFERROR(INDEX(FILTER('Client contacts'!$B$2:$B$500,('Client contacts'!$A$2:$A$500=$A418)*('Client contacts'!$G$2:$G$500="Y"),""),1),""))</f>
        <v/>
      </c>
      <c r="G418" s="5">
        <f>IF($A418="","",IFERROR(INDEX(FILTER('Client contacts'!$C$2:$C$500,('Client contacts'!$A$2:$A$500=$A418)*('Client contacts'!$G$2:$G$500="Y"),""),1),""))</f>
        <v/>
      </c>
      <c r="H418" s="5">
        <f>IF($A418="","",IFERROR(INDEX(FILTER('Client contacts'!$B$2:$B$500,('Client contacts'!$A$2:$A$500=$A418)*('Client contacts'!$G$2:$G$500="Y"),""),2),""))</f>
        <v/>
      </c>
      <c r="I418" s="5">
        <f>IF($A418="","",IFERROR(INDEX(FILTER('Client contacts'!$C$2:$C$500,('Client contacts'!$A$2:$A$500=$A418)*('Client contacts'!$G$2:$G$500="Y"),""),2),""))</f>
        <v/>
      </c>
      <c r="J418" s="8" t="n"/>
      <c r="K418" s="8" t="n"/>
      <c r="L418" s="8" t="n"/>
      <c r="M418" s="8" t="n"/>
      <c r="N418" s="8" t="n"/>
      <c r="O418" s="8" t="n"/>
      <c r="P418" s="8" t="n"/>
      <c r="Q418" s="8" t="n"/>
      <c r="R418" s="5">
        <f>IF($A418="","",IFERROR(INDEX(Companies!$I$2:$I$500,MATCH($A418,Companies!$A$2:$A$500,0)),""))</f>
        <v/>
      </c>
      <c r="S418" s="8" t="n"/>
      <c r="T418" s="8" t="n"/>
      <c r="U418" s="8" t="n"/>
      <c r="V418" s="8" t="n"/>
      <c r="W418" s="8" t="n"/>
    </row>
    <row r="419">
      <c r="C419" s="5">
        <f>IF($B419="","",TRIM(IF(INDEX('MOA role matrix'!$B$2:$D$13,1,MATCH($B419,'MOA role matrix'!$B$1:$D$1,0))="Fill","Project initiator, ","")IF(INDEX('MOA role matrix'!$B$2:$D$13,1,MATCH($B419,'MOA role matrix'!$B$1:$D$1,0))="If finance","Project initiator (if finance), ","")IF(INDEX('MOA role matrix'!$B$2:$D$13,1,MATCH($B419,'MOA role matrix'!$B$1:$D$1,0))="Auto","Project initiator (auto), ","")IF(INDEX('MOA role matrix'!$B$2:$D$13,2,MATCH($B419,'MOA role matrix'!$B$1:$D$1,0))="Fill","MOA signers (client), ","")IF(INDEX('MOA role matrix'!$B$2:$D$13,2,MATCH($B419,'MOA role matrix'!$B$1:$D$1,0))="If finance","MOA signers (client) (if finance), ","")IF(INDEX('MOA role matrix'!$B$2:$D$13,2,MATCH($B419,'MOA role matrix'!$B$1:$D$1,0))="Auto","MOA signers (client) (auto), ","")IF(INDEX('MOA role matrix'!$B$2:$D$13,3,MATCH($B419,'MOA role matrix'!$B$1:$D$1,0))="Fill","CFO / Head of Finance, ","")IF(INDEX('MOA role matrix'!$B$2:$D$13,3,MATCH($B419,'MOA role matrix'!$B$1:$D$1,0))="If finance","CFO / Head of Finance (if finance), ","")IF(INDEX('MOA role matrix'!$B$2:$D$13,3,MATCH($B419,'MOA role matrix'!$B$1:$D$1,0))="Auto","CFO / Head of Finance (auto), ","")IF(INDEX('MOA role matrix'!$B$2:$D$13,4,MATCH($B419,'MOA role matrix'!$B$1:$D$1,0))="Fill","CEO / COO / GM, ","")IF(INDEX('MOA role matrix'!$B$2:$D$13,4,MATCH($B419,'MOA role matrix'!$B$1:$D$1,0))="If finance","CEO / COO / GM (if finance), ","")IF(INDEX('MOA role matrix'!$B$2:$D$13,4,MATCH($B419,'MOA role matrix'!$B$1:$D$1,0))="Auto","CEO / COO / GM (auto), ","")IF(INDEX('MOA role matrix'!$B$2:$D$13,5,MATCH($B419,'MOA role matrix'!$B$1:$D$1,0))="Fill","Board member 1, ","")IF(INDEX('MOA role matrix'!$B$2:$D$13,5,MATCH($B419,'MOA role matrix'!$B$1:$D$1,0))="If finance","Board member 1 (if finance), ","")IF(INDEX('MOA role matrix'!$B$2:$D$13,5,MATCH($B419,'MOA role matrix'!$B$1:$D$1,0))="Auto","Board member 1 (auto), ","")IF(INDEX('MOA role matrix'!$B$2:$D$13,6,MATCH($B419,'MOA role matrix'!$B$1:$D$1,0))="Fill","Board member 2, ","")IF(INDEX('MOA role matrix'!$B$2:$D$13,6,MATCH($B419,'MOA role matrix'!$B$1:$D$1,0))="If finance","Board member 2 (if finance), ","")IF(INDEX('MOA role matrix'!$B$2:$D$13,6,MATCH($B419,'MOA role matrix'!$B$1:$D$1,0))="Auto","Board member 2 (auto), ","")IF(INDEX('MOA role matrix'!$B$2:$D$13,7,MATCH($B419,'MOA role matrix'!$B$1:$D$1,0))="Fill","LOA holder 1, ","")IF(INDEX('MOA role matrix'!$B$2:$D$13,7,MATCH($B419,'MOA role matrix'!$B$1:$D$1,0))="If finance","LOA holder 1 (if finance), ","")IF(INDEX('MOA role matrix'!$B$2:$D$13,7,MATCH($B419,'MOA role matrix'!$B$1:$D$1,0))="Auto","LOA holder 1 (auto), ","")IF(INDEX('MOA role matrix'!$B$2:$D$13,8,MATCH($B419,'MOA role matrix'!$B$1:$D$1,0))="Fill","LOA holder 2, ","")IF(INDEX('MOA role matrix'!$B$2:$D$13,8,MATCH($B419,'MOA role matrix'!$B$1:$D$1,0))="If finance","LOA holder 2 (if finance), ","")IF(INDEX('MOA role matrix'!$B$2:$D$13,8,MATCH($B419,'MOA role matrix'!$B$1:$D$1,0))="Auto","LOA holder 2 (auto), ","")IF(INDEX('MOA role matrix'!$B$2:$D$13,9,MATCH($B419,'MOA role matrix'!$B$1:$D$1,0))="Fill","Senior Manager CoSec, ","")IF(INDEX('MOA role matrix'!$B$2:$D$13,9,MATCH($B419,'MOA role matrix'!$B$1:$D$1,0))="If finance","Senior Manager CoSec (if finance), ","")IF(INDEX('MOA role matrix'!$B$2:$D$13,9,MATCH($B419,'MOA role matrix'!$B$1:$D$1,0))="Auto","Senior Manager CoSec (auto), ","")IF(INDEX('MOA role matrix'!$B$2:$D$13,10,MATCH($B419,'MOA role matrix'!$B$1:$D$1,0))="Fill","Division MOI managers, ","")IF(INDEX('MOA role matrix'!$B$2:$D$13,10,MATCH($B419,'MOA role matrix'!$B$1:$D$1,0))="If finance","Division MOI managers (if finance), ","")IF(INDEX('MOA role matrix'!$B$2:$D$13,10,MATCH($B419,'MOA role matrix'!$B$1:$D$1,0))="Auto","Division MOI managers (auto), ","")IF(INDEX('MOA role matrix'!$B$2:$D$13,11,MATCH($B419,'MOA role matrix'!$B$1:$D$1,0))="Fill","Ms Teh (bank), ","")IF(INDEX('MOA role matrix'!$B$2:$D$13,11,MATCH($B419,'MOA role matrix'!$B$1:$D$1,0))="If finance","Ms Teh (bank) (if finance), ","")IF(INDEX('MOA role matrix'!$B$2:$D$13,11,MATCH($B419,'MOA role matrix'!$B$1:$D$1,0))="Auto","Ms Teh (bank) (auto), ","")IF(INDEX('MOA role matrix'!$B$2:$D$13,12,MATCH($B419,'MOA role matrix'!$B$1:$D$1,0))="Fill","DLCM, ","")IF(INDEX('MOA role matrix'!$B$2:$D$13,12,MATCH($B419,'MOA role matrix'!$B$1:$D$1,0))="If finance","DLCM (if finance), ","")IF(INDEX('MOA role matrix'!$B$2:$D$13,12,MATCH($B419,'MOA role matrix'!$B$1:$D$1,0))="Auto","DLCM (auto), ","")))</f>
        <v/>
      </c>
      <c r="D419" s="5">
        <f>IF($A419="","",IFERROR(INDEX(FILTER('Client contacts'!$B$2:$B$500,('Client contacts'!$A$2:$A$500=$A419)*('Client contacts'!$H$2:$H$500="Y"),""),1),""))</f>
        <v/>
      </c>
      <c r="E419" s="5">
        <f>IF($A419="","",IFERROR(INDEX(FILTER('Client contacts'!$C$2:$C$500,('Client contacts'!$A$2:$A$500=$A419)*('Client contacts'!$H$2:$H$500="Y"),""),1),""))</f>
        <v/>
      </c>
      <c r="F419" s="5">
        <f>IF($A419="","",IFERROR(INDEX(FILTER('Client contacts'!$B$2:$B$500,('Client contacts'!$A$2:$A$500=$A419)*('Client contacts'!$G$2:$G$500="Y"),""),1),""))</f>
        <v/>
      </c>
      <c r="G419" s="5">
        <f>IF($A419="","",IFERROR(INDEX(FILTER('Client contacts'!$C$2:$C$500,('Client contacts'!$A$2:$A$500=$A419)*('Client contacts'!$G$2:$G$500="Y"),""),1),""))</f>
        <v/>
      </c>
      <c r="H419" s="5">
        <f>IF($A419="","",IFERROR(INDEX(FILTER('Client contacts'!$B$2:$B$500,('Client contacts'!$A$2:$A$500=$A419)*('Client contacts'!$G$2:$G$500="Y"),""),2),""))</f>
        <v/>
      </c>
      <c r="I419" s="5">
        <f>IF($A419="","",IFERROR(INDEX(FILTER('Client contacts'!$C$2:$C$500,('Client contacts'!$A$2:$A$500=$A419)*('Client contacts'!$G$2:$G$500="Y"),""),2),""))</f>
        <v/>
      </c>
      <c r="J419" s="8" t="n"/>
      <c r="K419" s="8" t="n"/>
      <c r="L419" s="8" t="n"/>
      <c r="M419" s="8" t="n"/>
      <c r="N419" s="8" t="n"/>
      <c r="O419" s="8" t="n"/>
      <c r="P419" s="8" t="n"/>
      <c r="Q419" s="8" t="n"/>
      <c r="R419" s="5">
        <f>IF($A419="","",IFERROR(INDEX(Companies!$I$2:$I$500,MATCH($A419,Companies!$A$2:$A$500,0)),""))</f>
        <v/>
      </c>
      <c r="S419" s="8" t="n"/>
      <c r="T419" s="8" t="n"/>
      <c r="U419" s="8" t="n"/>
      <c r="V419" s="8" t="n"/>
      <c r="W419" s="8" t="n"/>
    </row>
    <row r="420">
      <c r="C420" s="5">
        <f>IF($B420="","",TRIM(IF(INDEX('MOA role matrix'!$B$2:$D$13,1,MATCH($B420,'MOA role matrix'!$B$1:$D$1,0))="Fill","Project initiator, ","")IF(INDEX('MOA role matrix'!$B$2:$D$13,1,MATCH($B420,'MOA role matrix'!$B$1:$D$1,0))="If finance","Project initiator (if finance), ","")IF(INDEX('MOA role matrix'!$B$2:$D$13,1,MATCH($B420,'MOA role matrix'!$B$1:$D$1,0))="Auto","Project initiator (auto), ","")IF(INDEX('MOA role matrix'!$B$2:$D$13,2,MATCH($B420,'MOA role matrix'!$B$1:$D$1,0))="Fill","MOA signers (client), ","")IF(INDEX('MOA role matrix'!$B$2:$D$13,2,MATCH($B420,'MOA role matrix'!$B$1:$D$1,0))="If finance","MOA signers (client) (if finance), ","")IF(INDEX('MOA role matrix'!$B$2:$D$13,2,MATCH($B420,'MOA role matrix'!$B$1:$D$1,0))="Auto","MOA signers (client) (auto), ","")IF(INDEX('MOA role matrix'!$B$2:$D$13,3,MATCH($B420,'MOA role matrix'!$B$1:$D$1,0))="Fill","CFO / Head of Finance, ","")IF(INDEX('MOA role matrix'!$B$2:$D$13,3,MATCH($B420,'MOA role matrix'!$B$1:$D$1,0))="If finance","CFO / Head of Finance (if finance), ","")IF(INDEX('MOA role matrix'!$B$2:$D$13,3,MATCH($B420,'MOA role matrix'!$B$1:$D$1,0))="Auto","CFO / Head of Finance (auto), ","")IF(INDEX('MOA role matrix'!$B$2:$D$13,4,MATCH($B420,'MOA role matrix'!$B$1:$D$1,0))="Fill","CEO / COO / GM, ","")IF(INDEX('MOA role matrix'!$B$2:$D$13,4,MATCH($B420,'MOA role matrix'!$B$1:$D$1,0))="If finance","CEO / COO / GM (if finance), ","")IF(INDEX('MOA role matrix'!$B$2:$D$13,4,MATCH($B420,'MOA role matrix'!$B$1:$D$1,0))="Auto","CEO / COO / GM (auto), ","")IF(INDEX('MOA role matrix'!$B$2:$D$13,5,MATCH($B420,'MOA role matrix'!$B$1:$D$1,0))="Fill","Board member 1, ","")IF(INDEX('MOA role matrix'!$B$2:$D$13,5,MATCH($B420,'MOA role matrix'!$B$1:$D$1,0))="If finance","Board member 1 (if finance), ","")IF(INDEX('MOA role matrix'!$B$2:$D$13,5,MATCH($B420,'MOA role matrix'!$B$1:$D$1,0))="Auto","Board member 1 (auto), ","")IF(INDEX('MOA role matrix'!$B$2:$D$13,6,MATCH($B420,'MOA role matrix'!$B$1:$D$1,0))="Fill","Board member 2, ","")IF(INDEX('MOA role matrix'!$B$2:$D$13,6,MATCH($B420,'MOA role matrix'!$B$1:$D$1,0))="If finance","Board member 2 (if finance), ","")IF(INDEX('MOA role matrix'!$B$2:$D$13,6,MATCH($B420,'MOA role matrix'!$B$1:$D$1,0))="Auto","Board member 2 (auto), ","")IF(INDEX('MOA role matrix'!$B$2:$D$13,7,MATCH($B420,'MOA role matrix'!$B$1:$D$1,0))="Fill","LOA holder 1, ","")IF(INDEX('MOA role matrix'!$B$2:$D$13,7,MATCH($B420,'MOA role matrix'!$B$1:$D$1,0))="If finance","LOA holder 1 (if finance), ","")IF(INDEX('MOA role matrix'!$B$2:$D$13,7,MATCH($B420,'MOA role matrix'!$B$1:$D$1,0))="Auto","LOA holder 1 (auto), ","")IF(INDEX('MOA role matrix'!$B$2:$D$13,8,MATCH($B420,'MOA role matrix'!$B$1:$D$1,0))="Fill","LOA holder 2, ","")IF(INDEX('MOA role matrix'!$B$2:$D$13,8,MATCH($B420,'MOA role matrix'!$B$1:$D$1,0))="If finance","LOA holder 2 (if finance), ","")IF(INDEX('MOA role matrix'!$B$2:$D$13,8,MATCH($B420,'MOA role matrix'!$B$1:$D$1,0))="Auto","LOA holder 2 (auto), ","")IF(INDEX('MOA role matrix'!$B$2:$D$13,9,MATCH($B420,'MOA role matrix'!$B$1:$D$1,0))="Fill","Senior Manager CoSec, ","")IF(INDEX('MOA role matrix'!$B$2:$D$13,9,MATCH($B420,'MOA role matrix'!$B$1:$D$1,0))="If finance","Senior Manager CoSec (if finance), ","")IF(INDEX('MOA role matrix'!$B$2:$D$13,9,MATCH($B420,'MOA role matrix'!$B$1:$D$1,0))="Auto","Senior Manager CoSec (auto), ","")IF(INDEX('MOA role matrix'!$B$2:$D$13,10,MATCH($B420,'MOA role matrix'!$B$1:$D$1,0))="Fill","Division MOI managers, ","")IF(INDEX('MOA role matrix'!$B$2:$D$13,10,MATCH($B420,'MOA role matrix'!$B$1:$D$1,0))="If finance","Division MOI managers (if finance), ","")IF(INDEX('MOA role matrix'!$B$2:$D$13,10,MATCH($B420,'MOA role matrix'!$B$1:$D$1,0))="Auto","Division MOI managers (auto), ","")IF(INDEX('MOA role matrix'!$B$2:$D$13,11,MATCH($B420,'MOA role matrix'!$B$1:$D$1,0))="Fill","Ms Teh (bank), ","")IF(INDEX('MOA role matrix'!$B$2:$D$13,11,MATCH($B420,'MOA role matrix'!$B$1:$D$1,0))="If finance","Ms Teh (bank) (if finance), ","")IF(INDEX('MOA role matrix'!$B$2:$D$13,11,MATCH($B420,'MOA role matrix'!$B$1:$D$1,0))="Auto","Ms Teh (bank) (auto), ","")IF(INDEX('MOA role matrix'!$B$2:$D$13,12,MATCH($B420,'MOA role matrix'!$B$1:$D$1,0))="Fill","DLCM, ","")IF(INDEX('MOA role matrix'!$B$2:$D$13,12,MATCH($B420,'MOA role matrix'!$B$1:$D$1,0))="If finance","DLCM (if finance), ","")IF(INDEX('MOA role matrix'!$B$2:$D$13,12,MATCH($B420,'MOA role matrix'!$B$1:$D$1,0))="Auto","DLCM (auto), ","")))</f>
        <v/>
      </c>
      <c r="D420" s="5">
        <f>IF($A420="","",IFERROR(INDEX(FILTER('Client contacts'!$B$2:$B$500,('Client contacts'!$A$2:$A$500=$A420)*('Client contacts'!$H$2:$H$500="Y"),""),1),""))</f>
        <v/>
      </c>
      <c r="E420" s="5">
        <f>IF($A420="","",IFERROR(INDEX(FILTER('Client contacts'!$C$2:$C$500,('Client contacts'!$A$2:$A$500=$A420)*('Client contacts'!$H$2:$H$500="Y"),""),1),""))</f>
        <v/>
      </c>
      <c r="F420" s="5">
        <f>IF($A420="","",IFERROR(INDEX(FILTER('Client contacts'!$B$2:$B$500,('Client contacts'!$A$2:$A$500=$A420)*('Client contacts'!$G$2:$G$500="Y"),""),1),""))</f>
        <v/>
      </c>
      <c r="G420" s="5">
        <f>IF($A420="","",IFERROR(INDEX(FILTER('Client contacts'!$C$2:$C$500,('Client contacts'!$A$2:$A$500=$A420)*('Client contacts'!$G$2:$G$500="Y"),""),1),""))</f>
        <v/>
      </c>
      <c r="H420" s="5">
        <f>IF($A420="","",IFERROR(INDEX(FILTER('Client contacts'!$B$2:$B$500,('Client contacts'!$A$2:$A$500=$A420)*('Client contacts'!$G$2:$G$500="Y"),""),2),""))</f>
        <v/>
      </c>
      <c r="I420" s="5">
        <f>IF($A420="","",IFERROR(INDEX(FILTER('Client contacts'!$C$2:$C$500,('Client contacts'!$A$2:$A$500=$A420)*('Client contacts'!$G$2:$G$500="Y"),""),2),""))</f>
        <v/>
      </c>
      <c r="J420" s="8" t="n"/>
      <c r="K420" s="8" t="n"/>
      <c r="L420" s="8" t="n"/>
      <c r="M420" s="8" t="n"/>
      <c r="N420" s="8" t="n"/>
      <c r="O420" s="8" t="n"/>
      <c r="P420" s="8" t="n"/>
      <c r="Q420" s="8" t="n"/>
      <c r="R420" s="5">
        <f>IF($A420="","",IFERROR(INDEX(Companies!$I$2:$I$500,MATCH($A420,Companies!$A$2:$A$500,0)),""))</f>
        <v/>
      </c>
      <c r="S420" s="8" t="n"/>
      <c r="T420" s="8" t="n"/>
      <c r="U420" s="8" t="n"/>
      <c r="V420" s="8" t="n"/>
      <c r="W420" s="8" t="n"/>
    </row>
    <row r="421">
      <c r="C421" s="5">
        <f>IF($B421="","",TRIM(IF(INDEX('MOA role matrix'!$B$2:$D$13,1,MATCH($B421,'MOA role matrix'!$B$1:$D$1,0))="Fill","Project initiator, ","")IF(INDEX('MOA role matrix'!$B$2:$D$13,1,MATCH($B421,'MOA role matrix'!$B$1:$D$1,0))="If finance","Project initiator (if finance), ","")IF(INDEX('MOA role matrix'!$B$2:$D$13,1,MATCH($B421,'MOA role matrix'!$B$1:$D$1,0))="Auto","Project initiator (auto), ","")IF(INDEX('MOA role matrix'!$B$2:$D$13,2,MATCH($B421,'MOA role matrix'!$B$1:$D$1,0))="Fill","MOA signers (client), ","")IF(INDEX('MOA role matrix'!$B$2:$D$13,2,MATCH($B421,'MOA role matrix'!$B$1:$D$1,0))="If finance","MOA signers (client) (if finance), ","")IF(INDEX('MOA role matrix'!$B$2:$D$13,2,MATCH($B421,'MOA role matrix'!$B$1:$D$1,0))="Auto","MOA signers (client) (auto), ","")IF(INDEX('MOA role matrix'!$B$2:$D$13,3,MATCH($B421,'MOA role matrix'!$B$1:$D$1,0))="Fill","CFO / Head of Finance, ","")IF(INDEX('MOA role matrix'!$B$2:$D$13,3,MATCH($B421,'MOA role matrix'!$B$1:$D$1,0))="If finance","CFO / Head of Finance (if finance), ","")IF(INDEX('MOA role matrix'!$B$2:$D$13,3,MATCH($B421,'MOA role matrix'!$B$1:$D$1,0))="Auto","CFO / Head of Finance (auto), ","")IF(INDEX('MOA role matrix'!$B$2:$D$13,4,MATCH($B421,'MOA role matrix'!$B$1:$D$1,0))="Fill","CEO / COO / GM, ","")IF(INDEX('MOA role matrix'!$B$2:$D$13,4,MATCH($B421,'MOA role matrix'!$B$1:$D$1,0))="If finance","CEO / COO / GM (if finance), ","")IF(INDEX('MOA role matrix'!$B$2:$D$13,4,MATCH($B421,'MOA role matrix'!$B$1:$D$1,0))="Auto","CEO / COO / GM (auto), ","")IF(INDEX('MOA role matrix'!$B$2:$D$13,5,MATCH($B421,'MOA role matrix'!$B$1:$D$1,0))="Fill","Board member 1, ","")IF(INDEX('MOA role matrix'!$B$2:$D$13,5,MATCH($B421,'MOA role matrix'!$B$1:$D$1,0))="If finance","Board member 1 (if finance), ","")IF(INDEX('MOA role matrix'!$B$2:$D$13,5,MATCH($B421,'MOA role matrix'!$B$1:$D$1,0))="Auto","Board member 1 (auto), ","")IF(INDEX('MOA role matrix'!$B$2:$D$13,6,MATCH($B421,'MOA role matrix'!$B$1:$D$1,0))="Fill","Board member 2, ","")IF(INDEX('MOA role matrix'!$B$2:$D$13,6,MATCH($B421,'MOA role matrix'!$B$1:$D$1,0))="If finance","Board member 2 (if finance), ","")IF(INDEX('MOA role matrix'!$B$2:$D$13,6,MATCH($B421,'MOA role matrix'!$B$1:$D$1,0))="Auto","Board member 2 (auto), ","")IF(INDEX('MOA role matrix'!$B$2:$D$13,7,MATCH($B421,'MOA role matrix'!$B$1:$D$1,0))="Fill","LOA holder 1, ","")IF(INDEX('MOA role matrix'!$B$2:$D$13,7,MATCH($B421,'MOA role matrix'!$B$1:$D$1,0))="If finance","LOA holder 1 (if finance), ","")IF(INDEX('MOA role matrix'!$B$2:$D$13,7,MATCH($B421,'MOA role matrix'!$B$1:$D$1,0))="Auto","LOA holder 1 (auto), ","")IF(INDEX('MOA role matrix'!$B$2:$D$13,8,MATCH($B421,'MOA role matrix'!$B$1:$D$1,0))="Fill","LOA holder 2, ","")IF(INDEX('MOA role matrix'!$B$2:$D$13,8,MATCH($B421,'MOA role matrix'!$B$1:$D$1,0))="If finance","LOA holder 2 (if finance), ","")IF(INDEX('MOA role matrix'!$B$2:$D$13,8,MATCH($B421,'MOA role matrix'!$B$1:$D$1,0))="Auto","LOA holder 2 (auto), ","")IF(INDEX('MOA role matrix'!$B$2:$D$13,9,MATCH($B421,'MOA role matrix'!$B$1:$D$1,0))="Fill","Senior Manager CoSec, ","")IF(INDEX('MOA role matrix'!$B$2:$D$13,9,MATCH($B421,'MOA role matrix'!$B$1:$D$1,0))="If finance","Senior Manager CoSec (if finance), ","")IF(INDEX('MOA role matrix'!$B$2:$D$13,9,MATCH($B421,'MOA role matrix'!$B$1:$D$1,0))="Auto","Senior Manager CoSec (auto), ","")IF(INDEX('MOA role matrix'!$B$2:$D$13,10,MATCH($B421,'MOA role matrix'!$B$1:$D$1,0))="Fill","Division MOI managers, ","")IF(INDEX('MOA role matrix'!$B$2:$D$13,10,MATCH($B421,'MOA role matrix'!$B$1:$D$1,0))="If finance","Division MOI managers (if finance), ","")IF(INDEX('MOA role matrix'!$B$2:$D$13,10,MATCH($B421,'MOA role matrix'!$B$1:$D$1,0))="Auto","Division MOI managers (auto), ","")IF(INDEX('MOA role matrix'!$B$2:$D$13,11,MATCH($B421,'MOA role matrix'!$B$1:$D$1,0))="Fill","Ms Teh (bank), ","")IF(INDEX('MOA role matrix'!$B$2:$D$13,11,MATCH($B421,'MOA role matrix'!$B$1:$D$1,0))="If finance","Ms Teh (bank) (if finance), ","")IF(INDEX('MOA role matrix'!$B$2:$D$13,11,MATCH($B421,'MOA role matrix'!$B$1:$D$1,0))="Auto","Ms Teh (bank) (auto), ","")IF(INDEX('MOA role matrix'!$B$2:$D$13,12,MATCH($B421,'MOA role matrix'!$B$1:$D$1,0))="Fill","DLCM, ","")IF(INDEX('MOA role matrix'!$B$2:$D$13,12,MATCH($B421,'MOA role matrix'!$B$1:$D$1,0))="If finance","DLCM (if finance), ","")IF(INDEX('MOA role matrix'!$B$2:$D$13,12,MATCH($B421,'MOA role matrix'!$B$1:$D$1,0))="Auto","DLCM (auto), ","")))</f>
        <v/>
      </c>
      <c r="D421" s="5">
        <f>IF($A421="","",IFERROR(INDEX(FILTER('Client contacts'!$B$2:$B$500,('Client contacts'!$A$2:$A$500=$A421)*('Client contacts'!$H$2:$H$500="Y"),""),1),""))</f>
        <v/>
      </c>
      <c r="E421" s="5">
        <f>IF($A421="","",IFERROR(INDEX(FILTER('Client contacts'!$C$2:$C$500,('Client contacts'!$A$2:$A$500=$A421)*('Client contacts'!$H$2:$H$500="Y"),""),1),""))</f>
        <v/>
      </c>
      <c r="F421" s="5">
        <f>IF($A421="","",IFERROR(INDEX(FILTER('Client contacts'!$B$2:$B$500,('Client contacts'!$A$2:$A$500=$A421)*('Client contacts'!$G$2:$G$500="Y"),""),1),""))</f>
        <v/>
      </c>
      <c r="G421" s="5">
        <f>IF($A421="","",IFERROR(INDEX(FILTER('Client contacts'!$C$2:$C$500,('Client contacts'!$A$2:$A$500=$A421)*('Client contacts'!$G$2:$G$500="Y"),""),1),""))</f>
        <v/>
      </c>
      <c r="H421" s="5">
        <f>IF($A421="","",IFERROR(INDEX(FILTER('Client contacts'!$B$2:$B$500,('Client contacts'!$A$2:$A$500=$A421)*('Client contacts'!$G$2:$G$500="Y"),""),2),""))</f>
        <v/>
      </c>
      <c r="I421" s="5">
        <f>IF($A421="","",IFERROR(INDEX(FILTER('Client contacts'!$C$2:$C$500,('Client contacts'!$A$2:$A$500=$A421)*('Client contacts'!$G$2:$G$500="Y"),""),2),""))</f>
        <v/>
      </c>
      <c r="J421" s="8" t="n"/>
      <c r="K421" s="8" t="n"/>
      <c r="L421" s="8" t="n"/>
      <c r="M421" s="8" t="n"/>
      <c r="N421" s="8" t="n"/>
      <c r="O421" s="8" t="n"/>
      <c r="P421" s="8" t="n"/>
      <c r="Q421" s="8" t="n"/>
      <c r="R421" s="5">
        <f>IF($A421="","",IFERROR(INDEX(Companies!$I$2:$I$500,MATCH($A421,Companies!$A$2:$A$500,0)),""))</f>
        <v/>
      </c>
      <c r="S421" s="8" t="n"/>
      <c r="T421" s="8" t="n"/>
      <c r="U421" s="8" t="n"/>
      <c r="V421" s="8" t="n"/>
      <c r="W421" s="8" t="n"/>
    </row>
    <row r="422">
      <c r="C422" s="5">
        <f>IF($B422="","",TRIM(IF(INDEX('MOA role matrix'!$B$2:$D$13,1,MATCH($B422,'MOA role matrix'!$B$1:$D$1,0))="Fill","Project initiator, ","")IF(INDEX('MOA role matrix'!$B$2:$D$13,1,MATCH($B422,'MOA role matrix'!$B$1:$D$1,0))="If finance","Project initiator (if finance), ","")IF(INDEX('MOA role matrix'!$B$2:$D$13,1,MATCH($B422,'MOA role matrix'!$B$1:$D$1,0))="Auto","Project initiator (auto), ","")IF(INDEX('MOA role matrix'!$B$2:$D$13,2,MATCH($B422,'MOA role matrix'!$B$1:$D$1,0))="Fill","MOA signers (client), ","")IF(INDEX('MOA role matrix'!$B$2:$D$13,2,MATCH($B422,'MOA role matrix'!$B$1:$D$1,0))="If finance","MOA signers (client) (if finance), ","")IF(INDEX('MOA role matrix'!$B$2:$D$13,2,MATCH($B422,'MOA role matrix'!$B$1:$D$1,0))="Auto","MOA signers (client) (auto), ","")IF(INDEX('MOA role matrix'!$B$2:$D$13,3,MATCH($B422,'MOA role matrix'!$B$1:$D$1,0))="Fill","CFO / Head of Finance, ","")IF(INDEX('MOA role matrix'!$B$2:$D$13,3,MATCH($B422,'MOA role matrix'!$B$1:$D$1,0))="If finance","CFO / Head of Finance (if finance), ","")IF(INDEX('MOA role matrix'!$B$2:$D$13,3,MATCH($B422,'MOA role matrix'!$B$1:$D$1,0))="Auto","CFO / Head of Finance (auto), ","")IF(INDEX('MOA role matrix'!$B$2:$D$13,4,MATCH($B422,'MOA role matrix'!$B$1:$D$1,0))="Fill","CEO / COO / GM, ","")IF(INDEX('MOA role matrix'!$B$2:$D$13,4,MATCH($B422,'MOA role matrix'!$B$1:$D$1,0))="If finance","CEO / COO / GM (if finance), ","")IF(INDEX('MOA role matrix'!$B$2:$D$13,4,MATCH($B422,'MOA role matrix'!$B$1:$D$1,0))="Auto","CEO / COO / GM (auto), ","")IF(INDEX('MOA role matrix'!$B$2:$D$13,5,MATCH($B422,'MOA role matrix'!$B$1:$D$1,0))="Fill","Board member 1, ","")IF(INDEX('MOA role matrix'!$B$2:$D$13,5,MATCH($B422,'MOA role matrix'!$B$1:$D$1,0))="If finance","Board member 1 (if finance), ","")IF(INDEX('MOA role matrix'!$B$2:$D$13,5,MATCH($B422,'MOA role matrix'!$B$1:$D$1,0))="Auto","Board member 1 (auto), ","")IF(INDEX('MOA role matrix'!$B$2:$D$13,6,MATCH($B422,'MOA role matrix'!$B$1:$D$1,0))="Fill","Board member 2, ","")IF(INDEX('MOA role matrix'!$B$2:$D$13,6,MATCH($B422,'MOA role matrix'!$B$1:$D$1,0))="If finance","Board member 2 (if finance), ","")IF(INDEX('MOA role matrix'!$B$2:$D$13,6,MATCH($B422,'MOA role matrix'!$B$1:$D$1,0))="Auto","Board member 2 (auto), ","")IF(INDEX('MOA role matrix'!$B$2:$D$13,7,MATCH($B422,'MOA role matrix'!$B$1:$D$1,0))="Fill","LOA holder 1, ","")IF(INDEX('MOA role matrix'!$B$2:$D$13,7,MATCH($B422,'MOA role matrix'!$B$1:$D$1,0))="If finance","LOA holder 1 (if finance), ","")IF(INDEX('MOA role matrix'!$B$2:$D$13,7,MATCH($B422,'MOA role matrix'!$B$1:$D$1,0))="Auto","LOA holder 1 (auto), ","")IF(INDEX('MOA role matrix'!$B$2:$D$13,8,MATCH($B422,'MOA role matrix'!$B$1:$D$1,0))="Fill","LOA holder 2, ","")IF(INDEX('MOA role matrix'!$B$2:$D$13,8,MATCH($B422,'MOA role matrix'!$B$1:$D$1,0))="If finance","LOA holder 2 (if finance), ","")IF(INDEX('MOA role matrix'!$B$2:$D$13,8,MATCH($B422,'MOA role matrix'!$B$1:$D$1,0))="Auto","LOA holder 2 (auto), ","")IF(INDEX('MOA role matrix'!$B$2:$D$13,9,MATCH($B422,'MOA role matrix'!$B$1:$D$1,0))="Fill","Senior Manager CoSec, ","")IF(INDEX('MOA role matrix'!$B$2:$D$13,9,MATCH($B422,'MOA role matrix'!$B$1:$D$1,0))="If finance","Senior Manager CoSec (if finance), ","")IF(INDEX('MOA role matrix'!$B$2:$D$13,9,MATCH($B422,'MOA role matrix'!$B$1:$D$1,0))="Auto","Senior Manager CoSec (auto), ","")IF(INDEX('MOA role matrix'!$B$2:$D$13,10,MATCH($B422,'MOA role matrix'!$B$1:$D$1,0))="Fill","Division MOI managers, ","")IF(INDEX('MOA role matrix'!$B$2:$D$13,10,MATCH($B422,'MOA role matrix'!$B$1:$D$1,0))="If finance","Division MOI managers (if finance), ","")IF(INDEX('MOA role matrix'!$B$2:$D$13,10,MATCH($B422,'MOA role matrix'!$B$1:$D$1,0))="Auto","Division MOI managers (auto), ","")IF(INDEX('MOA role matrix'!$B$2:$D$13,11,MATCH($B422,'MOA role matrix'!$B$1:$D$1,0))="Fill","Ms Teh (bank), ","")IF(INDEX('MOA role matrix'!$B$2:$D$13,11,MATCH($B422,'MOA role matrix'!$B$1:$D$1,0))="If finance","Ms Teh (bank) (if finance), ","")IF(INDEX('MOA role matrix'!$B$2:$D$13,11,MATCH($B422,'MOA role matrix'!$B$1:$D$1,0))="Auto","Ms Teh (bank) (auto), ","")IF(INDEX('MOA role matrix'!$B$2:$D$13,12,MATCH($B422,'MOA role matrix'!$B$1:$D$1,0))="Fill","DLCM, ","")IF(INDEX('MOA role matrix'!$B$2:$D$13,12,MATCH($B422,'MOA role matrix'!$B$1:$D$1,0))="If finance","DLCM (if finance), ","")IF(INDEX('MOA role matrix'!$B$2:$D$13,12,MATCH($B422,'MOA role matrix'!$B$1:$D$1,0))="Auto","DLCM (auto), ","")))</f>
        <v/>
      </c>
      <c r="D422" s="5">
        <f>IF($A422="","",IFERROR(INDEX(FILTER('Client contacts'!$B$2:$B$500,('Client contacts'!$A$2:$A$500=$A422)*('Client contacts'!$H$2:$H$500="Y"),""),1),""))</f>
        <v/>
      </c>
      <c r="E422" s="5">
        <f>IF($A422="","",IFERROR(INDEX(FILTER('Client contacts'!$C$2:$C$500,('Client contacts'!$A$2:$A$500=$A422)*('Client contacts'!$H$2:$H$500="Y"),""),1),""))</f>
        <v/>
      </c>
      <c r="F422" s="5">
        <f>IF($A422="","",IFERROR(INDEX(FILTER('Client contacts'!$B$2:$B$500,('Client contacts'!$A$2:$A$500=$A422)*('Client contacts'!$G$2:$G$500="Y"),""),1),""))</f>
        <v/>
      </c>
      <c r="G422" s="5">
        <f>IF($A422="","",IFERROR(INDEX(FILTER('Client contacts'!$C$2:$C$500,('Client contacts'!$A$2:$A$500=$A422)*('Client contacts'!$G$2:$G$500="Y"),""),1),""))</f>
        <v/>
      </c>
      <c r="H422" s="5">
        <f>IF($A422="","",IFERROR(INDEX(FILTER('Client contacts'!$B$2:$B$500,('Client contacts'!$A$2:$A$500=$A422)*('Client contacts'!$G$2:$G$500="Y"),""),2),""))</f>
        <v/>
      </c>
      <c r="I422" s="5">
        <f>IF($A422="","",IFERROR(INDEX(FILTER('Client contacts'!$C$2:$C$500,('Client contacts'!$A$2:$A$500=$A422)*('Client contacts'!$G$2:$G$500="Y"),""),2),""))</f>
        <v/>
      </c>
      <c r="J422" s="8" t="n"/>
      <c r="K422" s="8" t="n"/>
      <c r="L422" s="8" t="n"/>
      <c r="M422" s="8" t="n"/>
      <c r="N422" s="8" t="n"/>
      <c r="O422" s="8" t="n"/>
      <c r="P422" s="8" t="n"/>
      <c r="Q422" s="8" t="n"/>
      <c r="R422" s="5">
        <f>IF($A422="","",IFERROR(INDEX(Companies!$I$2:$I$500,MATCH($A422,Companies!$A$2:$A$500,0)),""))</f>
        <v/>
      </c>
      <c r="S422" s="8" t="n"/>
      <c r="T422" s="8" t="n"/>
      <c r="U422" s="8" t="n"/>
      <c r="V422" s="8" t="n"/>
      <c r="W422" s="8" t="n"/>
    </row>
    <row r="423">
      <c r="C423" s="5">
        <f>IF($B423="","",TRIM(IF(INDEX('MOA role matrix'!$B$2:$D$13,1,MATCH($B423,'MOA role matrix'!$B$1:$D$1,0))="Fill","Project initiator, ","")IF(INDEX('MOA role matrix'!$B$2:$D$13,1,MATCH($B423,'MOA role matrix'!$B$1:$D$1,0))="If finance","Project initiator (if finance), ","")IF(INDEX('MOA role matrix'!$B$2:$D$13,1,MATCH($B423,'MOA role matrix'!$B$1:$D$1,0))="Auto","Project initiator (auto), ","")IF(INDEX('MOA role matrix'!$B$2:$D$13,2,MATCH($B423,'MOA role matrix'!$B$1:$D$1,0))="Fill","MOA signers (client), ","")IF(INDEX('MOA role matrix'!$B$2:$D$13,2,MATCH($B423,'MOA role matrix'!$B$1:$D$1,0))="If finance","MOA signers (client) (if finance), ","")IF(INDEX('MOA role matrix'!$B$2:$D$13,2,MATCH($B423,'MOA role matrix'!$B$1:$D$1,0))="Auto","MOA signers (client) (auto), ","")IF(INDEX('MOA role matrix'!$B$2:$D$13,3,MATCH($B423,'MOA role matrix'!$B$1:$D$1,0))="Fill","CFO / Head of Finance, ","")IF(INDEX('MOA role matrix'!$B$2:$D$13,3,MATCH($B423,'MOA role matrix'!$B$1:$D$1,0))="If finance","CFO / Head of Finance (if finance), ","")IF(INDEX('MOA role matrix'!$B$2:$D$13,3,MATCH($B423,'MOA role matrix'!$B$1:$D$1,0))="Auto","CFO / Head of Finance (auto), ","")IF(INDEX('MOA role matrix'!$B$2:$D$13,4,MATCH($B423,'MOA role matrix'!$B$1:$D$1,0))="Fill","CEO / COO / GM, ","")IF(INDEX('MOA role matrix'!$B$2:$D$13,4,MATCH($B423,'MOA role matrix'!$B$1:$D$1,0))="If finance","CEO / COO / GM (if finance), ","")IF(INDEX('MOA role matrix'!$B$2:$D$13,4,MATCH($B423,'MOA role matrix'!$B$1:$D$1,0))="Auto","CEO / COO / GM (auto), ","")IF(INDEX('MOA role matrix'!$B$2:$D$13,5,MATCH($B423,'MOA role matrix'!$B$1:$D$1,0))="Fill","Board member 1, ","")IF(INDEX('MOA role matrix'!$B$2:$D$13,5,MATCH($B423,'MOA role matrix'!$B$1:$D$1,0))="If finance","Board member 1 (if finance), ","")IF(INDEX('MOA role matrix'!$B$2:$D$13,5,MATCH($B423,'MOA role matrix'!$B$1:$D$1,0))="Auto","Board member 1 (auto), ","")IF(INDEX('MOA role matrix'!$B$2:$D$13,6,MATCH($B423,'MOA role matrix'!$B$1:$D$1,0))="Fill","Board member 2, ","")IF(INDEX('MOA role matrix'!$B$2:$D$13,6,MATCH($B423,'MOA role matrix'!$B$1:$D$1,0))="If finance","Board member 2 (if finance), ","")IF(INDEX('MOA role matrix'!$B$2:$D$13,6,MATCH($B423,'MOA role matrix'!$B$1:$D$1,0))="Auto","Board member 2 (auto), ","")IF(INDEX('MOA role matrix'!$B$2:$D$13,7,MATCH($B423,'MOA role matrix'!$B$1:$D$1,0))="Fill","LOA holder 1, ","")IF(INDEX('MOA role matrix'!$B$2:$D$13,7,MATCH($B423,'MOA role matrix'!$B$1:$D$1,0))="If finance","LOA holder 1 (if finance), ","")IF(INDEX('MOA role matrix'!$B$2:$D$13,7,MATCH($B423,'MOA role matrix'!$B$1:$D$1,0))="Auto","LOA holder 1 (auto), ","")IF(INDEX('MOA role matrix'!$B$2:$D$13,8,MATCH($B423,'MOA role matrix'!$B$1:$D$1,0))="Fill","LOA holder 2, ","")IF(INDEX('MOA role matrix'!$B$2:$D$13,8,MATCH($B423,'MOA role matrix'!$B$1:$D$1,0))="If finance","LOA holder 2 (if finance), ","")IF(INDEX('MOA role matrix'!$B$2:$D$13,8,MATCH($B423,'MOA role matrix'!$B$1:$D$1,0))="Auto","LOA holder 2 (auto), ","")IF(INDEX('MOA role matrix'!$B$2:$D$13,9,MATCH($B423,'MOA role matrix'!$B$1:$D$1,0))="Fill","Senior Manager CoSec, ","")IF(INDEX('MOA role matrix'!$B$2:$D$13,9,MATCH($B423,'MOA role matrix'!$B$1:$D$1,0))="If finance","Senior Manager CoSec (if finance), ","")IF(INDEX('MOA role matrix'!$B$2:$D$13,9,MATCH($B423,'MOA role matrix'!$B$1:$D$1,0))="Auto","Senior Manager CoSec (auto), ","")IF(INDEX('MOA role matrix'!$B$2:$D$13,10,MATCH($B423,'MOA role matrix'!$B$1:$D$1,0))="Fill","Division MOI managers, ","")IF(INDEX('MOA role matrix'!$B$2:$D$13,10,MATCH($B423,'MOA role matrix'!$B$1:$D$1,0))="If finance","Division MOI managers (if finance), ","")IF(INDEX('MOA role matrix'!$B$2:$D$13,10,MATCH($B423,'MOA role matrix'!$B$1:$D$1,0))="Auto","Division MOI managers (auto), ","")IF(INDEX('MOA role matrix'!$B$2:$D$13,11,MATCH($B423,'MOA role matrix'!$B$1:$D$1,0))="Fill","Ms Teh (bank), ","")IF(INDEX('MOA role matrix'!$B$2:$D$13,11,MATCH($B423,'MOA role matrix'!$B$1:$D$1,0))="If finance","Ms Teh (bank) (if finance), ","")IF(INDEX('MOA role matrix'!$B$2:$D$13,11,MATCH($B423,'MOA role matrix'!$B$1:$D$1,0))="Auto","Ms Teh (bank) (auto), ","")IF(INDEX('MOA role matrix'!$B$2:$D$13,12,MATCH($B423,'MOA role matrix'!$B$1:$D$1,0))="Fill","DLCM, ","")IF(INDEX('MOA role matrix'!$B$2:$D$13,12,MATCH($B423,'MOA role matrix'!$B$1:$D$1,0))="If finance","DLCM (if finance), ","")IF(INDEX('MOA role matrix'!$B$2:$D$13,12,MATCH($B423,'MOA role matrix'!$B$1:$D$1,0))="Auto","DLCM (auto), ","")))</f>
        <v/>
      </c>
      <c r="D423" s="5">
        <f>IF($A423="","",IFERROR(INDEX(FILTER('Client contacts'!$B$2:$B$500,('Client contacts'!$A$2:$A$500=$A423)*('Client contacts'!$H$2:$H$500="Y"),""),1),""))</f>
        <v/>
      </c>
      <c r="E423" s="5">
        <f>IF($A423="","",IFERROR(INDEX(FILTER('Client contacts'!$C$2:$C$500,('Client contacts'!$A$2:$A$500=$A423)*('Client contacts'!$H$2:$H$500="Y"),""),1),""))</f>
        <v/>
      </c>
      <c r="F423" s="5">
        <f>IF($A423="","",IFERROR(INDEX(FILTER('Client contacts'!$B$2:$B$500,('Client contacts'!$A$2:$A$500=$A423)*('Client contacts'!$G$2:$G$500="Y"),""),1),""))</f>
        <v/>
      </c>
      <c r="G423" s="5">
        <f>IF($A423="","",IFERROR(INDEX(FILTER('Client contacts'!$C$2:$C$500,('Client contacts'!$A$2:$A$500=$A423)*('Client contacts'!$G$2:$G$500="Y"),""),1),""))</f>
        <v/>
      </c>
      <c r="H423" s="5">
        <f>IF($A423="","",IFERROR(INDEX(FILTER('Client contacts'!$B$2:$B$500,('Client contacts'!$A$2:$A$500=$A423)*('Client contacts'!$G$2:$G$500="Y"),""),2),""))</f>
        <v/>
      </c>
      <c r="I423" s="5">
        <f>IF($A423="","",IFERROR(INDEX(FILTER('Client contacts'!$C$2:$C$500,('Client contacts'!$A$2:$A$500=$A423)*('Client contacts'!$G$2:$G$500="Y"),""),2),""))</f>
        <v/>
      </c>
      <c r="J423" s="8" t="n"/>
      <c r="K423" s="8" t="n"/>
      <c r="L423" s="8" t="n"/>
      <c r="M423" s="8" t="n"/>
      <c r="N423" s="8" t="n"/>
      <c r="O423" s="8" t="n"/>
      <c r="P423" s="8" t="n"/>
      <c r="Q423" s="8" t="n"/>
      <c r="R423" s="5">
        <f>IF($A423="","",IFERROR(INDEX(Companies!$I$2:$I$500,MATCH($A423,Companies!$A$2:$A$500,0)),""))</f>
        <v/>
      </c>
      <c r="S423" s="8" t="n"/>
      <c r="T423" s="8" t="n"/>
      <c r="U423" s="8" t="n"/>
      <c r="V423" s="8" t="n"/>
      <c r="W423" s="8" t="n"/>
    </row>
    <row r="424">
      <c r="C424" s="5">
        <f>IF($B424="","",TRIM(IF(INDEX('MOA role matrix'!$B$2:$D$13,1,MATCH($B424,'MOA role matrix'!$B$1:$D$1,0))="Fill","Project initiator, ","")IF(INDEX('MOA role matrix'!$B$2:$D$13,1,MATCH($B424,'MOA role matrix'!$B$1:$D$1,0))="If finance","Project initiator (if finance), ","")IF(INDEX('MOA role matrix'!$B$2:$D$13,1,MATCH($B424,'MOA role matrix'!$B$1:$D$1,0))="Auto","Project initiator (auto), ","")IF(INDEX('MOA role matrix'!$B$2:$D$13,2,MATCH($B424,'MOA role matrix'!$B$1:$D$1,0))="Fill","MOA signers (client), ","")IF(INDEX('MOA role matrix'!$B$2:$D$13,2,MATCH($B424,'MOA role matrix'!$B$1:$D$1,0))="If finance","MOA signers (client) (if finance), ","")IF(INDEX('MOA role matrix'!$B$2:$D$13,2,MATCH($B424,'MOA role matrix'!$B$1:$D$1,0))="Auto","MOA signers (client) (auto), ","")IF(INDEX('MOA role matrix'!$B$2:$D$13,3,MATCH($B424,'MOA role matrix'!$B$1:$D$1,0))="Fill","CFO / Head of Finance, ","")IF(INDEX('MOA role matrix'!$B$2:$D$13,3,MATCH($B424,'MOA role matrix'!$B$1:$D$1,0))="If finance","CFO / Head of Finance (if finance), ","")IF(INDEX('MOA role matrix'!$B$2:$D$13,3,MATCH($B424,'MOA role matrix'!$B$1:$D$1,0))="Auto","CFO / Head of Finance (auto), ","")IF(INDEX('MOA role matrix'!$B$2:$D$13,4,MATCH($B424,'MOA role matrix'!$B$1:$D$1,0))="Fill","CEO / COO / GM, ","")IF(INDEX('MOA role matrix'!$B$2:$D$13,4,MATCH($B424,'MOA role matrix'!$B$1:$D$1,0))="If finance","CEO / COO / GM (if finance), ","")IF(INDEX('MOA role matrix'!$B$2:$D$13,4,MATCH($B424,'MOA role matrix'!$B$1:$D$1,0))="Auto","CEO / COO / GM (auto), ","")IF(INDEX('MOA role matrix'!$B$2:$D$13,5,MATCH($B424,'MOA role matrix'!$B$1:$D$1,0))="Fill","Board member 1, ","")IF(INDEX('MOA role matrix'!$B$2:$D$13,5,MATCH($B424,'MOA role matrix'!$B$1:$D$1,0))="If finance","Board member 1 (if finance), ","")IF(INDEX('MOA role matrix'!$B$2:$D$13,5,MATCH($B424,'MOA role matrix'!$B$1:$D$1,0))="Auto","Board member 1 (auto), ","")IF(INDEX('MOA role matrix'!$B$2:$D$13,6,MATCH($B424,'MOA role matrix'!$B$1:$D$1,0))="Fill","Board member 2, ","")IF(INDEX('MOA role matrix'!$B$2:$D$13,6,MATCH($B424,'MOA role matrix'!$B$1:$D$1,0))="If finance","Board member 2 (if finance), ","")IF(INDEX('MOA role matrix'!$B$2:$D$13,6,MATCH($B424,'MOA role matrix'!$B$1:$D$1,0))="Auto","Board member 2 (auto), ","")IF(INDEX('MOA role matrix'!$B$2:$D$13,7,MATCH($B424,'MOA role matrix'!$B$1:$D$1,0))="Fill","LOA holder 1, ","")IF(INDEX('MOA role matrix'!$B$2:$D$13,7,MATCH($B424,'MOA role matrix'!$B$1:$D$1,0))="If finance","LOA holder 1 (if finance), ","")IF(INDEX('MOA role matrix'!$B$2:$D$13,7,MATCH($B424,'MOA role matrix'!$B$1:$D$1,0))="Auto","LOA holder 1 (auto), ","")IF(INDEX('MOA role matrix'!$B$2:$D$13,8,MATCH($B424,'MOA role matrix'!$B$1:$D$1,0))="Fill","LOA holder 2, ","")IF(INDEX('MOA role matrix'!$B$2:$D$13,8,MATCH($B424,'MOA role matrix'!$B$1:$D$1,0))="If finance","LOA holder 2 (if finance), ","")IF(INDEX('MOA role matrix'!$B$2:$D$13,8,MATCH($B424,'MOA role matrix'!$B$1:$D$1,0))="Auto","LOA holder 2 (auto), ","")IF(INDEX('MOA role matrix'!$B$2:$D$13,9,MATCH($B424,'MOA role matrix'!$B$1:$D$1,0))="Fill","Senior Manager CoSec, ","")IF(INDEX('MOA role matrix'!$B$2:$D$13,9,MATCH($B424,'MOA role matrix'!$B$1:$D$1,0))="If finance","Senior Manager CoSec (if finance), ","")IF(INDEX('MOA role matrix'!$B$2:$D$13,9,MATCH($B424,'MOA role matrix'!$B$1:$D$1,0))="Auto","Senior Manager CoSec (auto), ","")IF(INDEX('MOA role matrix'!$B$2:$D$13,10,MATCH($B424,'MOA role matrix'!$B$1:$D$1,0))="Fill","Division MOI managers, ","")IF(INDEX('MOA role matrix'!$B$2:$D$13,10,MATCH($B424,'MOA role matrix'!$B$1:$D$1,0))="If finance","Division MOI managers (if finance), ","")IF(INDEX('MOA role matrix'!$B$2:$D$13,10,MATCH($B424,'MOA role matrix'!$B$1:$D$1,0))="Auto","Division MOI managers (auto), ","")IF(INDEX('MOA role matrix'!$B$2:$D$13,11,MATCH($B424,'MOA role matrix'!$B$1:$D$1,0))="Fill","Ms Teh (bank), ","")IF(INDEX('MOA role matrix'!$B$2:$D$13,11,MATCH($B424,'MOA role matrix'!$B$1:$D$1,0))="If finance","Ms Teh (bank) (if finance), ","")IF(INDEX('MOA role matrix'!$B$2:$D$13,11,MATCH($B424,'MOA role matrix'!$B$1:$D$1,0))="Auto","Ms Teh (bank) (auto), ","")IF(INDEX('MOA role matrix'!$B$2:$D$13,12,MATCH($B424,'MOA role matrix'!$B$1:$D$1,0))="Fill","DLCM, ","")IF(INDEX('MOA role matrix'!$B$2:$D$13,12,MATCH($B424,'MOA role matrix'!$B$1:$D$1,0))="If finance","DLCM (if finance), ","")IF(INDEX('MOA role matrix'!$B$2:$D$13,12,MATCH($B424,'MOA role matrix'!$B$1:$D$1,0))="Auto","DLCM (auto), ","")))</f>
        <v/>
      </c>
      <c r="D424" s="5">
        <f>IF($A424="","",IFERROR(INDEX(FILTER('Client contacts'!$B$2:$B$500,('Client contacts'!$A$2:$A$500=$A424)*('Client contacts'!$H$2:$H$500="Y"),""),1),""))</f>
        <v/>
      </c>
      <c r="E424" s="5">
        <f>IF($A424="","",IFERROR(INDEX(FILTER('Client contacts'!$C$2:$C$500,('Client contacts'!$A$2:$A$500=$A424)*('Client contacts'!$H$2:$H$500="Y"),""),1),""))</f>
        <v/>
      </c>
      <c r="F424" s="5">
        <f>IF($A424="","",IFERROR(INDEX(FILTER('Client contacts'!$B$2:$B$500,('Client contacts'!$A$2:$A$500=$A424)*('Client contacts'!$G$2:$G$500="Y"),""),1),""))</f>
        <v/>
      </c>
      <c r="G424" s="5">
        <f>IF($A424="","",IFERROR(INDEX(FILTER('Client contacts'!$C$2:$C$500,('Client contacts'!$A$2:$A$500=$A424)*('Client contacts'!$G$2:$G$500="Y"),""),1),""))</f>
        <v/>
      </c>
      <c r="H424" s="5">
        <f>IF($A424="","",IFERROR(INDEX(FILTER('Client contacts'!$B$2:$B$500,('Client contacts'!$A$2:$A$500=$A424)*('Client contacts'!$G$2:$G$500="Y"),""),2),""))</f>
        <v/>
      </c>
      <c r="I424" s="5">
        <f>IF($A424="","",IFERROR(INDEX(FILTER('Client contacts'!$C$2:$C$500,('Client contacts'!$A$2:$A$500=$A424)*('Client contacts'!$G$2:$G$500="Y"),""),2),""))</f>
        <v/>
      </c>
      <c r="J424" s="8" t="n"/>
      <c r="K424" s="8" t="n"/>
      <c r="L424" s="8" t="n"/>
      <c r="M424" s="8" t="n"/>
      <c r="N424" s="8" t="n"/>
      <c r="O424" s="8" t="n"/>
      <c r="P424" s="8" t="n"/>
      <c r="Q424" s="8" t="n"/>
      <c r="R424" s="5">
        <f>IF($A424="","",IFERROR(INDEX(Companies!$I$2:$I$500,MATCH($A424,Companies!$A$2:$A$500,0)),""))</f>
        <v/>
      </c>
      <c r="S424" s="8" t="n"/>
      <c r="T424" s="8" t="n"/>
      <c r="U424" s="8" t="n"/>
      <c r="V424" s="8" t="n"/>
      <c r="W424" s="8" t="n"/>
    </row>
    <row r="425">
      <c r="C425" s="5">
        <f>IF($B425="","",TRIM(IF(INDEX('MOA role matrix'!$B$2:$D$13,1,MATCH($B425,'MOA role matrix'!$B$1:$D$1,0))="Fill","Project initiator, ","")IF(INDEX('MOA role matrix'!$B$2:$D$13,1,MATCH($B425,'MOA role matrix'!$B$1:$D$1,0))="If finance","Project initiator (if finance), ","")IF(INDEX('MOA role matrix'!$B$2:$D$13,1,MATCH($B425,'MOA role matrix'!$B$1:$D$1,0))="Auto","Project initiator (auto), ","")IF(INDEX('MOA role matrix'!$B$2:$D$13,2,MATCH($B425,'MOA role matrix'!$B$1:$D$1,0))="Fill","MOA signers (client), ","")IF(INDEX('MOA role matrix'!$B$2:$D$13,2,MATCH($B425,'MOA role matrix'!$B$1:$D$1,0))="If finance","MOA signers (client) (if finance), ","")IF(INDEX('MOA role matrix'!$B$2:$D$13,2,MATCH($B425,'MOA role matrix'!$B$1:$D$1,0))="Auto","MOA signers (client) (auto), ","")IF(INDEX('MOA role matrix'!$B$2:$D$13,3,MATCH($B425,'MOA role matrix'!$B$1:$D$1,0))="Fill","CFO / Head of Finance, ","")IF(INDEX('MOA role matrix'!$B$2:$D$13,3,MATCH($B425,'MOA role matrix'!$B$1:$D$1,0))="If finance","CFO / Head of Finance (if finance), ","")IF(INDEX('MOA role matrix'!$B$2:$D$13,3,MATCH($B425,'MOA role matrix'!$B$1:$D$1,0))="Auto","CFO / Head of Finance (auto), ","")IF(INDEX('MOA role matrix'!$B$2:$D$13,4,MATCH($B425,'MOA role matrix'!$B$1:$D$1,0))="Fill","CEO / COO / GM, ","")IF(INDEX('MOA role matrix'!$B$2:$D$13,4,MATCH($B425,'MOA role matrix'!$B$1:$D$1,0))="If finance","CEO / COO / GM (if finance), ","")IF(INDEX('MOA role matrix'!$B$2:$D$13,4,MATCH($B425,'MOA role matrix'!$B$1:$D$1,0))="Auto","CEO / COO / GM (auto), ","")IF(INDEX('MOA role matrix'!$B$2:$D$13,5,MATCH($B425,'MOA role matrix'!$B$1:$D$1,0))="Fill","Board member 1, ","")IF(INDEX('MOA role matrix'!$B$2:$D$13,5,MATCH($B425,'MOA role matrix'!$B$1:$D$1,0))="If finance","Board member 1 (if finance), ","")IF(INDEX('MOA role matrix'!$B$2:$D$13,5,MATCH($B425,'MOA role matrix'!$B$1:$D$1,0))="Auto","Board member 1 (auto), ","")IF(INDEX('MOA role matrix'!$B$2:$D$13,6,MATCH($B425,'MOA role matrix'!$B$1:$D$1,0))="Fill","Board member 2, ","")IF(INDEX('MOA role matrix'!$B$2:$D$13,6,MATCH($B425,'MOA role matrix'!$B$1:$D$1,0))="If finance","Board member 2 (if finance), ","")IF(INDEX('MOA role matrix'!$B$2:$D$13,6,MATCH($B425,'MOA role matrix'!$B$1:$D$1,0))="Auto","Board member 2 (auto), ","")IF(INDEX('MOA role matrix'!$B$2:$D$13,7,MATCH($B425,'MOA role matrix'!$B$1:$D$1,0))="Fill","LOA holder 1, ","")IF(INDEX('MOA role matrix'!$B$2:$D$13,7,MATCH($B425,'MOA role matrix'!$B$1:$D$1,0))="If finance","LOA holder 1 (if finance), ","")IF(INDEX('MOA role matrix'!$B$2:$D$13,7,MATCH($B425,'MOA role matrix'!$B$1:$D$1,0))="Auto","LOA holder 1 (auto), ","")IF(INDEX('MOA role matrix'!$B$2:$D$13,8,MATCH($B425,'MOA role matrix'!$B$1:$D$1,0))="Fill","LOA holder 2, ","")IF(INDEX('MOA role matrix'!$B$2:$D$13,8,MATCH($B425,'MOA role matrix'!$B$1:$D$1,0))="If finance","LOA holder 2 (if finance), ","")IF(INDEX('MOA role matrix'!$B$2:$D$13,8,MATCH($B425,'MOA role matrix'!$B$1:$D$1,0))="Auto","LOA holder 2 (auto), ","")IF(INDEX('MOA role matrix'!$B$2:$D$13,9,MATCH($B425,'MOA role matrix'!$B$1:$D$1,0))="Fill","Senior Manager CoSec, ","")IF(INDEX('MOA role matrix'!$B$2:$D$13,9,MATCH($B425,'MOA role matrix'!$B$1:$D$1,0))="If finance","Senior Manager CoSec (if finance), ","")IF(INDEX('MOA role matrix'!$B$2:$D$13,9,MATCH($B425,'MOA role matrix'!$B$1:$D$1,0))="Auto","Senior Manager CoSec (auto), ","")IF(INDEX('MOA role matrix'!$B$2:$D$13,10,MATCH($B425,'MOA role matrix'!$B$1:$D$1,0))="Fill","Division MOI managers, ","")IF(INDEX('MOA role matrix'!$B$2:$D$13,10,MATCH($B425,'MOA role matrix'!$B$1:$D$1,0))="If finance","Division MOI managers (if finance), ","")IF(INDEX('MOA role matrix'!$B$2:$D$13,10,MATCH($B425,'MOA role matrix'!$B$1:$D$1,0))="Auto","Division MOI managers (auto), ","")IF(INDEX('MOA role matrix'!$B$2:$D$13,11,MATCH($B425,'MOA role matrix'!$B$1:$D$1,0))="Fill","Ms Teh (bank), ","")IF(INDEX('MOA role matrix'!$B$2:$D$13,11,MATCH($B425,'MOA role matrix'!$B$1:$D$1,0))="If finance","Ms Teh (bank) (if finance), ","")IF(INDEX('MOA role matrix'!$B$2:$D$13,11,MATCH($B425,'MOA role matrix'!$B$1:$D$1,0))="Auto","Ms Teh (bank) (auto), ","")IF(INDEX('MOA role matrix'!$B$2:$D$13,12,MATCH($B425,'MOA role matrix'!$B$1:$D$1,0))="Fill","DLCM, ","")IF(INDEX('MOA role matrix'!$B$2:$D$13,12,MATCH($B425,'MOA role matrix'!$B$1:$D$1,0))="If finance","DLCM (if finance), ","")IF(INDEX('MOA role matrix'!$B$2:$D$13,12,MATCH($B425,'MOA role matrix'!$B$1:$D$1,0))="Auto","DLCM (auto), ","")))</f>
        <v/>
      </c>
      <c r="D425" s="5">
        <f>IF($A425="","",IFERROR(INDEX(FILTER('Client contacts'!$B$2:$B$500,('Client contacts'!$A$2:$A$500=$A425)*('Client contacts'!$H$2:$H$500="Y"),""),1),""))</f>
        <v/>
      </c>
      <c r="E425" s="5">
        <f>IF($A425="","",IFERROR(INDEX(FILTER('Client contacts'!$C$2:$C$500,('Client contacts'!$A$2:$A$500=$A425)*('Client contacts'!$H$2:$H$500="Y"),""),1),""))</f>
        <v/>
      </c>
      <c r="F425" s="5">
        <f>IF($A425="","",IFERROR(INDEX(FILTER('Client contacts'!$B$2:$B$500,('Client contacts'!$A$2:$A$500=$A425)*('Client contacts'!$G$2:$G$500="Y"),""),1),""))</f>
        <v/>
      </c>
      <c r="G425" s="5">
        <f>IF($A425="","",IFERROR(INDEX(FILTER('Client contacts'!$C$2:$C$500,('Client contacts'!$A$2:$A$500=$A425)*('Client contacts'!$G$2:$G$500="Y"),""),1),""))</f>
        <v/>
      </c>
      <c r="H425" s="5">
        <f>IF($A425="","",IFERROR(INDEX(FILTER('Client contacts'!$B$2:$B$500,('Client contacts'!$A$2:$A$500=$A425)*('Client contacts'!$G$2:$G$500="Y"),""),2),""))</f>
        <v/>
      </c>
      <c r="I425" s="5">
        <f>IF($A425="","",IFERROR(INDEX(FILTER('Client contacts'!$C$2:$C$500,('Client contacts'!$A$2:$A$500=$A425)*('Client contacts'!$G$2:$G$500="Y"),""),2),""))</f>
        <v/>
      </c>
      <c r="J425" s="8" t="n"/>
      <c r="K425" s="8" t="n"/>
      <c r="L425" s="8" t="n"/>
      <c r="M425" s="8" t="n"/>
      <c r="N425" s="8" t="n"/>
      <c r="O425" s="8" t="n"/>
      <c r="P425" s="8" t="n"/>
      <c r="Q425" s="8" t="n"/>
      <c r="R425" s="5">
        <f>IF($A425="","",IFERROR(INDEX(Companies!$I$2:$I$500,MATCH($A425,Companies!$A$2:$A$500,0)),""))</f>
        <v/>
      </c>
      <c r="S425" s="8" t="n"/>
      <c r="T425" s="8" t="n"/>
      <c r="U425" s="8" t="n"/>
      <c r="V425" s="8" t="n"/>
      <c r="W425" s="8" t="n"/>
    </row>
    <row r="426">
      <c r="C426" s="5">
        <f>IF($B426="","",TRIM(IF(INDEX('MOA role matrix'!$B$2:$D$13,1,MATCH($B426,'MOA role matrix'!$B$1:$D$1,0))="Fill","Project initiator, ","")IF(INDEX('MOA role matrix'!$B$2:$D$13,1,MATCH($B426,'MOA role matrix'!$B$1:$D$1,0))="If finance","Project initiator (if finance), ","")IF(INDEX('MOA role matrix'!$B$2:$D$13,1,MATCH($B426,'MOA role matrix'!$B$1:$D$1,0))="Auto","Project initiator (auto), ","")IF(INDEX('MOA role matrix'!$B$2:$D$13,2,MATCH($B426,'MOA role matrix'!$B$1:$D$1,0))="Fill","MOA signers (client), ","")IF(INDEX('MOA role matrix'!$B$2:$D$13,2,MATCH($B426,'MOA role matrix'!$B$1:$D$1,0))="If finance","MOA signers (client) (if finance), ","")IF(INDEX('MOA role matrix'!$B$2:$D$13,2,MATCH($B426,'MOA role matrix'!$B$1:$D$1,0))="Auto","MOA signers (client) (auto), ","")IF(INDEX('MOA role matrix'!$B$2:$D$13,3,MATCH($B426,'MOA role matrix'!$B$1:$D$1,0))="Fill","CFO / Head of Finance, ","")IF(INDEX('MOA role matrix'!$B$2:$D$13,3,MATCH($B426,'MOA role matrix'!$B$1:$D$1,0))="If finance","CFO / Head of Finance (if finance), ","")IF(INDEX('MOA role matrix'!$B$2:$D$13,3,MATCH($B426,'MOA role matrix'!$B$1:$D$1,0))="Auto","CFO / Head of Finance (auto), ","")IF(INDEX('MOA role matrix'!$B$2:$D$13,4,MATCH($B426,'MOA role matrix'!$B$1:$D$1,0))="Fill","CEO / COO / GM, ","")IF(INDEX('MOA role matrix'!$B$2:$D$13,4,MATCH($B426,'MOA role matrix'!$B$1:$D$1,0))="If finance","CEO / COO / GM (if finance), ","")IF(INDEX('MOA role matrix'!$B$2:$D$13,4,MATCH($B426,'MOA role matrix'!$B$1:$D$1,0))="Auto","CEO / COO / GM (auto), ","")IF(INDEX('MOA role matrix'!$B$2:$D$13,5,MATCH($B426,'MOA role matrix'!$B$1:$D$1,0))="Fill","Board member 1, ","")IF(INDEX('MOA role matrix'!$B$2:$D$13,5,MATCH($B426,'MOA role matrix'!$B$1:$D$1,0))="If finance","Board member 1 (if finance), ","")IF(INDEX('MOA role matrix'!$B$2:$D$13,5,MATCH($B426,'MOA role matrix'!$B$1:$D$1,0))="Auto","Board member 1 (auto), ","")IF(INDEX('MOA role matrix'!$B$2:$D$13,6,MATCH($B426,'MOA role matrix'!$B$1:$D$1,0))="Fill","Board member 2, ","")IF(INDEX('MOA role matrix'!$B$2:$D$13,6,MATCH($B426,'MOA role matrix'!$B$1:$D$1,0))="If finance","Board member 2 (if finance), ","")IF(INDEX('MOA role matrix'!$B$2:$D$13,6,MATCH($B426,'MOA role matrix'!$B$1:$D$1,0))="Auto","Board member 2 (auto), ","")IF(INDEX('MOA role matrix'!$B$2:$D$13,7,MATCH($B426,'MOA role matrix'!$B$1:$D$1,0))="Fill","LOA holder 1, ","")IF(INDEX('MOA role matrix'!$B$2:$D$13,7,MATCH($B426,'MOA role matrix'!$B$1:$D$1,0))="If finance","LOA holder 1 (if finance), ","")IF(INDEX('MOA role matrix'!$B$2:$D$13,7,MATCH($B426,'MOA role matrix'!$B$1:$D$1,0))="Auto","LOA holder 1 (auto), ","")IF(INDEX('MOA role matrix'!$B$2:$D$13,8,MATCH($B426,'MOA role matrix'!$B$1:$D$1,0))="Fill","LOA holder 2, ","")IF(INDEX('MOA role matrix'!$B$2:$D$13,8,MATCH($B426,'MOA role matrix'!$B$1:$D$1,0))="If finance","LOA holder 2 (if finance), ","")IF(INDEX('MOA role matrix'!$B$2:$D$13,8,MATCH($B426,'MOA role matrix'!$B$1:$D$1,0))="Auto","LOA holder 2 (auto), ","")IF(INDEX('MOA role matrix'!$B$2:$D$13,9,MATCH($B426,'MOA role matrix'!$B$1:$D$1,0))="Fill","Senior Manager CoSec, ","")IF(INDEX('MOA role matrix'!$B$2:$D$13,9,MATCH($B426,'MOA role matrix'!$B$1:$D$1,0))="If finance","Senior Manager CoSec (if finance), ","")IF(INDEX('MOA role matrix'!$B$2:$D$13,9,MATCH($B426,'MOA role matrix'!$B$1:$D$1,0))="Auto","Senior Manager CoSec (auto), ","")IF(INDEX('MOA role matrix'!$B$2:$D$13,10,MATCH($B426,'MOA role matrix'!$B$1:$D$1,0))="Fill","Division MOI managers, ","")IF(INDEX('MOA role matrix'!$B$2:$D$13,10,MATCH($B426,'MOA role matrix'!$B$1:$D$1,0))="If finance","Division MOI managers (if finance), ","")IF(INDEX('MOA role matrix'!$B$2:$D$13,10,MATCH($B426,'MOA role matrix'!$B$1:$D$1,0))="Auto","Division MOI managers (auto), ","")IF(INDEX('MOA role matrix'!$B$2:$D$13,11,MATCH($B426,'MOA role matrix'!$B$1:$D$1,0))="Fill","Ms Teh (bank), ","")IF(INDEX('MOA role matrix'!$B$2:$D$13,11,MATCH($B426,'MOA role matrix'!$B$1:$D$1,0))="If finance","Ms Teh (bank) (if finance), ","")IF(INDEX('MOA role matrix'!$B$2:$D$13,11,MATCH($B426,'MOA role matrix'!$B$1:$D$1,0))="Auto","Ms Teh (bank) (auto), ","")IF(INDEX('MOA role matrix'!$B$2:$D$13,12,MATCH($B426,'MOA role matrix'!$B$1:$D$1,0))="Fill","DLCM, ","")IF(INDEX('MOA role matrix'!$B$2:$D$13,12,MATCH($B426,'MOA role matrix'!$B$1:$D$1,0))="If finance","DLCM (if finance), ","")IF(INDEX('MOA role matrix'!$B$2:$D$13,12,MATCH($B426,'MOA role matrix'!$B$1:$D$1,0))="Auto","DLCM (auto), ","")))</f>
        <v/>
      </c>
      <c r="D426" s="5">
        <f>IF($A426="","",IFERROR(INDEX(FILTER('Client contacts'!$B$2:$B$500,('Client contacts'!$A$2:$A$500=$A426)*('Client contacts'!$H$2:$H$500="Y"),""),1),""))</f>
        <v/>
      </c>
      <c r="E426" s="5">
        <f>IF($A426="","",IFERROR(INDEX(FILTER('Client contacts'!$C$2:$C$500,('Client contacts'!$A$2:$A$500=$A426)*('Client contacts'!$H$2:$H$500="Y"),""),1),""))</f>
        <v/>
      </c>
      <c r="F426" s="5">
        <f>IF($A426="","",IFERROR(INDEX(FILTER('Client contacts'!$B$2:$B$500,('Client contacts'!$A$2:$A$500=$A426)*('Client contacts'!$G$2:$G$500="Y"),""),1),""))</f>
        <v/>
      </c>
      <c r="G426" s="5">
        <f>IF($A426="","",IFERROR(INDEX(FILTER('Client contacts'!$C$2:$C$500,('Client contacts'!$A$2:$A$500=$A426)*('Client contacts'!$G$2:$G$500="Y"),""),1),""))</f>
        <v/>
      </c>
      <c r="H426" s="5">
        <f>IF($A426="","",IFERROR(INDEX(FILTER('Client contacts'!$B$2:$B$500,('Client contacts'!$A$2:$A$500=$A426)*('Client contacts'!$G$2:$G$500="Y"),""),2),""))</f>
        <v/>
      </c>
      <c r="I426" s="5">
        <f>IF($A426="","",IFERROR(INDEX(FILTER('Client contacts'!$C$2:$C$500,('Client contacts'!$A$2:$A$500=$A426)*('Client contacts'!$G$2:$G$500="Y"),""),2),""))</f>
        <v/>
      </c>
      <c r="J426" s="8" t="n"/>
      <c r="K426" s="8" t="n"/>
      <c r="L426" s="8" t="n"/>
      <c r="M426" s="8" t="n"/>
      <c r="N426" s="8" t="n"/>
      <c r="O426" s="8" t="n"/>
      <c r="P426" s="8" t="n"/>
      <c r="Q426" s="8" t="n"/>
      <c r="R426" s="5">
        <f>IF($A426="","",IFERROR(INDEX(Companies!$I$2:$I$500,MATCH($A426,Companies!$A$2:$A$500,0)),""))</f>
        <v/>
      </c>
      <c r="S426" s="8" t="n"/>
      <c r="T426" s="8" t="n"/>
      <c r="U426" s="8" t="n"/>
      <c r="V426" s="8" t="n"/>
      <c r="W426" s="8" t="n"/>
    </row>
    <row r="427">
      <c r="C427" s="5">
        <f>IF($B427="","",TRIM(IF(INDEX('MOA role matrix'!$B$2:$D$13,1,MATCH($B427,'MOA role matrix'!$B$1:$D$1,0))="Fill","Project initiator, ","")IF(INDEX('MOA role matrix'!$B$2:$D$13,1,MATCH($B427,'MOA role matrix'!$B$1:$D$1,0))="If finance","Project initiator (if finance), ","")IF(INDEX('MOA role matrix'!$B$2:$D$13,1,MATCH($B427,'MOA role matrix'!$B$1:$D$1,0))="Auto","Project initiator (auto), ","")IF(INDEX('MOA role matrix'!$B$2:$D$13,2,MATCH($B427,'MOA role matrix'!$B$1:$D$1,0))="Fill","MOA signers (client), ","")IF(INDEX('MOA role matrix'!$B$2:$D$13,2,MATCH($B427,'MOA role matrix'!$B$1:$D$1,0))="If finance","MOA signers (client) (if finance), ","")IF(INDEX('MOA role matrix'!$B$2:$D$13,2,MATCH($B427,'MOA role matrix'!$B$1:$D$1,0))="Auto","MOA signers (client) (auto), ","")IF(INDEX('MOA role matrix'!$B$2:$D$13,3,MATCH($B427,'MOA role matrix'!$B$1:$D$1,0))="Fill","CFO / Head of Finance, ","")IF(INDEX('MOA role matrix'!$B$2:$D$13,3,MATCH($B427,'MOA role matrix'!$B$1:$D$1,0))="If finance","CFO / Head of Finance (if finance), ","")IF(INDEX('MOA role matrix'!$B$2:$D$13,3,MATCH($B427,'MOA role matrix'!$B$1:$D$1,0))="Auto","CFO / Head of Finance (auto), ","")IF(INDEX('MOA role matrix'!$B$2:$D$13,4,MATCH($B427,'MOA role matrix'!$B$1:$D$1,0))="Fill","CEO / COO / GM, ","")IF(INDEX('MOA role matrix'!$B$2:$D$13,4,MATCH($B427,'MOA role matrix'!$B$1:$D$1,0))="If finance","CEO / COO / GM (if finance), ","")IF(INDEX('MOA role matrix'!$B$2:$D$13,4,MATCH($B427,'MOA role matrix'!$B$1:$D$1,0))="Auto","CEO / COO / GM (auto), ","")IF(INDEX('MOA role matrix'!$B$2:$D$13,5,MATCH($B427,'MOA role matrix'!$B$1:$D$1,0))="Fill","Board member 1, ","")IF(INDEX('MOA role matrix'!$B$2:$D$13,5,MATCH($B427,'MOA role matrix'!$B$1:$D$1,0))="If finance","Board member 1 (if finance), ","")IF(INDEX('MOA role matrix'!$B$2:$D$13,5,MATCH($B427,'MOA role matrix'!$B$1:$D$1,0))="Auto","Board member 1 (auto), ","")IF(INDEX('MOA role matrix'!$B$2:$D$13,6,MATCH($B427,'MOA role matrix'!$B$1:$D$1,0))="Fill","Board member 2, ","")IF(INDEX('MOA role matrix'!$B$2:$D$13,6,MATCH($B427,'MOA role matrix'!$B$1:$D$1,0))="If finance","Board member 2 (if finance), ","")IF(INDEX('MOA role matrix'!$B$2:$D$13,6,MATCH($B427,'MOA role matrix'!$B$1:$D$1,0))="Auto","Board member 2 (auto), ","")IF(INDEX('MOA role matrix'!$B$2:$D$13,7,MATCH($B427,'MOA role matrix'!$B$1:$D$1,0))="Fill","LOA holder 1, ","")IF(INDEX('MOA role matrix'!$B$2:$D$13,7,MATCH($B427,'MOA role matrix'!$B$1:$D$1,0))="If finance","LOA holder 1 (if finance), ","")IF(INDEX('MOA role matrix'!$B$2:$D$13,7,MATCH($B427,'MOA role matrix'!$B$1:$D$1,0))="Auto","LOA holder 1 (auto), ","")IF(INDEX('MOA role matrix'!$B$2:$D$13,8,MATCH($B427,'MOA role matrix'!$B$1:$D$1,0))="Fill","LOA holder 2, ","")IF(INDEX('MOA role matrix'!$B$2:$D$13,8,MATCH($B427,'MOA role matrix'!$B$1:$D$1,0))="If finance","LOA holder 2 (if finance), ","")IF(INDEX('MOA role matrix'!$B$2:$D$13,8,MATCH($B427,'MOA role matrix'!$B$1:$D$1,0))="Auto","LOA holder 2 (auto), ","")IF(INDEX('MOA role matrix'!$B$2:$D$13,9,MATCH($B427,'MOA role matrix'!$B$1:$D$1,0))="Fill","Senior Manager CoSec, ","")IF(INDEX('MOA role matrix'!$B$2:$D$13,9,MATCH($B427,'MOA role matrix'!$B$1:$D$1,0))="If finance","Senior Manager CoSec (if finance), ","")IF(INDEX('MOA role matrix'!$B$2:$D$13,9,MATCH($B427,'MOA role matrix'!$B$1:$D$1,0))="Auto","Senior Manager CoSec (auto), ","")IF(INDEX('MOA role matrix'!$B$2:$D$13,10,MATCH($B427,'MOA role matrix'!$B$1:$D$1,0))="Fill","Division MOI managers, ","")IF(INDEX('MOA role matrix'!$B$2:$D$13,10,MATCH($B427,'MOA role matrix'!$B$1:$D$1,0))="If finance","Division MOI managers (if finance), ","")IF(INDEX('MOA role matrix'!$B$2:$D$13,10,MATCH($B427,'MOA role matrix'!$B$1:$D$1,0))="Auto","Division MOI managers (auto), ","")IF(INDEX('MOA role matrix'!$B$2:$D$13,11,MATCH($B427,'MOA role matrix'!$B$1:$D$1,0))="Fill","Ms Teh (bank), ","")IF(INDEX('MOA role matrix'!$B$2:$D$13,11,MATCH($B427,'MOA role matrix'!$B$1:$D$1,0))="If finance","Ms Teh (bank) (if finance), ","")IF(INDEX('MOA role matrix'!$B$2:$D$13,11,MATCH($B427,'MOA role matrix'!$B$1:$D$1,0))="Auto","Ms Teh (bank) (auto), ","")IF(INDEX('MOA role matrix'!$B$2:$D$13,12,MATCH($B427,'MOA role matrix'!$B$1:$D$1,0))="Fill","DLCM, ","")IF(INDEX('MOA role matrix'!$B$2:$D$13,12,MATCH($B427,'MOA role matrix'!$B$1:$D$1,0))="If finance","DLCM (if finance), ","")IF(INDEX('MOA role matrix'!$B$2:$D$13,12,MATCH($B427,'MOA role matrix'!$B$1:$D$1,0))="Auto","DLCM (auto), ","")))</f>
        <v/>
      </c>
      <c r="D427" s="5">
        <f>IF($A427="","",IFERROR(INDEX(FILTER('Client contacts'!$B$2:$B$500,('Client contacts'!$A$2:$A$500=$A427)*('Client contacts'!$H$2:$H$500="Y"),""),1),""))</f>
        <v/>
      </c>
      <c r="E427" s="5">
        <f>IF($A427="","",IFERROR(INDEX(FILTER('Client contacts'!$C$2:$C$500,('Client contacts'!$A$2:$A$500=$A427)*('Client contacts'!$H$2:$H$500="Y"),""),1),""))</f>
        <v/>
      </c>
      <c r="F427" s="5">
        <f>IF($A427="","",IFERROR(INDEX(FILTER('Client contacts'!$B$2:$B$500,('Client contacts'!$A$2:$A$500=$A427)*('Client contacts'!$G$2:$G$500="Y"),""),1),""))</f>
        <v/>
      </c>
      <c r="G427" s="5">
        <f>IF($A427="","",IFERROR(INDEX(FILTER('Client contacts'!$C$2:$C$500,('Client contacts'!$A$2:$A$500=$A427)*('Client contacts'!$G$2:$G$500="Y"),""),1),""))</f>
        <v/>
      </c>
      <c r="H427" s="5">
        <f>IF($A427="","",IFERROR(INDEX(FILTER('Client contacts'!$B$2:$B$500,('Client contacts'!$A$2:$A$500=$A427)*('Client contacts'!$G$2:$G$500="Y"),""),2),""))</f>
        <v/>
      </c>
      <c r="I427" s="5">
        <f>IF($A427="","",IFERROR(INDEX(FILTER('Client contacts'!$C$2:$C$500,('Client contacts'!$A$2:$A$500=$A427)*('Client contacts'!$G$2:$G$500="Y"),""),2),""))</f>
        <v/>
      </c>
      <c r="J427" s="8" t="n"/>
      <c r="K427" s="8" t="n"/>
      <c r="L427" s="8" t="n"/>
      <c r="M427" s="8" t="n"/>
      <c r="N427" s="8" t="n"/>
      <c r="O427" s="8" t="n"/>
      <c r="P427" s="8" t="n"/>
      <c r="Q427" s="8" t="n"/>
      <c r="R427" s="5">
        <f>IF($A427="","",IFERROR(INDEX(Companies!$I$2:$I$500,MATCH($A427,Companies!$A$2:$A$500,0)),""))</f>
        <v/>
      </c>
      <c r="S427" s="8" t="n"/>
      <c r="T427" s="8" t="n"/>
      <c r="U427" s="8" t="n"/>
      <c r="V427" s="8" t="n"/>
      <c r="W427" s="8" t="n"/>
    </row>
    <row r="428">
      <c r="C428" s="5">
        <f>IF($B428="","",TRIM(IF(INDEX('MOA role matrix'!$B$2:$D$13,1,MATCH($B428,'MOA role matrix'!$B$1:$D$1,0))="Fill","Project initiator, ","")IF(INDEX('MOA role matrix'!$B$2:$D$13,1,MATCH($B428,'MOA role matrix'!$B$1:$D$1,0))="If finance","Project initiator (if finance), ","")IF(INDEX('MOA role matrix'!$B$2:$D$13,1,MATCH($B428,'MOA role matrix'!$B$1:$D$1,0))="Auto","Project initiator (auto), ","")IF(INDEX('MOA role matrix'!$B$2:$D$13,2,MATCH($B428,'MOA role matrix'!$B$1:$D$1,0))="Fill","MOA signers (client), ","")IF(INDEX('MOA role matrix'!$B$2:$D$13,2,MATCH($B428,'MOA role matrix'!$B$1:$D$1,0))="If finance","MOA signers (client) (if finance), ","")IF(INDEX('MOA role matrix'!$B$2:$D$13,2,MATCH($B428,'MOA role matrix'!$B$1:$D$1,0))="Auto","MOA signers (client) (auto), ","")IF(INDEX('MOA role matrix'!$B$2:$D$13,3,MATCH($B428,'MOA role matrix'!$B$1:$D$1,0))="Fill","CFO / Head of Finance, ","")IF(INDEX('MOA role matrix'!$B$2:$D$13,3,MATCH($B428,'MOA role matrix'!$B$1:$D$1,0))="If finance","CFO / Head of Finance (if finance), ","")IF(INDEX('MOA role matrix'!$B$2:$D$13,3,MATCH($B428,'MOA role matrix'!$B$1:$D$1,0))="Auto","CFO / Head of Finance (auto), ","")IF(INDEX('MOA role matrix'!$B$2:$D$13,4,MATCH($B428,'MOA role matrix'!$B$1:$D$1,0))="Fill","CEO / COO / GM, ","")IF(INDEX('MOA role matrix'!$B$2:$D$13,4,MATCH($B428,'MOA role matrix'!$B$1:$D$1,0))="If finance","CEO / COO / GM (if finance), ","")IF(INDEX('MOA role matrix'!$B$2:$D$13,4,MATCH($B428,'MOA role matrix'!$B$1:$D$1,0))="Auto","CEO / COO / GM (auto), ","")IF(INDEX('MOA role matrix'!$B$2:$D$13,5,MATCH($B428,'MOA role matrix'!$B$1:$D$1,0))="Fill","Board member 1, ","")IF(INDEX('MOA role matrix'!$B$2:$D$13,5,MATCH($B428,'MOA role matrix'!$B$1:$D$1,0))="If finance","Board member 1 (if finance), ","")IF(INDEX('MOA role matrix'!$B$2:$D$13,5,MATCH($B428,'MOA role matrix'!$B$1:$D$1,0))="Auto","Board member 1 (auto), ","")IF(INDEX('MOA role matrix'!$B$2:$D$13,6,MATCH($B428,'MOA role matrix'!$B$1:$D$1,0))="Fill","Board member 2, ","")IF(INDEX('MOA role matrix'!$B$2:$D$13,6,MATCH($B428,'MOA role matrix'!$B$1:$D$1,0))="If finance","Board member 2 (if finance), ","")IF(INDEX('MOA role matrix'!$B$2:$D$13,6,MATCH($B428,'MOA role matrix'!$B$1:$D$1,0))="Auto","Board member 2 (auto), ","")IF(INDEX('MOA role matrix'!$B$2:$D$13,7,MATCH($B428,'MOA role matrix'!$B$1:$D$1,0))="Fill","LOA holder 1, ","")IF(INDEX('MOA role matrix'!$B$2:$D$13,7,MATCH($B428,'MOA role matrix'!$B$1:$D$1,0))="If finance","LOA holder 1 (if finance), ","")IF(INDEX('MOA role matrix'!$B$2:$D$13,7,MATCH($B428,'MOA role matrix'!$B$1:$D$1,0))="Auto","LOA holder 1 (auto), ","")IF(INDEX('MOA role matrix'!$B$2:$D$13,8,MATCH($B428,'MOA role matrix'!$B$1:$D$1,0))="Fill","LOA holder 2, ","")IF(INDEX('MOA role matrix'!$B$2:$D$13,8,MATCH($B428,'MOA role matrix'!$B$1:$D$1,0))="If finance","LOA holder 2 (if finance), ","")IF(INDEX('MOA role matrix'!$B$2:$D$13,8,MATCH($B428,'MOA role matrix'!$B$1:$D$1,0))="Auto","LOA holder 2 (auto), ","")IF(INDEX('MOA role matrix'!$B$2:$D$13,9,MATCH($B428,'MOA role matrix'!$B$1:$D$1,0))="Fill","Senior Manager CoSec, ","")IF(INDEX('MOA role matrix'!$B$2:$D$13,9,MATCH($B428,'MOA role matrix'!$B$1:$D$1,0))="If finance","Senior Manager CoSec (if finance), ","")IF(INDEX('MOA role matrix'!$B$2:$D$13,9,MATCH($B428,'MOA role matrix'!$B$1:$D$1,0))="Auto","Senior Manager CoSec (auto), ","")IF(INDEX('MOA role matrix'!$B$2:$D$13,10,MATCH($B428,'MOA role matrix'!$B$1:$D$1,0))="Fill","Division MOI managers, ","")IF(INDEX('MOA role matrix'!$B$2:$D$13,10,MATCH($B428,'MOA role matrix'!$B$1:$D$1,0))="If finance","Division MOI managers (if finance), ","")IF(INDEX('MOA role matrix'!$B$2:$D$13,10,MATCH($B428,'MOA role matrix'!$B$1:$D$1,0))="Auto","Division MOI managers (auto), ","")IF(INDEX('MOA role matrix'!$B$2:$D$13,11,MATCH($B428,'MOA role matrix'!$B$1:$D$1,0))="Fill","Ms Teh (bank), ","")IF(INDEX('MOA role matrix'!$B$2:$D$13,11,MATCH($B428,'MOA role matrix'!$B$1:$D$1,0))="If finance","Ms Teh (bank) (if finance), ","")IF(INDEX('MOA role matrix'!$B$2:$D$13,11,MATCH($B428,'MOA role matrix'!$B$1:$D$1,0))="Auto","Ms Teh (bank) (auto), ","")IF(INDEX('MOA role matrix'!$B$2:$D$13,12,MATCH($B428,'MOA role matrix'!$B$1:$D$1,0))="Fill","DLCM, ","")IF(INDEX('MOA role matrix'!$B$2:$D$13,12,MATCH($B428,'MOA role matrix'!$B$1:$D$1,0))="If finance","DLCM (if finance), ","")IF(INDEX('MOA role matrix'!$B$2:$D$13,12,MATCH($B428,'MOA role matrix'!$B$1:$D$1,0))="Auto","DLCM (auto), ","")))</f>
        <v/>
      </c>
      <c r="D428" s="5">
        <f>IF($A428="","",IFERROR(INDEX(FILTER('Client contacts'!$B$2:$B$500,('Client contacts'!$A$2:$A$500=$A428)*('Client contacts'!$H$2:$H$500="Y"),""),1),""))</f>
        <v/>
      </c>
      <c r="E428" s="5">
        <f>IF($A428="","",IFERROR(INDEX(FILTER('Client contacts'!$C$2:$C$500,('Client contacts'!$A$2:$A$500=$A428)*('Client contacts'!$H$2:$H$500="Y"),""),1),""))</f>
        <v/>
      </c>
      <c r="F428" s="5">
        <f>IF($A428="","",IFERROR(INDEX(FILTER('Client contacts'!$B$2:$B$500,('Client contacts'!$A$2:$A$500=$A428)*('Client contacts'!$G$2:$G$500="Y"),""),1),""))</f>
        <v/>
      </c>
      <c r="G428" s="5">
        <f>IF($A428="","",IFERROR(INDEX(FILTER('Client contacts'!$C$2:$C$500,('Client contacts'!$A$2:$A$500=$A428)*('Client contacts'!$G$2:$G$500="Y"),""),1),""))</f>
        <v/>
      </c>
      <c r="H428" s="5">
        <f>IF($A428="","",IFERROR(INDEX(FILTER('Client contacts'!$B$2:$B$500,('Client contacts'!$A$2:$A$500=$A428)*('Client contacts'!$G$2:$G$500="Y"),""),2),""))</f>
        <v/>
      </c>
      <c r="I428" s="5">
        <f>IF($A428="","",IFERROR(INDEX(FILTER('Client contacts'!$C$2:$C$500,('Client contacts'!$A$2:$A$500=$A428)*('Client contacts'!$G$2:$G$500="Y"),""),2),""))</f>
        <v/>
      </c>
      <c r="J428" s="8" t="n"/>
      <c r="K428" s="8" t="n"/>
      <c r="L428" s="8" t="n"/>
      <c r="M428" s="8" t="n"/>
      <c r="N428" s="8" t="n"/>
      <c r="O428" s="8" t="n"/>
      <c r="P428" s="8" t="n"/>
      <c r="Q428" s="8" t="n"/>
      <c r="R428" s="5">
        <f>IF($A428="","",IFERROR(INDEX(Companies!$I$2:$I$500,MATCH($A428,Companies!$A$2:$A$500,0)),""))</f>
        <v/>
      </c>
      <c r="S428" s="8" t="n"/>
      <c r="T428" s="8" t="n"/>
      <c r="U428" s="8" t="n"/>
      <c r="V428" s="8" t="n"/>
      <c r="W428" s="8" t="n"/>
    </row>
    <row r="429">
      <c r="C429" s="5">
        <f>IF($B429="","",TRIM(IF(INDEX('MOA role matrix'!$B$2:$D$13,1,MATCH($B429,'MOA role matrix'!$B$1:$D$1,0))="Fill","Project initiator, ","")IF(INDEX('MOA role matrix'!$B$2:$D$13,1,MATCH($B429,'MOA role matrix'!$B$1:$D$1,0))="If finance","Project initiator (if finance), ","")IF(INDEX('MOA role matrix'!$B$2:$D$13,1,MATCH($B429,'MOA role matrix'!$B$1:$D$1,0))="Auto","Project initiator (auto), ","")IF(INDEX('MOA role matrix'!$B$2:$D$13,2,MATCH($B429,'MOA role matrix'!$B$1:$D$1,0))="Fill","MOA signers (client), ","")IF(INDEX('MOA role matrix'!$B$2:$D$13,2,MATCH($B429,'MOA role matrix'!$B$1:$D$1,0))="If finance","MOA signers (client) (if finance), ","")IF(INDEX('MOA role matrix'!$B$2:$D$13,2,MATCH($B429,'MOA role matrix'!$B$1:$D$1,0))="Auto","MOA signers (client) (auto), ","")IF(INDEX('MOA role matrix'!$B$2:$D$13,3,MATCH($B429,'MOA role matrix'!$B$1:$D$1,0))="Fill","CFO / Head of Finance, ","")IF(INDEX('MOA role matrix'!$B$2:$D$13,3,MATCH($B429,'MOA role matrix'!$B$1:$D$1,0))="If finance","CFO / Head of Finance (if finance), ","")IF(INDEX('MOA role matrix'!$B$2:$D$13,3,MATCH($B429,'MOA role matrix'!$B$1:$D$1,0))="Auto","CFO / Head of Finance (auto), ","")IF(INDEX('MOA role matrix'!$B$2:$D$13,4,MATCH($B429,'MOA role matrix'!$B$1:$D$1,0))="Fill","CEO / COO / GM, ","")IF(INDEX('MOA role matrix'!$B$2:$D$13,4,MATCH($B429,'MOA role matrix'!$B$1:$D$1,0))="If finance","CEO / COO / GM (if finance), ","")IF(INDEX('MOA role matrix'!$B$2:$D$13,4,MATCH($B429,'MOA role matrix'!$B$1:$D$1,0))="Auto","CEO / COO / GM (auto), ","")IF(INDEX('MOA role matrix'!$B$2:$D$13,5,MATCH($B429,'MOA role matrix'!$B$1:$D$1,0))="Fill","Board member 1, ","")IF(INDEX('MOA role matrix'!$B$2:$D$13,5,MATCH($B429,'MOA role matrix'!$B$1:$D$1,0))="If finance","Board member 1 (if finance), ","")IF(INDEX('MOA role matrix'!$B$2:$D$13,5,MATCH($B429,'MOA role matrix'!$B$1:$D$1,0))="Auto","Board member 1 (auto), ","")IF(INDEX('MOA role matrix'!$B$2:$D$13,6,MATCH($B429,'MOA role matrix'!$B$1:$D$1,0))="Fill","Board member 2, ","")IF(INDEX('MOA role matrix'!$B$2:$D$13,6,MATCH($B429,'MOA role matrix'!$B$1:$D$1,0))="If finance","Board member 2 (if finance), ","")IF(INDEX('MOA role matrix'!$B$2:$D$13,6,MATCH($B429,'MOA role matrix'!$B$1:$D$1,0))="Auto","Board member 2 (auto), ","")IF(INDEX('MOA role matrix'!$B$2:$D$13,7,MATCH($B429,'MOA role matrix'!$B$1:$D$1,0))="Fill","LOA holder 1, ","")IF(INDEX('MOA role matrix'!$B$2:$D$13,7,MATCH($B429,'MOA role matrix'!$B$1:$D$1,0))="If finance","LOA holder 1 (if finance), ","")IF(INDEX('MOA role matrix'!$B$2:$D$13,7,MATCH($B429,'MOA role matrix'!$B$1:$D$1,0))="Auto","LOA holder 1 (auto), ","")IF(INDEX('MOA role matrix'!$B$2:$D$13,8,MATCH($B429,'MOA role matrix'!$B$1:$D$1,0))="Fill","LOA holder 2, ","")IF(INDEX('MOA role matrix'!$B$2:$D$13,8,MATCH($B429,'MOA role matrix'!$B$1:$D$1,0))="If finance","LOA holder 2 (if finance), ","")IF(INDEX('MOA role matrix'!$B$2:$D$13,8,MATCH($B429,'MOA role matrix'!$B$1:$D$1,0))="Auto","LOA holder 2 (auto), ","")IF(INDEX('MOA role matrix'!$B$2:$D$13,9,MATCH($B429,'MOA role matrix'!$B$1:$D$1,0))="Fill","Senior Manager CoSec, ","")IF(INDEX('MOA role matrix'!$B$2:$D$13,9,MATCH($B429,'MOA role matrix'!$B$1:$D$1,0))="If finance","Senior Manager CoSec (if finance), ","")IF(INDEX('MOA role matrix'!$B$2:$D$13,9,MATCH($B429,'MOA role matrix'!$B$1:$D$1,0))="Auto","Senior Manager CoSec (auto), ","")IF(INDEX('MOA role matrix'!$B$2:$D$13,10,MATCH($B429,'MOA role matrix'!$B$1:$D$1,0))="Fill","Division MOI managers, ","")IF(INDEX('MOA role matrix'!$B$2:$D$13,10,MATCH($B429,'MOA role matrix'!$B$1:$D$1,0))="If finance","Division MOI managers (if finance), ","")IF(INDEX('MOA role matrix'!$B$2:$D$13,10,MATCH($B429,'MOA role matrix'!$B$1:$D$1,0))="Auto","Division MOI managers (auto), ","")IF(INDEX('MOA role matrix'!$B$2:$D$13,11,MATCH($B429,'MOA role matrix'!$B$1:$D$1,0))="Fill","Ms Teh (bank), ","")IF(INDEX('MOA role matrix'!$B$2:$D$13,11,MATCH($B429,'MOA role matrix'!$B$1:$D$1,0))="If finance","Ms Teh (bank) (if finance), ","")IF(INDEX('MOA role matrix'!$B$2:$D$13,11,MATCH($B429,'MOA role matrix'!$B$1:$D$1,0))="Auto","Ms Teh (bank) (auto), ","")IF(INDEX('MOA role matrix'!$B$2:$D$13,12,MATCH($B429,'MOA role matrix'!$B$1:$D$1,0))="Fill","DLCM, ","")IF(INDEX('MOA role matrix'!$B$2:$D$13,12,MATCH($B429,'MOA role matrix'!$B$1:$D$1,0))="If finance","DLCM (if finance), ","")IF(INDEX('MOA role matrix'!$B$2:$D$13,12,MATCH($B429,'MOA role matrix'!$B$1:$D$1,0))="Auto","DLCM (auto), ","")))</f>
        <v/>
      </c>
      <c r="D429" s="5">
        <f>IF($A429="","",IFERROR(INDEX(FILTER('Client contacts'!$B$2:$B$500,('Client contacts'!$A$2:$A$500=$A429)*('Client contacts'!$H$2:$H$500="Y"),""),1),""))</f>
        <v/>
      </c>
      <c r="E429" s="5">
        <f>IF($A429="","",IFERROR(INDEX(FILTER('Client contacts'!$C$2:$C$500,('Client contacts'!$A$2:$A$500=$A429)*('Client contacts'!$H$2:$H$500="Y"),""),1),""))</f>
        <v/>
      </c>
      <c r="F429" s="5">
        <f>IF($A429="","",IFERROR(INDEX(FILTER('Client contacts'!$B$2:$B$500,('Client contacts'!$A$2:$A$500=$A429)*('Client contacts'!$G$2:$G$500="Y"),""),1),""))</f>
        <v/>
      </c>
      <c r="G429" s="5">
        <f>IF($A429="","",IFERROR(INDEX(FILTER('Client contacts'!$C$2:$C$500,('Client contacts'!$A$2:$A$500=$A429)*('Client contacts'!$G$2:$G$500="Y"),""),1),""))</f>
        <v/>
      </c>
      <c r="H429" s="5">
        <f>IF($A429="","",IFERROR(INDEX(FILTER('Client contacts'!$B$2:$B$500,('Client contacts'!$A$2:$A$500=$A429)*('Client contacts'!$G$2:$G$500="Y"),""),2),""))</f>
        <v/>
      </c>
      <c r="I429" s="5">
        <f>IF($A429="","",IFERROR(INDEX(FILTER('Client contacts'!$C$2:$C$500,('Client contacts'!$A$2:$A$500=$A429)*('Client contacts'!$G$2:$G$500="Y"),""),2),""))</f>
        <v/>
      </c>
      <c r="J429" s="8" t="n"/>
      <c r="K429" s="8" t="n"/>
      <c r="L429" s="8" t="n"/>
      <c r="M429" s="8" t="n"/>
      <c r="N429" s="8" t="n"/>
      <c r="O429" s="8" t="n"/>
      <c r="P429" s="8" t="n"/>
      <c r="Q429" s="8" t="n"/>
      <c r="R429" s="5">
        <f>IF($A429="","",IFERROR(INDEX(Companies!$I$2:$I$500,MATCH($A429,Companies!$A$2:$A$500,0)),""))</f>
        <v/>
      </c>
      <c r="S429" s="8" t="n"/>
      <c r="T429" s="8" t="n"/>
      <c r="U429" s="8" t="n"/>
      <c r="V429" s="8" t="n"/>
      <c r="W429" s="8" t="n"/>
    </row>
    <row r="430">
      <c r="C430" s="5">
        <f>IF($B430="","",TRIM(IF(INDEX('MOA role matrix'!$B$2:$D$13,1,MATCH($B430,'MOA role matrix'!$B$1:$D$1,0))="Fill","Project initiator, ","")IF(INDEX('MOA role matrix'!$B$2:$D$13,1,MATCH($B430,'MOA role matrix'!$B$1:$D$1,0))="If finance","Project initiator (if finance), ","")IF(INDEX('MOA role matrix'!$B$2:$D$13,1,MATCH($B430,'MOA role matrix'!$B$1:$D$1,0))="Auto","Project initiator (auto), ","")IF(INDEX('MOA role matrix'!$B$2:$D$13,2,MATCH($B430,'MOA role matrix'!$B$1:$D$1,0))="Fill","MOA signers (client), ","")IF(INDEX('MOA role matrix'!$B$2:$D$13,2,MATCH($B430,'MOA role matrix'!$B$1:$D$1,0))="If finance","MOA signers (client) (if finance), ","")IF(INDEX('MOA role matrix'!$B$2:$D$13,2,MATCH($B430,'MOA role matrix'!$B$1:$D$1,0))="Auto","MOA signers (client) (auto), ","")IF(INDEX('MOA role matrix'!$B$2:$D$13,3,MATCH($B430,'MOA role matrix'!$B$1:$D$1,0))="Fill","CFO / Head of Finance, ","")IF(INDEX('MOA role matrix'!$B$2:$D$13,3,MATCH($B430,'MOA role matrix'!$B$1:$D$1,0))="If finance","CFO / Head of Finance (if finance), ","")IF(INDEX('MOA role matrix'!$B$2:$D$13,3,MATCH($B430,'MOA role matrix'!$B$1:$D$1,0))="Auto","CFO / Head of Finance (auto), ","")IF(INDEX('MOA role matrix'!$B$2:$D$13,4,MATCH($B430,'MOA role matrix'!$B$1:$D$1,0))="Fill","CEO / COO / GM, ","")IF(INDEX('MOA role matrix'!$B$2:$D$13,4,MATCH($B430,'MOA role matrix'!$B$1:$D$1,0))="If finance","CEO / COO / GM (if finance), ","")IF(INDEX('MOA role matrix'!$B$2:$D$13,4,MATCH($B430,'MOA role matrix'!$B$1:$D$1,0))="Auto","CEO / COO / GM (auto), ","")IF(INDEX('MOA role matrix'!$B$2:$D$13,5,MATCH($B430,'MOA role matrix'!$B$1:$D$1,0))="Fill","Board member 1, ","")IF(INDEX('MOA role matrix'!$B$2:$D$13,5,MATCH($B430,'MOA role matrix'!$B$1:$D$1,0))="If finance","Board member 1 (if finance), ","")IF(INDEX('MOA role matrix'!$B$2:$D$13,5,MATCH($B430,'MOA role matrix'!$B$1:$D$1,0))="Auto","Board member 1 (auto), ","")IF(INDEX('MOA role matrix'!$B$2:$D$13,6,MATCH($B430,'MOA role matrix'!$B$1:$D$1,0))="Fill","Board member 2, ","")IF(INDEX('MOA role matrix'!$B$2:$D$13,6,MATCH($B430,'MOA role matrix'!$B$1:$D$1,0))="If finance","Board member 2 (if finance), ","")IF(INDEX('MOA role matrix'!$B$2:$D$13,6,MATCH($B430,'MOA role matrix'!$B$1:$D$1,0))="Auto","Board member 2 (auto), ","")IF(INDEX('MOA role matrix'!$B$2:$D$13,7,MATCH($B430,'MOA role matrix'!$B$1:$D$1,0))="Fill","LOA holder 1, ","")IF(INDEX('MOA role matrix'!$B$2:$D$13,7,MATCH($B430,'MOA role matrix'!$B$1:$D$1,0))="If finance","LOA holder 1 (if finance), ","")IF(INDEX('MOA role matrix'!$B$2:$D$13,7,MATCH($B430,'MOA role matrix'!$B$1:$D$1,0))="Auto","LOA holder 1 (auto), ","")IF(INDEX('MOA role matrix'!$B$2:$D$13,8,MATCH($B430,'MOA role matrix'!$B$1:$D$1,0))="Fill","LOA holder 2, ","")IF(INDEX('MOA role matrix'!$B$2:$D$13,8,MATCH($B430,'MOA role matrix'!$B$1:$D$1,0))="If finance","LOA holder 2 (if finance), ","")IF(INDEX('MOA role matrix'!$B$2:$D$13,8,MATCH($B430,'MOA role matrix'!$B$1:$D$1,0))="Auto","LOA holder 2 (auto), ","")IF(INDEX('MOA role matrix'!$B$2:$D$13,9,MATCH($B430,'MOA role matrix'!$B$1:$D$1,0))="Fill","Senior Manager CoSec, ","")IF(INDEX('MOA role matrix'!$B$2:$D$13,9,MATCH($B430,'MOA role matrix'!$B$1:$D$1,0))="If finance","Senior Manager CoSec (if finance), ","")IF(INDEX('MOA role matrix'!$B$2:$D$13,9,MATCH($B430,'MOA role matrix'!$B$1:$D$1,0))="Auto","Senior Manager CoSec (auto), ","")IF(INDEX('MOA role matrix'!$B$2:$D$13,10,MATCH($B430,'MOA role matrix'!$B$1:$D$1,0))="Fill","Division MOI managers, ","")IF(INDEX('MOA role matrix'!$B$2:$D$13,10,MATCH($B430,'MOA role matrix'!$B$1:$D$1,0))="If finance","Division MOI managers (if finance), ","")IF(INDEX('MOA role matrix'!$B$2:$D$13,10,MATCH($B430,'MOA role matrix'!$B$1:$D$1,0))="Auto","Division MOI managers (auto), ","")IF(INDEX('MOA role matrix'!$B$2:$D$13,11,MATCH($B430,'MOA role matrix'!$B$1:$D$1,0))="Fill","Ms Teh (bank), ","")IF(INDEX('MOA role matrix'!$B$2:$D$13,11,MATCH($B430,'MOA role matrix'!$B$1:$D$1,0))="If finance","Ms Teh (bank) (if finance), ","")IF(INDEX('MOA role matrix'!$B$2:$D$13,11,MATCH($B430,'MOA role matrix'!$B$1:$D$1,0))="Auto","Ms Teh (bank) (auto), ","")IF(INDEX('MOA role matrix'!$B$2:$D$13,12,MATCH($B430,'MOA role matrix'!$B$1:$D$1,0))="Fill","DLCM, ","")IF(INDEX('MOA role matrix'!$B$2:$D$13,12,MATCH($B430,'MOA role matrix'!$B$1:$D$1,0))="If finance","DLCM (if finance), ","")IF(INDEX('MOA role matrix'!$B$2:$D$13,12,MATCH($B430,'MOA role matrix'!$B$1:$D$1,0))="Auto","DLCM (auto), ","")))</f>
        <v/>
      </c>
      <c r="D430" s="5">
        <f>IF($A430="","",IFERROR(INDEX(FILTER('Client contacts'!$B$2:$B$500,('Client contacts'!$A$2:$A$500=$A430)*('Client contacts'!$H$2:$H$500="Y"),""),1),""))</f>
        <v/>
      </c>
      <c r="E430" s="5">
        <f>IF($A430="","",IFERROR(INDEX(FILTER('Client contacts'!$C$2:$C$500,('Client contacts'!$A$2:$A$500=$A430)*('Client contacts'!$H$2:$H$500="Y"),""),1),""))</f>
        <v/>
      </c>
      <c r="F430" s="5">
        <f>IF($A430="","",IFERROR(INDEX(FILTER('Client contacts'!$B$2:$B$500,('Client contacts'!$A$2:$A$500=$A430)*('Client contacts'!$G$2:$G$500="Y"),""),1),""))</f>
        <v/>
      </c>
      <c r="G430" s="5">
        <f>IF($A430="","",IFERROR(INDEX(FILTER('Client contacts'!$C$2:$C$500,('Client contacts'!$A$2:$A$500=$A430)*('Client contacts'!$G$2:$G$500="Y"),""),1),""))</f>
        <v/>
      </c>
      <c r="H430" s="5">
        <f>IF($A430="","",IFERROR(INDEX(FILTER('Client contacts'!$B$2:$B$500,('Client contacts'!$A$2:$A$500=$A430)*('Client contacts'!$G$2:$G$500="Y"),""),2),""))</f>
        <v/>
      </c>
      <c r="I430" s="5">
        <f>IF($A430="","",IFERROR(INDEX(FILTER('Client contacts'!$C$2:$C$500,('Client contacts'!$A$2:$A$500=$A430)*('Client contacts'!$G$2:$G$500="Y"),""),2),""))</f>
        <v/>
      </c>
      <c r="J430" s="8" t="n"/>
      <c r="K430" s="8" t="n"/>
      <c r="L430" s="8" t="n"/>
      <c r="M430" s="8" t="n"/>
      <c r="N430" s="8" t="n"/>
      <c r="O430" s="8" t="n"/>
      <c r="P430" s="8" t="n"/>
      <c r="Q430" s="8" t="n"/>
      <c r="R430" s="5">
        <f>IF($A430="","",IFERROR(INDEX(Companies!$I$2:$I$500,MATCH($A430,Companies!$A$2:$A$500,0)),""))</f>
        <v/>
      </c>
      <c r="S430" s="8" t="n"/>
      <c r="T430" s="8" t="n"/>
      <c r="U430" s="8" t="n"/>
      <c r="V430" s="8" t="n"/>
      <c r="W430" s="8" t="n"/>
    </row>
    <row r="431">
      <c r="C431" s="5">
        <f>IF($B431="","",TRIM(IF(INDEX('MOA role matrix'!$B$2:$D$13,1,MATCH($B431,'MOA role matrix'!$B$1:$D$1,0))="Fill","Project initiator, ","")IF(INDEX('MOA role matrix'!$B$2:$D$13,1,MATCH($B431,'MOA role matrix'!$B$1:$D$1,0))="If finance","Project initiator (if finance), ","")IF(INDEX('MOA role matrix'!$B$2:$D$13,1,MATCH($B431,'MOA role matrix'!$B$1:$D$1,0))="Auto","Project initiator (auto), ","")IF(INDEX('MOA role matrix'!$B$2:$D$13,2,MATCH($B431,'MOA role matrix'!$B$1:$D$1,0))="Fill","MOA signers (client), ","")IF(INDEX('MOA role matrix'!$B$2:$D$13,2,MATCH($B431,'MOA role matrix'!$B$1:$D$1,0))="If finance","MOA signers (client) (if finance), ","")IF(INDEX('MOA role matrix'!$B$2:$D$13,2,MATCH($B431,'MOA role matrix'!$B$1:$D$1,0))="Auto","MOA signers (client) (auto), ","")IF(INDEX('MOA role matrix'!$B$2:$D$13,3,MATCH($B431,'MOA role matrix'!$B$1:$D$1,0))="Fill","CFO / Head of Finance, ","")IF(INDEX('MOA role matrix'!$B$2:$D$13,3,MATCH($B431,'MOA role matrix'!$B$1:$D$1,0))="If finance","CFO / Head of Finance (if finance), ","")IF(INDEX('MOA role matrix'!$B$2:$D$13,3,MATCH($B431,'MOA role matrix'!$B$1:$D$1,0))="Auto","CFO / Head of Finance (auto), ","")IF(INDEX('MOA role matrix'!$B$2:$D$13,4,MATCH($B431,'MOA role matrix'!$B$1:$D$1,0))="Fill","CEO / COO / GM, ","")IF(INDEX('MOA role matrix'!$B$2:$D$13,4,MATCH($B431,'MOA role matrix'!$B$1:$D$1,0))="If finance","CEO / COO / GM (if finance), ","")IF(INDEX('MOA role matrix'!$B$2:$D$13,4,MATCH($B431,'MOA role matrix'!$B$1:$D$1,0))="Auto","CEO / COO / GM (auto), ","")IF(INDEX('MOA role matrix'!$B$2:$D$13,5,MATCH($B431,'MOA role matrix'!$B$1:$D$1,0))="Fill","Board member 1, ","")IF(INDEX('MOA role matrix'!$B$2:$D$13,5,MATCH($B431,'MOA role matrix'!$B$1:$D$1,0))="If finance","Board member 1 (if finance), ","")IF(INDEX('MOA role matrix'!$B$2:$D$13,5,MATCH($B431,'MOA role matrix'!$B$1:$D$1,0))="Auto","Board member 1 (auto), ","")IF(INDEX('MOA role matrix'!$B$2:$D$13,6,MATCH($B431,'MOA role matrix'!$B$1:$D$1,0))="Fill","Board member 2, ","")IF(INDEX('MOA role matrix'!$B$2:$D$13,6,MATCH($B431,'MOA role matrix'!$B$1:$D$1,0))="If finance","Board member 2 (if finance), ","")IF(INDEX('MOA role matrix'!$B$2:$D$13,6,MATCH($B431,'MOA role matrix'!$B$1:$D$1,0))="Auto","Board member 2 (auto), ","")IF(INDEX('MOA role matrix'!$B$2:$D$13,7,MATCH($B431,'MOA role matrix'!$B$1:$D$1,0))="Fill","LOA holder 1, ","")IF(INDEX('MOA role matrix'!$B$2:$D$13,7,MATCH($B431,'MOA role matrix'!$B$1:$D$1,0))="If finance","LOA holder 1 (if finance), ","")IF(INDEX('MOA role matrix'!$B$2:$D$13,7,MATCH($B431,'MOA role matrix'!$B$1:$D$1,0))="Auto","LOA holder 1 (auto), ","")IF(INDEX('MOA role matrix'!$B$2:$D$13,8,MATCH($B431,'MOA role matrix'!$B$1:$D$1,0))="Fill","LOA holder 2, ","")IF(INDEX('MOA role matrix'!$B$2:$D$13,8,MATCH($B431,'MOA role matrix'!$B$1:$D$1,0))="If finance","LOA holder 2 (if finance), ","")IF(INDEX('MOA role matrix'!$B$2:$D$13,8,MATCH($B431,'MOA role matrix'!$B$1:$D$1,0))="Auto","LOA holder 2 (auto), ","")IF(INDEX('MOA role matrix'!$B$2:$D$13,9,MATCH($B431,'MOA role matrix'!$B$1:$D$1,0))="Fill","Senior Manager CoSec, ","")IF(INDEX('MOA role matrix'!$B$2:$D$13,9,MATCH($B431,'MOA role matrix'!$B$1:$D$1,0))="If finance","Senior Manager CoSec (if finance), ","")IF(INDEX('MOA role matrix'!$B$2:$D$13,9,MATCH($B431,'MOA role matrix'!$B$1:$D$1,0))="Auto","Senior Manager CoSec (auto), ","")IF(INDEX('MOA role matrix'!$B$2:$D$13,10,MATCH($B431,'MOA role matrix'!$B$1:$D$1,0))="Fill","Division MOI managers, ","")IF(INDEX('MOA role matrix'!$B$2:$D$13,10,MATCH($B431,'MOA role matrix'!$B$1:$D$1,0))="If finance","Division MOI managers (if finance), ","")IF(INDEX('MOA role matrix'!$B$2:$D$13,10,MATCH($B431,'MOA role matrix'!$B$1:$D$1,0))="Auto","Division MOI managers (auto), ","")IF(INDEX('MOA role matrix'!$B$2:$D$13,11,MATCH($B431,'MOA role matrix'!$B$1:$D$1,0))="Fill","Ms Teh (bank), ","")IF(INDEX('MOA role matrix'!$B$2:$D$13,11,MATCH($B431,'MOA role matrix'!$B$1:$D$1,0))="If finance","Ms Teh (bank) (if finance), ","")IF(INDEX('MOA role matrix'!$B$2:$D$13,11,MATCH($B431,'MOA role matrix'!$B$1:$D$1,0))="Auto","Ms Teh (bank) (auto), ","")IF(INDEX('MOA role matrix'!$B$2:$D$13,12,MATCH($B431,'MOA role matrix'!$B$1:$D$1,0))="Fill","DLCM, ","")IF(INDEX('MOA role matrix'!$B$2:$D$13,12,MATCH($B431,'MOA role matrix'!$B$1:$D$1,0))="If finance","DLCM (if finance), ","")IF(INDEX('MOA role matrix'!$B$2:$D$13,12,MATCH($B431,'MOA role matrix'!$B$1:$D$1,0))="Auto","DLCM (auto), ","")))</f>
        <v/>
      </c>
      <c r="D431" s="5">
        <f>IF($A431="","",IFERROR(INDEX(FILTER('Client contacts'!$B$2:$B$500,('Client contacts'!$A$2:$A$500=$A431)*('Client contacts'!$H$2:$H$500="Y"),""),1),""))</f>
        <v/>
      </c>
      <c r="E431" s="5">
        <f>IF($A431="","",IFERROR(INDEX(FILTER('Client contacts'!$C$2:$C$500,('Client contacts'!$A$2:$A$500=$A431)*('Client contacts'!$H$2:$H$500="Y"),""),1),""))</f>
        <v/>
      </c>
      <c r="F431" s="5">
        <f>IF($A431="","",IFERROR(INDEX(FILTER('Client contacts'!$B$2:$B$500,('Client contacts'!$A$2:$A$500=$A431)*('Client contacts'!$G$2:$G$500="Y"),""),1),""))</f>
        <v/>
      </c>
      <c r="G431" s="5">
        <f>IF($A431="","",IFERROR(INDEX(FILTER('Client contacts'!$C$2:$C$500,('Client contacts'!$A$2:$A$500=$A431)*('Client contacts'!$G$2:$G$500="Y"),""),1),""))</f>
        <v/>
      </c>
      <c r="H431" s="5">
        <f>IF($A431="","",IFERROR(INDEX(FILTER('Client contacts'!$B$2:$B$500,('Client contacts'!$A$2:$A$500=$A431)*('Client contacts'!$G$2:$G$500="Y"),""),2),""))</f>
        <v/>
      </c>
      <c r="I431" s="5">
        <f>IF($A431="","",IFERROR(INDEX(FILTER('Client contacts'!$C$2:$C$500,('Client contacts'!$A$2:$A$500=$A431)*('Client contacts'!$G$2:$G$500="Y"),""),2),""))</f>
        <v/>
      </c>
      <c r="J431" s="8" t="n"/>
      <c r="K431" s="8" t="n"/>
      <c r="L431" s="8" t="n"/>
      <c r="M431" s="8" t="n"/>
      <c r="N431" s="8" t="n"/>
      <c r="O431" s="8" t="n"/>
      <c r="P431" s="8" t="n"/>
      <c r="Q431" s="8" t="n"/>
      <c r="R431" s="5">
        <f>IF($A431="","",IFERROR(INDEX(Companies!$I$2:$I$500,MATCH($A431,Companies!$A$2:$A$500,0)),""))</f>
        <v/>
      </c>
      <c r="S431" s="8" t="n"/>
      <c r="T431" s="8" t="n"/>
      <c r="U431" s="8" t="n"/>
      <c r="V431" s="8" t="n"/>
      <c r="W431" s="8" t="n"/>
    </row>
    <row r="432">
      <c r="C432" s="5">
        <f>IF($B432="","",TRIM(IF(INDEX('MOA role matrix'!$B$2:$D$13,1,MATCH($B432,'MOA role matrix'!$B$1:$D$1,0))="Fill","Project initiator, ","")IF(INDEX('MOA role matrix'!$B$2:$D$13,1,MATCH($B432,'MOA role matrix'!$B$1:$D$1,0))="If finance","Project initiator (if finance), ","")IF(INDEX('MOA role matrix'!$B$2:$D$13,1,MATCH($B432,'MOA role matrix'!$B$1:$D$1,0))="Auto","Project initiator (auto), ","")IF(INDEX('MOA role matrix'!$B$2:$D$13,2,MATCH($B432,'MOA role matrix'!$B$1:$D$1,0))="Fill","MOA signers (client), ","")IF(INDEX('MOA role matrix'!$B$2:$D$13,2,MATCH($B432,'MOA role matrix'!$B$1:$D$1,0))="If finance","MOA signers (client) (if finance), ","")IF(INDEX('MOA role matrix'!$B$2:$D$13,2,MATCH($B432,'MOA role matrix'!$B$1:$D$1,0))="Auto","MOA signers (client) (auto), ","")IF(INDEX('MOA role matrix'!$B$2:$D$13,3,MATCH($B432,'MOA role matrix'!$B$1:$D$1,0))="Fill","CFO / Head of Finance, ","")IF(INDEX('MOA role matrix'!$B$2:$D$13,3,MATCH($B432,'MOA role matrix'!$B$1:$D$1,0))="If finance","CFO / Head of Finance (if finance), ","")IF(INDEX('MOA role matrix'!$B$2:$D$13,3,MATCH($B432,'MOA role matrix'!$B$1:$D$1,0))="Auto","CFO / Head of Finance (auto), ","")IF(INDEX('MOA role matrix'!$B$2:$D$13,4,MATCH($B432,'MOA role matrix'!$B$1:$D$1,0))="Fill","CEO / COO / GM, ","")IF(INDEX('MOA role matrix'!$B$2:$D$13,4,MATCH($B432,'MOA role matrix'!$B$1:$D$1,0))="If finance","CEO / COO / GM (if finance), ","")IF(INDEX('MOA role matrix'!$B$2:$D$13,4,MATCH($B432,'MOA role matrix'!$B$1:$D$1,0))="Auto","CEO / COO / GM (auto), ","")IF(INDEX('MOA role matrix'!$B$2:$D$13,5,MATCH($B432,'MOA role matrix'!$B$1:$D$1,0))="Fill","Board member 1, ","")IF(INDEX('MOA role matrix'!$B$2:$D$13,5,MATCH($B432,'MOA role matrix'!$B$1:$D$1,0))="If finance","Board member 1 (if finance), ","")IF(INDEX('MOA role matrix'!$B$2:$D$13,5,MATCH($B432,'MOA role matrix'!$B$1:$D$1,0))="Auto","Board member 1 (auto), ","")IF(INDEX('MOA role matrix'!$B$2:$D$13,6,MATCH($B432,'MOA role matrix'!$B$1:$D$1,0))="Fill","Board member 2, ","")IF(INDEX('MOA role matrix'!$B$2:$D$13,6,MATCH($B432,'MOA role matrix'!$B$1:$D$1,0))="If finance","Board member 2 (if finance), ","")IF(INDEX('MOA role matrix'!$B$2:$D$13,6,MATCH($B432,'MOA role matrix'!$B$1:$D$1,0))="Auto","Board member 2 (auto), ","")IF(INDEX('MOA role matrix'!$B$2:$D$13,7,MATCH($B432,'MOA role matrix'!$B$1:$D$1,0))="Fill","LOA holder 1, ","")IF(INDEX('MOA role matrix'!$B$2:$D$13,7,MATCH($B432,'MOA role matrix'!$B$1:$D$1,0))="If finance","LOA holder 1 (if finance), ","")IF(INDEX('MOA role matrix'!$B$2:$D$13,7,MATCH($B432,'MOA role matrix'!$B$1:$D$1,0))="Auto","LOA holder 1 (auto), ","")IF(INDEX('MOA role matrix'!$B$2:$D$13,8,MATCH($B432,'MOA role matrix'!$B$1:$D$1,0))="Fill","LOA holder 2, ","")IF(INDEX('MOA role matrix'!$B$2:$D$13,8,MATCH($B432,'MOA role matrix'!$B$1:$D$1,0))="If finance","LOA holder 2 (if finance), ","")IF(INDEX('MOA role matrix'!$B$2:$D$13,8,MATCH($B432,'MOA role matrix'!$B$1:$D$1,0))="Auto","LOA holder 2 (auto), ","")IF(INDEX('MOA role matrix'!$B$2:$D$13,9,MATCH($B432,'MOA role matrix'!$B$1:$D$1,0))="Fill","Senior Manager CoSec, ","")IF(INDEX('MOA role matrix'!$B$2:$D$13,9,MATCH($B432,'MOA role matrix'!$B$1:$D$1,0))="If finance","Senior Manager CoSec (if finance), ","")IF(INDEX('MOA role matrix'!$B$2:$D$13,9,MATCH($B432,'MOA role matrix'!$B$1:$D$1,0))="Auto","Senior Manager CoSec (auto), ","")IF(INDEX('MOA role matrix'!$B$2:$D$13,10,MATCH($B432,'MOA role matrix'!$B$1:$D$1,0))="Fill","Division MOI managers, ","")IF(INDEX('MOA role matrix'!$B$2:$D$13,10,MATCH($B432,'MOA role matrix'!$B$1:$D$1,0))="If finance","Division MOI managers (if finance), ","")IF(INDEX('MOA role matrix'!$B$2:$D$13,10,MATCH($B432,'MOA role matrix'!$B$1:$D$1,0))="Auto","Division MOI managers (auto), ","")IF(INDEX('MOA role matrix'!$B$2:$D$13,11,MATCH($B432,'MOA role matrix'!$B$1:$D$1,0))="Fill","Ms Teh (bank), ","")IF(INDEX('MOA role matrix'!$B$2:$D$13,11,MATCH($B432,'MOA role matrix'!$B$1:$D$1,0))="If finance","Ms Teh (bank) (if finance), ","")IF(INDEX('MOA role matrix'!$B$2:$D$13,11,MATCH($B432,'MOA role matrix'!$B$1:$D$1,0))="Auto","Ms Teh (bank) (auto), ","")IF(INDEX('MOA role matrix'!$B$2:$D$13,12,MATCH($B432,'MOA role matrix'!$B$1:$D$1,0))="Fill","DLCM, ","")IF(INDEX('MOA role matrix'!$B$2:$D$13,12,MATCH($B432,'MOA role matrix'!$B$1:$D$1,0))="If finance","DLCM (if finance), ","")IF(INDEX('MOA role matrix'!$B$2:$D$13,12,MATCH($B432,'MOA role matrix'!$B$1:$D$1,0))="Auto","DLCM (auto), ","")))</f>
        <v/>
      </c>
      <c r="D432" s="5">
        <f>IF($A432="","",IFERROR(INDEX(FILTER('Client contacts'!$B$2:$B$500,('Client contacts'!$A$2:$A$500=$A432)*('Client contacts'!$H$2:$H$500="Y"),""),1),""))</f>
        <v/>
      </c>
      <c r="E432" s="5">
        <f>IF($A432="","",IFERROR(INDEX(FILTER('Client contacts'!$C$2:$C$500,('Client contacts'!$A$2:$A$500=$A432)*('Client contacts'!$H$2:$H$500="Y"),""),1),""))</f>
        <v/>
      </c>
      <c r="F432" s="5">
        <f>IF($A432="","",IFERROR(INDEX(FILTER('Client contacts'!$B$2:$B$500,('Client contacts'!$A$2:$A$500=$A432)*('Client contacts'!$G$2:$G$500="Y"),""),1),""))</f>
        <v/>
      </c>
      <c r="G432" s="5">
        <f>IF($A432="","",IFERROR(INDEX(FILTER('Client contacts'!$C$2:$C$500,('Client contacts'!$A$2:$A$500=$A432)*('Client contacts'!$G$2:$G$500="Y"),""),1),""))</f>
        <v/>
      </c>
      <c r="H432" s="5">
        <f>IF($A432="","",IFERROR(INDEX(FILTER('Client contacts'!$B$2:$B$500,('Client contacts'!$A$2:$A$500=$A432)*('Client contacts'!$G$2:$G$500="Y"),""),2),""))</f>
        <v/>
      </c>
      <c r="I432" s="5">
        <f>IF($A432="","",IFERROR(INDEX(FILTER('Client contacts'!$C$2:$C$500,('Client contacts'!$A$2:$A$500=$A432)*('Client contacts'!$G$2:$G$500="Y"),""),2),""))</f>
        <v/>
      </c>
      <c r="J432" s="8" t="n"/>
      <c r="K432" s="8" t="n"/>
      <c r="L432" s="8" t="n"/>
      <c r="M432" s="8" t="n"/>
      <c r="N432" s="8" t="n"/>
      <c r="O432" s="8" t="n"/>
      <c r="P432" s="8" t="n"/>
      <c r="Q432" s="8" t="n"/>
      <c r="R432" s="5">
        <f>IF($A432="","",IFERROR(INDEX(Companies!$I$2:$I$500,MATCH($A432,Companies!$A$2:$A$500,0)),""))</f>
        <v/>
      </c>
      <c r="S432" s="8" t="n"/>
      <c r="T432" s="8" t="n"/>
      <c r="U432" s="8" t="n"/>
      <c r="V432" s="8" t="n"/>
      <c r="W432" s="8" t="n"/>
    </row>
    <row r="433">
      <c r="C433" s="5">
        <f>IF($B433="","",TRIM(IF(INDEX('MOA role matrix'!$B$2:$D$13,1,MATCH($B433,'MOA role matrix'!$B$1:$D$1,0))="Fill","Project initiator, ","")IF(INDEX('MOA role matrix'!$B$2:$D$13,1,MATCH($B433,'MOA role matrix'!$B$1:$D$1,0))="If finance","Project initiator (if finance), ","")IF(INDEX('MOA role matrix'!$B$2:$D$13,1,MATCH($B433,'MOA role matrix'!$B$1:$D$1,0))="Auto","Project initiator (auto), ","")IF(INDEX('MOA role matrix'!$B$2:$D$13,2,MATCH($B433,'MOA role matrix'!$B$1:$D$1,0))="Fill","MOA signers (client), ","")IF(INDEX('MOA role matrix'!$B$2:$D$13,2,MATCH($B433,'MOA role matrix'!$B$1:$D$1,0))="If finance","MOA signers (client) (if finance), ","")IF(INDEX('MOA role matrix'!$B$2:$D$13,2,MATCH($B433,'MOA role matrix'!$B$1:$D$1,0))="Auto","MOA signers (client) (auto), ","")IF(INDEX('MOA role matrix'!$B$2:$D$13,3,MATCH($B433,'MOA role matrix'!$B$1:$D$1,0))="Fill","CFO / Head of Finance, ","")IF(INDEX('MOA role matrix'!$B$2:$D$13,3,MATCH($B433,'MOA role matrix'!$B$1:$D$1,0))="If finance","CFO / Head of Finance (if finance), ","")IF(INDEX('MOA role matrix'!$B$2:$D$13,3,MATCH($B433,'MOA role matrix'!$B$1:$D$1,0))="Auto","CFO / Head of Finance (auto), ","")IF(INDEX('MOA role matrix'!$B$2:$D$13,4,MATCH($B433,'MOA role matrix'!$B$1:$D$1,0))="Fill","CEO / COO / GM, ","")IF(INDEX('MOA role matrix'!$B$2:$D$13,4,MATCH($B433,'MOA role matrix'!$B$1:$D$1,0))="If finance","CEO / COO / GM (if finance), ","")IF(INDEX('MOA role matrix'!$B$2:$D$13,4,MATCH($B433,'MOA role matrix'!$B$1:$D$1,0))="Auto","CEO / COO / GM (auto), ","")IF(INDEX('MOA role matrix'!$B$2:$D$13,5,MATCH($B433,'MOA role matrix'!$B$1:$D$1,0))="Fill","Board member 1, ","")IF(INDEX('MOA role matrix'!$B$2:$D$13,5,MATCH($B433,'MOA role matrix'!$B$1:$D$1,0))="If finance","Board member 1 (if finance), ","")IF(INDEX('MOA role matrix'!$B$2:$D$13,5,MATCH($B433,'MOA role matrix'!$B$1:$D$1,0))="Auto","Board member 1 (auto), ","")IF(INDEX('MOA role matrix'!$B$2:$D$13,6,MATCH($B433,'MOA role matrix'!$B$1:$D$1,0))="Fill","Board member 2, ","")IF(INDEX('MOA role matrix'!$B$2:$D$13,6,MATCH($B433,'MOA role matrix'!$B$1:$D$1,0))="If finance","Board member 2 (if finance), ","")IF(INDEX('MOA role matrix'!$B$2:$D$13,6,MATCH($B433,'MOA role matrix'!$B$1:$D$1,0))="Auto","Board member 2 (auto), ","")IF(INDEX('MOA role matrix'!$B$2:$D$13,7,MATCH($B433,'MOA role matrix'!$B$1:$D$1,0))="Fill","LOA holder 1, ","")IF(INDEX('MOA role matrix'!$B$2:$D$13,7,MATCH($B433,'MOA role matrix'!$B$1:$D$1,0))="If finance","LOA holder 1 (if finance), ","")IF(INDEX('MOA role matrix'!$B$2:$D$13,7,MATCH($B433,'MOA role matrix'!$B$1:$D$1,0))="Auto","LOA holder 1 (auto), ","")IF(INDEX('MOA role matrix'!$B$2:$D$13,8,MATCH($B433,'MOA role matrix'!$B$1:$D$1,0))="Fill","LOA holder 2, ","")IF(INDEX('MOA role matrix'!$B$2:$D$13,8,MATCH($B433,'MOA role matrix'!$B$1:$D$1,0))="If finance","LOA holder 2 (if finance), ","")IF(INDEX('MOA role matrix'!$B$2:$D$13,8,MATCH($B433,'MOA role matrix'!$B$1:$D$1,0))="Auto","LOA holder 2 (auto), ","")IF(INDEX('MOA role matrix'!$B$2:$D$13,9,MATCH($B433,'MOA role matrix'!$B$1:$D$1,0))="Fill","Senior Manager CoSec, ","")IF(INDEX('MOA role matrix'!$B$2:$D$13,9,MATCH($B433,'MOA role matrix'!$B$1:$D$1,0))="If finance","Senior Manager CoSec (if finance), ","")IF(INDEX('MOA role matrix'!$B$2:$D$13,9,MATCH($B433,'MOA role matrix'!$B$1:$D$1,0))="Auto","Senior Manager CoSec (auto), ","")IF(INDEX('MOA role matrix'!$B$2:$D$13,10,MATCH($B433,'MOA role matrix'!$B$1:$D$1,0))="Fill","Division MOI managers, ","")IF(INDEX('MOA role matrix'!$B$2:$D$13,10,MATCH($B433,'MOA role matrix'!$B$1:$D$1,0))="If finance","Division MOI managers (if finance), ","")IF(INDEX('MOA role matrix'!$B$2:$D$13,10,MATCH($B433,'MOA role matrix'!$B$1:$D$1,0))="Auto","Division MOI managers (auto), ","")IF(INDEX('MOA role matrix'!$B$2:$D$13,11,MATCH($B433,'MOA role matrix'!$B$1:$D$1,0))="Fill","Ms Teh (bank), ","")IF(INDEX('MOA role matrix'!$B$2:$D$13,11,MATCH($B433,'MOA role matrix'!$B$1:$D$1,0))="If finance","Ms Teh (bank) (if finance), ","")IF(INDEX('MOA role matrix'!$B$2:$D$13,11,MATCH($B433,'MOA role matrix'!$B$1:$D$1,0))="Auto","Ms Teh (bank) (auto), ","")IF(INDEX('MOA role matrix'!$B$2:$D$13,12,MATCH($B433,'MOA role matrix'!$B$1:$D$1,0))="Fill","DLCM, ","")IF(INDEX('MOA role matrix'!$B$2:$D$13,12,MATCH($B433,'MOA role matrix'!$B$1:$D$1,0))="If finance","DLCM (if finance), ","")IF(INDEX('MOA role matrix'!$B$2:$D$13,12,MATCH($B433,'MOA role matrix'!$B$1:$D$1,0))="Auto","DLCM (auto), ","")))</f>
        <v/>
      </c>
      <c r="D433" s="5">
        <f>IF($A433="","",IFERROR(INDEX(FILTER('Client contacts'!$B$2:$B$500,('Client contacts'!$A$2:$A$500=$A433)*('Client contacts'!$H$2:$H$500="Y"),""),1),""))</f>
        <v/>
      </c>
      <c r="E433" s="5">
        <f>IF($A433="","",IFERROR(INDEX(FILTER('Client contacts'!$C$2:$C$500,('Client contacts'!$A$2:$A$500=$A433)*('Client contacts'!$H$2:$H$500="Y"),""),1),""))</f>
        <v/>
      </c>
      <c r="F433" s="5">
        <f>IF($A433="","",IFERROR(INDEX(FILTER('Client contacts'!$B$2:$B$500,('Client contacts'!$A$2:$A$500=$A433)*('Client contacts'!$G$2:$G$500="Y"),""),1),""))</f>
        <v/>
      </c>
      <c r="G433" s="5">
        <f>IF($A433="","",IFERROR(INDEX(FILTER('Client contacts'!$C$2:$C$500,('Client contacts'!$A$2:$A$500=$A433)*('Client contacts'!$G$2:$G$500="Y"),""),1),""))</f>
        <v/>
      </c>
      <c r="H433" s="5">
        <f>IF($A433="","",IFERROR(INDEX(FILTER('Client contacts'!$B$2:$B$500,('Client contacts'!$A$2:$A$500=$A433)*('Client contacts'!$G$2:$G$500="Y"),""),2),""))</f>
        <v/>
      </c>
      <c r="I433" s="5">
        <f>IF($A433="","",IFERROR(INDEX(FILTER('Client contacts'!$C$2:$C$500,('Client contacts'!$A$2:$A$500=$A433)*('Client contacts'!$G$2:$G$500="Y"),""),2),""))</f>
        <v/>
      </c>
      <c r="J433" s="8" t="n"/>
      <c r="K433" s="8" t="n"/>
      <c r="L433" s="8" t="n"/>
      <c r="M433" s="8" t="n"/>
      <c r="N433" s="8" t="n"/>
      <c r="O433" s="8" t="n"/>
      <c r="P433" s="8" t="n"/>
      <c r="Q433" s="8" t="n"/>
      <c r="R433" s="5">
        <f>IF($A433="","",IFERROR(INDEX(Companies!$I$2:$I$500,MATCH($A433,Companies!$A$2:$A$500,0)),""))</f>
        <v/>
      </c>
      <c r="S433" s="8" t="n"/>
      <c r="T433" s="8" t="n"/>
      <c r="U433" s="8" t="n"/>
      <c r="V433" s="8" t="n"/>
      <c r="W433" s="8" t="n"/>
    </row>
    <row r="434">
      <c r="C434" s="5">
        <f>IF($B434="","",TRIM(IF(INDEX('MOA role matrix'!$B$2:$D$13,1,MATCH($B434,'MOA role matrix'!$B$1:$D$1,0))="Fill","Project initiator, ","")IF(INDEX('MOA role matrix'!$B$2:$D$13,1,MATCH($B434,'MOA role matrix'!$B$1:$D$1,0))="If finance","Project initiator (if finance), ","")IF(INDEX('MOA role matrix'!$B$2:$D$13,1,MATCH($B434,'MOA role matrix'!$B$1:$D$1,0))="Auto","Project initiator (auto), ","")IF(INDEX('MOA role matrix'!$B$2:$D$13,2,MATCH($B434,'MOA role matrix'!$B$1:$D$1,0))="Fill","MOA signers (client), ","")IF(INDEX('MOA role matrix'!$B$2:$D$13,2,MATCH($B434,'MOA role matrix'!$B$1:$D$1,0))="If finance","MOA signers (client) (if finance), ","")IF(INDEX('MOA role matrix'!$B$2:$D$13,2,MATCH($B434,'MOA role matrix'!$B$1:$D$1,0))="Auto","MOA signers (client) (auto), ","")IF(INDEX('MOA role matrix'!$B$2:$D$13,3,MATCH($B434,'MOA role matrix'!$B$1:$D$1,0))="Fill","CFO / Head of Finance, ","")IF(INDEX('MOA role matrix'!$B$2:$D$13,3,MATCH($B434,'MOA role matrix'!$B$1:$D$1,0))="If finance","CFO / Head of Finance (if finance), ","")IF(INDEX('MOA role matrix'!$B$2:$D$13,3,MATCH($B434,'MOA role matrix'!$B$1:$D$1,0))="Auto","CFO / Head of Finance (auto), ","")IF(INDEX('MOA role matrix'!$B$2:$D$13,4,MATCH($B434,'MOA role matrix'!$B$1:$D$1,0))="Fill","CEO / COO / GM, ","")IF(INDEX('MOA role matrix'!$B$2:$D$13,4,MATCH($B434,'MOA role matrix'!$B$1:$D$1,0))="If finance","CEO / COO / GM (if finance), ","")IF(INDEX('MOA role matrix'!$B$2:$D$13,4,MATCH($B434,'MOA role matrix'!$B$1:$D$1,0))="Auto","CEO / COO / GM (auto), ","")IF(INDEX('MOA role matrix'!$B$2:$D$13,5,MATCH($B434,'MOA role matrix'!$B$1:$D$1,0))="Fill","Board member 1, ","")IF(INDEX('MOA role matrix'!$B$2:$D$13,5,MATCH($B434,'MOA role matrix'!$B$1:$D$1,0))="If finance","Board member 1 (if finance), ","")IF(INDEX('MOA role matrix'!$B$2:$D$13,5,MATCH($B434,'MOA role matrix'!$B$1:$D$1,0))="Auto","Board member 1 (auto), ","")IF(INDEX('MOA role matrix'!$B$2:$D$13,6,MATCH($B434,'MOA role matrix'!$B$1:$D$1,0))="Fill","Board member 2, ","")IF(INDEX('MOA role matrix'!$B$2:$D$13,6,MATCH($B434,'MOA role matrix'!$B$1:$D$1,0))="If finance","Board member 2 (if finance), ","")IF(INDEX('MOA role matrix'!$B$2:$D$13,6,MATCH($B434,'MOA role matrix'!$B$1:$D$1,0))="Auto","Board member 2 (auto), ","")IF(INDEX('MOA role matrix'!$B$2:$D$13,7,MATCH($B434,'MOA role matrix'!$B$1:$D$1,0))="Fill","LOA holder 1, ","")IF(INDEX('MOA role matrix'!$B$2:$D$13,7,MATCH($B434,'MOA role matrix'!$B$1:$D$1,0))="If finance","LOA holder 1 (if finance), ","")IF(INDEX('MOA role matrix'!$B$2:$D$13,7,MATCH($B434,'MOA role matrix'!$B$1:$D$1,0))="Auto","LOA holder 1 (auto), ","")IF(INDEX('MOA role matrix'!$B$2:$D$13,8,MATCH($B434,'MOA role matrix'!$B$1:$D$1,0))="Fill","LOA holder 2, ","")IF(INDEX('MOA role matrix'!$B$2:$D$13,8,MATCH($B434,'MOA role matrix'!$B$1:$D$1,0))="If finance","LOA holder 2 (if finance), ","")IF(INDEX('MOA role matrix'!$B$2:$D$13,8,MATCH($B434,'MOA role matrix'!$B$1:$D$1,0))="Auto","LOA holder 2 (auto), ","")IF(INDEX('MOA role matrix'!$B$2:$D$13,9,MATCH($B434,'MOA role matrix'!$B$1:$D$1,0))="Fill","Senior Manager CoSec, ","")IF(INDEX('MOA role matrix'!$B$2:$D$13,9,MATCH($B434,'MOA role matrix'!$B$1:$D$1,0))="If finance","Senior Manager CoSec (if finance), ","")IF(INDEX('MOA role matrix'!$B$2:$D$13,9,MATCH($B434,'MOA role matrix'!$B$1:$D$1,0))="Auto","Senior Manager CoSec (auto), ","")IF(INDEX('MOA role matrix'!$B$2:$D$13,10,MATCH($B434,'MOA role matrix'!$B$1:$D$1,0))="Fill","Division MOI managers, ","")IF(INDEX('MOA role matrix'!$B$2:$D$13,10,MATCH($B434,'MOA role matrix'!$B$1:$D$1,0))="If finance","Division MOI managers (if finance), ","")IF(INDEX('MOA role matrix'!$B$2:$D$13,10,MATCH($B434,'MOA role matrix'!$B$1:$D$1,0))="Auto","Division MOI managers (auto), ","")IF(INDEX('MOA role matrix'!$B$2:$D$13,11,MATCH($B434,'MOA role matrix'!$B$1:$D$1,0))="Fill","Ms Teh (bank), ","")IF(INDEX('MOA role matrix'!$B$2:$D$13,11,MATCH($B434,'MOA role matrix'!$B$1:$D$1,0))="If finance","Ms Teh (bank) (if finance), ","")IF(INDEX('MOA role matrix'!$B$2:$D$13,11,MATCH($B434,'MOA role matrix'!$B$1:$D$1,0))="Auto","Ms Teh (bank) (auto), ","")IF(INDEX('MOA role matrix'!$B$2:$D$13,12,MATCH($B434,'MOA role matrix'!$B$1:$D$1,0))="Fill","DLCM, ","")IF(INDEX('MOA role matrix'!$B$2:$D$13,12,MATCH($B434,'MOA role matrix'!$B$1:$D$1,0))="If finance","DLCM (if finance), ","")IF(INDEX('MOA role matrix'!$B$2:$D$13,12,MATCH($B434,'MOA role matrix'!$B$1:$D$1,0))="Auto","DLCM (auto), ","")))</f>
        <v/>
      </c>
      <c r="D434" s="5">
        <f>IF($A434="","",IFERROR(INDEX(FILTER('Client contacts'!$B$2:$B$500,('Client contacts'!$A$2:$A$500=$A434)*('Client contacts'!$H$2:$H$500="Y"),""),1),""))</f>
        <v/>
      </c>
      <c r="E434" s="5">
        <f>IF($A434="","",IFERROR(INDEX(FILTER('Client contacts'!$C$2:$C$500,('Client contacts'!$A$2:$A$500=$A434)*('Client contacts'!$H$2:$H$500="Y"),""),1),""))</f>
        <v/>
      </c>
      <c r="F434" s="5">
        <f>IF($A434="","",IFERROR(INDEX(FILTER('Client contacts'!$B$2:$B$500,('Client contacts'!$A$2:$A$500=$A434)*('Client contacts'!$G$2:$G$500="Y"),""),1),""))</f>
        <v/>
      </c>
      <c r="G434" s="5">
        <f>IF($A434="","",IFERROR(INDEX(FILTER('Client contacts'!$C$2:$C$500,('Client contacts'!$A$2:$A$500=$A434)*('Client contacts'!$G$2:$G$500="Y"),""),1),""))</f>
        <v/>
      </c>
      <c r="H434" s="5">
        <f>IF($A434="","",IFERROR(INDEX(FILTER('Client contacts'!$B$2:$B$500,('Client contacts'!$A$2:$A$500=$A434)*('Client contacts'!$G$2:$G$500="Y"),""),2),""))</f>
        <v/>
      </c>
      <c r="I434" s="5">
        <f>IF($A434="","",IFERROR(INDEX(FILTER('Client contacts'!$C$2:$C$500,('Client contacts'!$A$2:$A$500=$A434)*('Client contacts'!$G$2:$G$500="Y"),""),2),""))</f>
        <v/>
      </c>
      <c r="J434" s="8" t="n"/>
      <c r="K434" s="8" t="n"/>
      <c r="L434" s="8" t="n"/>
      <c r="M434" s="8" t="n"/>
      <c r="N434" s="8" t="n"/>
      <c r="O434" s="8" t="n"/>
      <c r="P434" s="8" t="n"/>
      <c r="Q434" s="8" t="n"/>
      <c r="R434" s="5">
        <f>IF($A434="","",IFERROR(INDEX(Companies!$I$2:$I$500,MATCH($A434,Companies!$A$2:$A$500,0)),""))</f>
        <v/>
      </c>
      <c r="S434" s="8" t="n"/>
      <c r="T434" s="8" t="n"/>
      <c r="U434" s="8" t="n"/>
      <c r="V434" s="8" t="n"/>
      <c r="W434" s="8" t="n"/>
    </row>
    <row r="435">
      <c r="C435" s="5">
        <f>IF($B435="","",TRIM(IF(INDEX('MOA role matrix'!$B$2:$D$13,1,MATCH($B435,'MOA role matrix'!$B$1:$D$1,0))="Fill","Project initiator, ","")IF(INDEX('MOA role matrix'!$B$2:$D$13,1,MATCH($B435,'MOA role matrix'!$B$1:$D$1,0))="If finance","Project initiator (if finance), ","")IF(INDEX('MOA role matrix'!$B$2:$D$13,1,MATCH($B435,'MOA role matrix'!$B$1:$D$1,0))="Auto","Project initiator (auto), ","")IF(INDEX('MOA role matrix'!$B$2:$D$13,2,MATCH($B435,'MOA role matrix'!$B$1:$D$1,0))="Fill","MOA signers (client), ","")IF(INDEX('MOA role matrix'!$B$2:$D$13,2,MATCH($B435,'MOA role matrix'!$B$1:$D$1,0))="If finance","MOA signers (client) (if finance), ","")IF(INDEX('MOA role matrix'!$B$2:$D$13,2,MATCH($B435,'MOA role matrix'!$B$1:$D$1,0))="Auto","MOA signers (client) (auto), ","")IF(INDEX('MOA role matrix'!$B$2:$D$13,3,MATCH($B435,'MOA role matrix'!$B$1:$D$1,0))="Fill","CFO / Head of Finance, ","")IF(INDEX('MOA role matrix'!$B$2:$D$13,3,MATCH($B435,'MOA role matrix'!$B$1:$D$1,0))="If finance","CFO / Head of Finance (if finance), ","")IF(INDEX('MOA role matrix'!$B$2:$D$13,3,MATCH($B435,'MOA role matrix'!$B$1:$D$1,0))="Auto","CFO / Head of Finance (auto), ","")IF(INDEX('MOA role matrix'!$B$2:$D$13,4,MATCH($B435,'MOA role matrix'!$B$1:$D$1,0))="Fill","CEO / COO / GM, ","")IF(INDEX('MOA role matrix'!$B$2:$D$13,4,MATCH($B435,'MOA role matrix'!$B$1:$D$1,0))="If finance","CEO / COO / GM (if finance), ","")IF(INDEX('MOA role matrix'!$B$2:$D$13,4,MATCH($B435,'MOA role matrix'!$B$1:$D$1,0))="Auto","CEO / COO / GM (auto), ","")IF(INDEX('MOA role matrix'!$B$2:$D$13,5,MATCH($B435,'MOA role matrix'!$B$1:$D$1,0))="Fill","Board member 1, ","")IF(INDEX('MOA role matrix'!$B$2:$D$13,5,MATCH($B435,'MOA role matrix'!$B$1:$D$1,0))="If finance","Board member 1 (if finance), ","")IF(INDEX('MOA role matrix'!$B$2:$D$13,5,MATCH($B435,'MOA role matrix'!$B$1:$D$1,0))="Auto","Board member 1 (auto), ","")IF(INDEX('MOA role matrix'!$B$2:$D$13,6,MATCH($B435,'MOA role matrix'!$B$1:$D$1,0))="Fill","Board member 2, ","")IF(INDEX('MOA role matrix'!$B$2:$D$13,6,MATCH($B435,'MOA role matrix'!$B$1:$D$1,0))="If finance","Board member 2 (if finance), ","")IF(INDEX('MOA role matrix'!$B$2:$D$13,6,MATCH($B435,'MOA role matrix'!$B$1:$D$1,0))="Auto","Board member 2 (auto), ","")IF(INDEX('MOA role matrix'!$B$2:$D$13,7,MATCH($B435,'MOA role matrix'!$B$1:$D$1,0))="Fill","LOA holder 1, ","")IF(INDEX('MOA role matrix'!$B$2:$D$13,7,MATCH($B435,'MOA role matrix'!$B$1:$D$1,0))="If finance","LOA holder 1 (if finance), ","")IF(INDEX('MOA role matrix'!$B$2:$D$13,7,MATCH($B435,'MOA role matrix'!$B$1:$D$1,0))="Auto","LOA holder 1 (auto), ","")IF(INDEX('MOA role matrix'!$B$2:$D$13,8,MATCH($B435,'MOA role matrix'!$B$1:$D$1,0))="Fill","LOA holder 2, ","")IF(INDEX('MOA role matrix'!$B$2:$D$13,8,MATCH($B435,'MOA role matrix'!$B$1:$D$1,0))="If finance","LOA holder 2 (if finance), ","")IF(INDEX('MOA role matrix'!$B$2:$D$13,8,MATCH($B435,'MOA role matrix'!$B$1:$D$1,0))="Auto","LOA holder 2 (auto), ","")IF(INDEX('MOA role matrix'!$B$2:$D$13,9,MATCH($B435,'MOA role matrix'!$B$1:$D$1,0))="Fill","Senior Manager CoSec, ","")IF(INDEX('MOA role matrix'!$B$2:$D$13,9,MATCH($B435,'MOA role matrix'!$B$1:$D$1,0))="If finance","Senior Manager CoSec (if finance), ","")IF(INDEX('MOA role matrix'!$B$2:$D$13,9,MATCH($B435,'MOA role matrix'!$B$1:$D$1,0))="Auto","Senior Manager CoSec (auto), ","")IF(INDEX('MOA role matrix'!$B$2:$D$13,10,MATCH($B435,'MOA role matrix'!$B$1:$D$1,0))="Fill","Division MOI managers, ","")IF(INDEX('MOA role matrix'!$B$2:$D$13,10,MATCH($B435,'MOA role matrix'!$B$1:$D$1,0))="If finance","Division MOI managers (if finance), ","")IF(INDEX('MOA role matrix'!$B$2:$D$13,10,MATCH($B435,'MOA role matrix'!$B$1:$D$1,0))="Auto","Division MOI managers (auto), ","")IF(INDEX('MOA role matrix'!$B$2:$D$13,11,MATCH($B435,'MOA role matrix'!$B$1:$D$1,0))="Fill","Ms Teh (bank), ","")IF(INDEX('MOA role matrix'!$B$2:$D$13,11,MATCH($B435,'MOA role matrix'!$B$1:$D$1,0))="If finance","Ms Teh (bank) (if finance), ","")IF(INDEX('MOA role matrix'!$B$2:$D$13,11,MATCH($B435,'MOA role matrix'!$B$1:$D$1,0))="Auto","Ms Teh (bank) (auto), ","")IF(INDEX('MOA role matrix'!$B$2:$D$13,12,MATCH($B435,'MOA role matrix'!$B$1:$D$1,0))="Fill","DLCM, ","")IF(INDEX('MOA role matrix'!$B$2:$D$13,12,MATCH($B435,'MOA role matrix'!$B$1:$D$1,0))="If finance","DLCM (if finance), ","")IF(INDEX('MOA role matrix'!$B$2:$D$13,12,MATCH($B435,'MOA role matrix'!$B$1:$D$1,0))="Auto","DLCM (auto), ","")))</f>
        <v/>
      </c>
      <c r="D435" s="5">
        <f>IF($A435="","",IFERROR(INDEX(FILTER('Client contacts'!$B$2:$B$500,('Client contacts'!$A$2:$A$500=$A435)*('Client contacts'!$H$2:$H$500="Y"),""),1),""))</f>
        <v/>
      </c>
      <c r="E435" s="5">
        <f>IF($A435="","",IFERROR(INDEX(FILTER('Client contacts'!$C$2:$C$500,('Client contacts'!$A$2:$A$500=$A435)*('Client contacts'!$H$2:$H$500="Y"),""),1),""))</f>
        <v/>
      </c>
      <c r="F435" s="5">
        <f>IF($A435="","",IFERROR(INDEX(FILTER('Client contacts'!$B$2:$B$500,('Client contacts'!$A$2:$A$500=$A435)*('Client contacts'!$G$2:$G$500="Y"),""),1),""))</f>
        <v/>
      </c>
      <c r="G435" s="5">
        <f>IF($A435="","",IFERROR(INDEX(FILTER('Client contacts'!$C$2:$C$500,('Client contacts'!$A$2:$A$500=$A435)*('Client contacts'!$G$2:$G$500="Y"),""),1),""))</f>
        <v/>
      </c>
      <c r="H435" s="5">
        <f>IF($A435="","",IFERROR(INDEX(FILTER('Client contacts'!$B$2:$B$500,('Client contacts'!$A$2:$A$500=$A435)*('Client contacts'!$G$2:$G$500="Y"),""),2),""))</f>
        <v/>
      </c>
      <c r="I435" s="5">
        <f>IF($A435="","",IFERROR(INDEX(FILTER('Client contacts'!$C$2:$C$500,('Client contacts'!$A$2:$A$500=$A435)*('Client contacts'!$G$2:$G$500="Y"),""),2),""))</f>
        <v/>
      </c>
      <c r="J435" s="8" t="n"/>
      <c r="K435" s="8" t="n"/>
      <c r="L435" s="8" t="n"/>
      <c r="M435" s="8" t="n"/>
      <c r="N435" s="8" t="n"/>
      <c r="O435" s="8" t="n"/>
      <c r="P435" s="8" t="n"/>
      <c r="Q435" s="8" t="n"/>
      <c r="R435" s="5">
        <f>IF($A435="","",IFERROR(INDEX(Companies!$I$2:$I$500,MATCH($A435,Companies!$A$2:$A$500,0)),""))</f>
        <v/>
      </c>
      <c r="S435" s="8" t="n"/>
      <c r="T435" s="8" t="n"/>
      <c r="U435" s="8" t="n"/>
      <c r="V435" s="8" t="n"/>
      <c r="W435" s="8" t="n"/>
    </row>
    <row r="436">
      <c r="C436" s="5">
        <f>IF($B436="","",TRIM(IF(INDEX('MOA role matrix'!$B$2:$D$13,1,MATCH($B436,'MOA role matrix'!$B$1:$D$1,0))="Fill","Project initiator, ","")IF(INDEX('MOA role matrix'!$B$2:$D$13,1,MATCH($B436,'MOA role matrix'!$B$1:$D$1,0))="If finance","Project initiator (if finance), ","")IF(INDEX('MOA role matrix'!$B$2:$D$13,1,MATCH($B436,'MOA role matrix'!$B$1:$D$1,0))="Auto","Project initiator (auto), ","")IF(INDEX('MOA role matrix'!$B$2:$D$13,2,MATCH($B436,'MOA role matrix'!$B$1:$D$1,0))="Fill","MOA signers (client), ","")IF(INDEX('MOA role matrix'!$B$2:$D$13,2,MATCH($B436,'MOA role matrix'!$B$1:$D$1,0))="If finance","MOA signers (client) (if finance), ","")IF(INDEX('MOA role matrix'!$B$2:$D$13,2,MATCH($B436,'MOA role matrix'!$B$1:$D$1,0))="Auto","MOA signers (client) (auto), ","")IF(INDEX('MOA role matrix'!$B$2:$D$13,3,MATCH($B436,'MOA role matrix'!$B$1:$D$1,0))="Fill","CFO / Head of Finance, ","")IF(INDEX('MOA role matrix'!$B$2:$D$13,3,MATCH($B436,'MOA role matrix'!$B$1:$D$1,0))="If finance","CFO / Head of Finance (if finance), ","")IF(INDEX('MOA role matrix'!$B$2:$D$13,3,MATCH($B436,'MOA role matrix'!$B$1:$D$1,0))="Auto","CFO / Head of Finance (auto), ","")IF(INDEX('MOA role matrix'!$B$2:$D$13,4,MATCH($B436,'MOA role matrix'!$B$1:$D$1,0))="Fill","CEO / COO / GM, ","")IF(INDEX('MOA role matrix'!$B$2:$D$13,4,MATCH($B436,'MOA role matrix'!$B$1:$D$1,0))="If finance","CEO / COO / GM (if finance), ","")IF(INDEX('MOA role matrix'!$B$2:$D$13,4,MATCH($B436,'MOA role matrix'!$B$1:$D$1,0))="Auto","CEO / COO / GM (auto), ","")IF(INDEX('MOA role matrix'!$B$2:$D$13,5,MATCH($B436,'MOA role matrix'!$B$1:$D$1,0))="Fill","Board member 1, ","")IF(INDEX('MOA role matrix'!$B$2:$D$13,5,MATCH($B436,'MOA role matrix'!$B$1:$D$1,0))="If finance","Board member 1 (if finance), ","")IF(INDEX('MOA role matrix'!$B$2:$D$13,5,MATCH($B436,'MOA role matrix'!$B$1:$D$1,0))="Auto","Board member 1 (auto), ","")IF(INDEX('MOA role matrix'!$B$2:$D$13,6,MATCH($B436,'MOA role matrix'!$B$1:$D$1,0))="Fill","Board member 2, ","")IF(INDEX('MOA role matrix'!$B$2:$D$13,6,MATCH($B436,'MOA role matrix'!$B$1:$D$1,0))="If finance","Board member 2 (if finance), ","")IF(INDEX('MOA role matrix'!$B$2:$D$13,6,MATCH($B436,'MOA role matrix'!$B$1:$D$1,0))="Auto","Board member 2 (auto), ","")IF(INDEX('MOA role matrix'!$B$2:$D$13,7,MATCH($B436,'MOA role matrix'!$B$1:$D$1,0))="Fill","LOA holder 1, ","")IF(INDEX('MOA role matrix'!$B$2:$D$13,7,MATCH($B436,'MOA role matrix'!$B$1:$D$1,0))="If finance","LOA holder 1 (if finance), ","")IF(INDEX('MOA role matrix'!$B$2:$D$13,7,MATCH($B436,'MOA role matrix'!$B$1:$D$1,0))="Auto","LOA holder 1 (auto), ","")IF(INDEX('MOA role matrix'!$B$2:$D$13,8,MATCH($B436,'MOA role matrix'!$B$1:$D$1,0))="Fill","LOA holder 2, ","")IF(INDEX('MOA role matrix'!$B$2:$D$13,8,MATCH($B436,'MOA role matrix'!$B$1:$D$1,0))="If finance","LOA holder 2 (if finance), ","")IF(INDEX('MOA role matrix'!$B$2:$D$13,8,MATCH($B436,'MOA role matrix'!$B$1:$D$1,0))="Auto","LOA holder 2 (auto), ","")IF(INDEX('MOA role matrix'!$B$2:$D$13,9,MATCH($B436,'MOA role matrix'!$B$1:$D$1,0))="Fill","Senior Manager CoSec, ","")IF(INDEX('MOA role matrix'!$B$2:$D$13,9,MATCH($B436,'MOA role matrix'!$B$1:$D$1,0))="If finance","Senior Manager CoSec (if finance), ","")IF(INDEX('MOA role matrix'!$B$2:$D$13,9,MATCH($B436,'MOA role matrix'!$B$1:$D$1,0))="Auto","Senior Manager CoSec (auto), ","")IF(INDEX('MOA role matrix'!$B$2:$D$13,10,MATCH($B436,'MOA role matrix'!$B$1:$D$1,0))="Fill","Division MOI managers, ","")IF(INDEX('MOA role matrix'!$B$2:$D$13,10,MATCH($B436,'MOA role matrix'!$B$1:$D$1,0))="If finance","Division MOI managers (if finance), ","")IF(INDEX('MOA role matrix'!$B$2:$D$13,10,MATCH($B436,'MOA role matrix'!$B$1:$D$1,0))="Auto","Division MOI managers (auto), ","")IF(INDEX('MOA role matrix'!$B$2:$D$13,11,MATCH($B436,'MOA role matrix'!$B$1:$D$1,0))="Fill","Ms Teh (bank), ","")IF(INDEX('MOA role matrix'!$B$2:$D$13,11,MATCH($B436,'MOA role matrix'!$B$1:$D$1,0))="If finance","Ms Teh (bank) (if finance), ","")IF(INDEX('MOA role matrix'!$B$2:$D$13,11,MATCH($B436,'MOA role matrix'!$B$1:$D$1,0))="Auto","Ms Teh (bank) (auto), ","")IF(INDEX('MOA role matrix'!$B$2:$D$13,12,MATCH($B436,'MOA role matrix'!$B$1:$D$1,0))="Fill","DLCM, ","")IF(INDEX('MOA role matrix'!$B$2:$D$13,12,MATCH($B436,'MOA role matrix'!$B$1:$D$1,0))="If finance","DLCM (if finance), ","")IF(INDEX('MOA role matrix'!$B$2:$D$13,12,MATCH($B436,'MOA role matrix'!$B$1:$D$1,0))="Auto","DLCM (auto), ","")))</f>
        <v/>
      </c>
      <c r="D436" s="5">
        <f>IF($A436="","",IFERROR(INDEX(FILTER('Client contacts'!$B$2:$B$500,('Client contacts'!$A$2:$A$500=$A436)*('Client contacts'!$H$2:$H$500="Y"),""),1),""))</f>
        <v/>
      </c>
      <c r="E436" s="5">
        <f>IF($A436="","",IFERROR(INDEX(FILTER('Client contacts'!$C$2:$C$500,('Client contacts'!$A$2:$A$500=$A436)*('Client contacts'!$H$2:$H$500="Y"),""),1),""))</f>
        <v/>
      </c>
      <c r="F436" s="5">
        <f>IF($A436="","",IFERROR(INDEX(FILTER('Client contacts'!$B$2:$B$500,('Client contacts'!$A$2:$A$500=$A436)*('Client contacts'!$G$2:$G$500="Y"),""),1),""))</f>
        <v/>
      </c>
      <c r="G436" s="5">
        <f>IF($A436="","",IFERROR(INDEX(FILTER('Client contacts'!$C$2:$C$500,('Client contacts'!$A$2:$A$500=$A436)*('Client contacts'!$G$2:$G$500="Y"),""),1),""))</f>
        <v/>
      </c>
      <c r="H436" s="5">
        <f>IF($A436="","",IFERROR(INDEX(FILTER('Client contacts'!$B$2:$B$500,('Client contacts'!$A$2:$A$500=$A436)*('Client contacts'!$G$2:$G$500="Y"),""),2),""))</f>
        <v/>
      </c>
      <c r="I436" s="5">
        <f>IF($A436="","",IFERROR(INDEX(FILTER('Client contacts'!$C$2:$C$500,('Client contacts'!$A$2:$A$500=$A436)*('Client contacts'!$G$2:$G$500="Y"),""),2),""))</f>
        <v/>
      </c>
      <c r="J436" s="8" t="n"/>
      <c r="K436" s="8" t="n"/>
      <c r="L436" s="8" t="n"/>
      <c r="M436" s="8" t="n"/>
      <c r="N436" s="8" t="n"/>
      <c r="O436" s="8" t="n"/>
      <c r="P436" s="8" t="n"/>
      <c r="Q436" s="8" t="n"/>
      <c r="R436" s="5">
        <f>IF($A436="","",IFERROR(INDEX(Companies!$I$2:$I$500,MATCH($A436,Companies!$A$2:$A$500,0)),""))</f>
        <v/>
      </c>
      <c r="S436" s="8" t="n"/>
      <c r="T436" s="8" t="n"/>
      <c r="U436" s="8" t="n"/>
      <c r="V436" s="8" t="n"/>
      <c r="W436" s="8" t="n"/>
    </row>
    <row r="437">
      <c r="C437" s="5">
        <f>IF($B437="","",TRIM(IF(INDEX('MOA role matrix'!$B$2:$D$13,1,MATCH($B437,'MOA role matrix'!$B$1:$D$1,0))="Fill","Project initiator, ","")IF(INDEX('MOA role matrix'!$B$2:$D$13,1,MATCH($B437,'MOA role matrix'!$B$1:$D$1,0))="If finance","Project initiator (if finance), ","")IF(INDEX('MOA role matrix'!$B$2:$D$13,1,MATCH($B437,'MOA role matrix'!$B$1:$D$1,0))="Auto","Project initiator (auto), ","")IF(INDEX('MOA role matrix'!$B$2:$D$13,2,MATCH($B437,'MOA role matrix'!$B$1:$D$1,0))="Fill","MOA signers (client), ","")IF(INDEX('MOA role matrix'!$B$2:$D$13,2,MATCH($B437,'MOA role matrix'!$B$1:$D$1,0))="If finance","MOA signers (client) (if finance), ","")IF(INDEX('MOA role matrix'!$B$2:$D$13,2,MATCH($B437,'MOA role matrix'!$B$1:$D$1,0))="Auto","MOA signers (client) (auto), ","")IF(INDEX('MOA role matrix'!$B$2:$D$13,3,MATCH($B437,'MOA role matrix'!$B$1:$D$1,0))="Fill","CFO / Head of Finance, ","")IF(INDEX('MOA role matrix'!$B$2:$D$13,3,MATCH($B437,'MOA role matrix'!$B$1:$D$1,0))="If finance","CFO / Head of Finance (if finance), ","")IF(INDEX('MOA role matrix'!$B$2:$D$13,3,MATCH($B437,'MOA role matrix'!$B$1:$D$1,0))="Auto","CFO / Head of Finance (auto), ","")IF(INDEX('MOA role matrix'!$B$2:$D$13,4,MATCH($B437,'MOA role matrix'!$B$1:$D$1,0))="Fill","CEO / COO / GM, ","")IF(INDEX('MOA role matrix'!$B$2:$D$13,4,MATCH($B437,'MOA role matrix'!$B$1:$D$1,0))="If finance","CEO / COO / GM (if finance), ","")IF(INDEX('MOA role matrix'!$B$2:$D$13,4,MATCH($B437,'MOA role matrix'!$B$1:$D$1,0))="Auto","CEO / COO / GM (auto), ","")IF(INDEX('MOA role matrix'!$B$2:$D$13,5,MATCH($B437,'MOA role matrix'!$B$1:$D$1,0))="Fill","Board member 1, ","")IF(INDEX('MOA role matrix'!$B$2:$D$13,5,MATCH($B437,'MOA role matrix'!$B$1:$D$1,0))="If finance","Board member 1 (if finance), ","")IF(INDEX('MOA role matrix'!$B$2:$D$13,5,MATCH($B437,'MOA role matrix'!$B$1:$D$1,0))="Auto","Board member 1 (auto), ","")IF(INDEX('MOA role matrix'!$B$2:$D$13,6,MATCH($B437,'MOA role matrix'!$B$1:$D$1,0))="Fill","Board member 2, ","")IF(INDEX('MOA role matrix'!$B$2:$D$13,6,MATCH($B437,'MOA role matrix'!$B$1:$D$1,0))="If finance","Board member 2 (if finance), ","")IF(INDEX('MOA role matrix'!$B$2:$D$13,6,MATCH($B437,'MOA role matrix'!$B$1:$D$1,0))="Auto","Board member 2 (auto), ","")IF(INDEX('MOA role matrix'!$B$2:$D$13,7,MATCH($B437,'MOA role matrix'!$B$1:$D$1,0))="Fill","LOA holder 1, ","")IF(INDEX('MOA role matrix'!$B$2:$D$13,7,MATCH($B437,'MOA role matrix'!$B$1:$D$1,0))="If finance","LOA holder 1 (if finance), ","")IF(INDEX('MOA role matrix'!$B$2:$D$13,7,MATCH($B437,'MOA role matrix'!$B$1:$D$1,0))="Auto","LOA holder 1 (auto), ","")IF(INDEX('MOA role matrix'!$B$2:$D$13,8,MATCH($B437,'MOA role matrix'!$B$1:$D$1,0))="Fill","LOA holder 2, ","")IF(INDEX('MOA role matrix'!$B$2:$D$13,8,MATCH($B437,'MOA role matrix'!$B$1:$D$1,0))="If finance","LOA holder 2 (if finance), ","")IF(INDEX('MOA role matrix'!$B$2:$D$13,8,MATCH($B437,'MOA role matrix'!$B$1:$D$1,0))="Auto","LOA holder 2 (auto), ","")IF(INDEX('MOA role matrix'!$B$2:$D$13,9,MATCH($B437,'MOA role matrix'!$B$1:$D$1,0))="Fill","Senior Manager CoSec, ","")IF(INDEX('MOA role matrix'!$B$2:$D$13,9,MATCH($B437,'MOA role matrix'!$B$1:$D$1,0))="If finance","Senior Manager CoSec (if finance), ","")IF(INDEX('MOA role matrix'!$B$2:$D$13,9,MATCH($B437,'MOA role matrix'!$B$1:$D$1,0))="Auto","Senior Manager CoSec (auto), ","")IF(INDEX('MOA role matrix'!$B$2:$D$13,10,MATCH($B437,'MOA role matrix'!$B$1:$D$1,0))="Fill","Division MOI managers, ","")IF(INDEX('MOA role matrix'!$B$2:$D$13,10,MATCH($B437,'MOA role matrix'!$B$1:$D$1,0))="If finance","Division MOI managers (if finance), ","")IF(INDEX('MOA role matrix'!$B$2:$D$13,10,MATCH($B437,'MOA role matrix'!$B$1:$D$1,0))="Auto","Division MOI managers (auto), ","")IF(INDEX('MOA role matrix'!$B$2:$D$13,11,MATCH($B437,'MOA role matrix'!$B$1:$D$1,0))="Fill","Ms Teh (bank), ","")IF(INDEX('MOA role matrix'!$B$2:$D$13,11,MATCH($B437,'MOA role matrix'!$B$1:$D$1,0))="If finance","Ms Teh (bank) (if finance), ","")IF(INDEX('MOA role matrix'!$B$2:$D$13,11,MATCH($B437,'MOA role matrix'!$B$1:$D$1,0))="Auto","Ms Teh (bank) (auto), ","")IF(INDEX('MOA role matrix'!$B$2:$D$13,12,MATCH($B437,'MOA role matrix'!$B$1:$D$1,0))="Fill","DLCM, ","")IF(INDEX('MOA role matrix'!$B$2:$D$13,12,MATCH($B437,'MOA role matrix'!$B$1:$D$1,0))="If finance","DLCM (if finance), ","")IF(INDEX('MOA role matrix'!$B$2:$D$13,12,MATCH($B437,'MOA role matrix'!$B$1:$D$1,0))="Auto","DLCM (auto), ","")))</f>
        <v/>
      </c>
      <c r="D437" s="5">
        <f>IF($A437="","",IFERROR(INDEX(FILTER('Client contacts'!$B$2:$B$500,('Client contacts'!$A$2:$A$500=$A437)*('Client contacts'!$H$2:$H$500="Y"),""),1),""))</f>
        <v/>
      </c>
      <c r="E437" s="5">
        <f>IF($A437="","",IFERROR(INDEX(FILTER('Client contacts'!$C$2:$C$500,('Client contacts'!$A$2:$A$500=$A437)*('Client contacts'!$H$2:$H$500="Y"),""),1),""))</f>
        <v/>
      </c>
      <c r="F437" s="5">
        <f>IF($A437="","",IFERROR(INDEX(FILTER('Client contacts'!$B$2:$B$500,('Client contacts'!$A$2:$A$500=$A437)*('Client contacts'!$G$2:$G$500="Y"),""),1),""))</f>
        <v/>
      </c>
      <c r="G437" s="5">
        <f>IF($A437="","",IFERROR(INDEX(FILTER('Client contacts'!$C$2:$C$500,('Client contacts'!$A$2:$A$500=$A437)*('Client contacts'!$G$2:$G$500="Y"),""),1),""))</f>
        <v/>
      </c>
      <c r="H437" s="5">
        <f>IF($A437="","",IFERROR(INDEX(FILTER('Client contacts'!$B$2:$B$500,('Client contacts'!$A$2:$A$500=$A437)*('Client contacts'!$G$2:$G$500="Y"),""),2),""))</f>
        <v/>
      </c>
      <c r="I437" s="5">
        <f>IF($A437="","",IFERROR(INDEX(FILTER('Client contacts'!$C$2:$C$500,('Client contacts'!$A$2:$A$500=$A437)*('Client contacts'!$G$2:$G$500="Y"),""),2),""))</f>
        <v/>
      </c>
      <c r="J437" s="8" t="n"/>
      <c r="K437" s="8" t="n"/>
      <c r="L437" s="8" t="n"/>
      <c r="M437" s="8" t="n"/>
      <c r="N437" s="8" t="n"/>
      <c r="O437" s="8" t="n"/>
      <c r="P437" s="8" t="n"/>
      <c r="Q437" s="8" t="n"/>
      <c r="R437" s="5">
        <f>IF($A437="","",IFERROR(INDEX(Companies!$I$2:$I$500,MATCH($A437,Companies!$A$2:$A$500,0)),""))</f>
        <v/>
      </c>
      <c r="S437" s="8" t="n"/>
      <c r="T437" s="8" t="n"/>
      <c r="U437" s="8" t="n"/>
      <c r="V437" s="8" t="n"/>
      <c r="W437" s="8" t="n"/>
    </row>
    <row r="438">
      <c r="C438" s="5">
        <f>IF($B438="","",TRIM(IF(INDEX('MOA role matrix'!$B$2:$D$13,1,MATCH($B438,'MOA role matrix'!$B$1:$D$1,0))="Fill","Project initiator, ","")IF(INDEX('MOA role matrix'!$B$2:$D$13,1,MATCH($B438,'MOA role matrix'!$B$1:$D$1,0))="If finance","Project initiator (if finance), ","")IF(INDEX('MOA role matrix'!$B$2:$D$13,1,MATCH($B438,'MOA role matrix'!$B$1:$D$1,0))="Auto","Project initiator (auto), ","")IF(INDEX('MOA role matrix'!$B$2:$D$13,2,MATCH($B438,'MOA role matrix'!$B$1:$D$1,0))="Fill","MOA signers (client), ","")IF(INDEX('MOA role matrix'!$B$2:$D$13,2,MATCH($B438,'MOA role matrix'!$B$1:$D$1,0))="If finance","MOA signers (client) (if finance), ","")IF(INDEX('MOA role matrix'!$B$2:$D$13,2,MATCH($B438,'MOA role matrix'!$B$1:$D$1,0))="Auto","MOA signers (client) (auto), ","")IF(INDEX('MOA role matrix'!$B$2:$D$13,3,MATCH($B438,'MOA role matrix'!$B$1:$D$1,0))="Fill","CFO / Head of Finance, ","")IF(INDEX('MOA role matrix'!$B$2:$D$13,3,MATCH($B438,'MOA role matrix'!$B$1:$D$1,0))="If finance","CFO / Head of Finance (if finance), ","")IF(INDEX('MOA role matrix'!$B$2:$D$13,3,MATCH($B438,'MOA role matrix'!$B$1:$D$1,0))="Auto","CFO / Head of Finance (auto), ","")IF(INDEX('MOA role matrix'!$B$2:$D$13,4,MATCH($B438,'MOA role matrix'!$B$1:$D$1,0))="Fill","CEO / COO / GM, ","")IF(INDEX('MOA role matrix'!$B$2:$D$13,4,MATCH($B438,'MOA role matrix'!$B$1:$D$1,0))="If finance","CEO / COO / GM (if finance), ","")IF(INDEX('MOA role matrix'!$B$2:$D$13,4,MATCH($B438,'MOA role matrix'!$B$1:$D$1,0))="Auto","CEO / COO / GM (auto), ","")IF(INDEX('MOA role matrix'!$B$2:$D$13,5,MATCH($B438,'MOA role matrix'!$B$1:$D$1,0))="Fill","Board member 1, ","")IF(INDEX('MOA role matrix'!$B$2:$D$13,5,MATCH($B438,'MOA role matrix'!$B$1:$D$1,0))="If finance","Board member 1 (if finance), ","")IF(INDEX('MOA role matrix'!$B$2:$D$13,5,MATCH($B438,'MOA role matrix'!$B$1:$D$1,0))="Auto","Board member 1 (auto), ","")IF(INDEX('MOA role matrix'!$B$2:$D$13,6,MATCH($B438,'MOA role matrix'!$B$1:$D$1,0))="Fill","Board member 2, ","")IF(INDEX('MOA role matrix'!$B$2:$D$13,6,MATCH($B438,'MOA role matrix'!$B$1:$D$1,0))="If finance","Board member 2 (if finance), ","")IF(INDEX('MOA role matrix'!$B$2:$D$13,6,MATCH($B438,'MOA role matrix'!$B$1:$D$1,0))="Auto","Board member 2 (auto), ","")IF(INDEX('MOA role matrix'!$B$2:$D$13,7,MATCH($B438,'MOA role matrix'!$B$1:$D$1,0))="Fill","LOA holder 1, ","")IF(INDEX('MOA role matrix'!$B$2:$D$13,7,MATCH($B438,'MOA role matrix'!$B$1:$D$1,0))="If finance","LOA holder 1 (if finance), ","")IF(INDEX('MOA role matrix'!$B$2:$D$13,7,MATCH($B438,'MOA role matrix'!$B$1:$D$1,0))="Auto","LOA holder 1 (auto), ","")IF(INDEX('MOA role matrix'!$B$2:$D$13,8,MATCH($B438,'MOA role matrix'!$B$1:$D$1,0))="Fill","LOA holder 2, ","")IF(INDEX('MOA role matrix'!$B$2:$D$13,8,MATCH($B438,'MOA role matrix'!$B$1:$D$1,0))="If finance","LOA holder 2 (if finance), ","")IF(INDEX('MOA role matrix'!$B$2:$D$13,8,MATCH($B438,'MOA role matrix'!$B$1:$D$1,0))="Auto","LOA holder 2 (auto), ","")IF(INDEX('MOA role matrix'!$B$2:$D$13,9,MATCH($B438,'MOA role matrix'!$B$1:$D$1,0))="Fill","Senior Manager CoSec, ","")IF(INDEX('MOA role matrix'!$B$2:$D$13,9,MATCH($B438,'MOA role matrix'!$B$1:$D$1,0))="If finance","Senior Manager CoSec (if finance), ","")IF(INDEX('MOA role matrix'!$B$2:$D$13,9,MATCH($B438,'MOA role matrix'!$B$1:$D$1,0))="Auto","Senior Manager CoSec (auto), ","")IF(INDEX('MOA role matrix'!$B$2:$D$13,10,MATCH($B438,'MOA role matrix'!$B$1:$D$1,0))="Fill","Division MOI managers, ","")IF(INDEX('MOA role matrix'!$B$2:$D$13,10,MATCH($B438,'MOA role matrix'!$B$1:$D$1,0))="If finance","Division MOI managers (if finance), ","")IF(INDEX('MOA role matrix'!$B$2:$D$13,10,MATCH($B438,'MOA role matrix'!$B$1:$D$1,0))="Auto","Division MOI managers (auto), ","")IF(INDEX('MOA role matrix'!$B$2:$D$13,11,MATCH($B438,'MOA role matrix'!$B$1:$D$1,0))="Fill","Ms Teh (bank), ","")IF(INDEX('MOA role matrix'!$B$2:$D$13,11,MATCH($B438,'MOA role matrix'!$B$1:$D$1,0))="If finance","Ms Teh (bank) (if finance), ","")IF(INDEX('MOA role matrix'!$B$2:$D$13,11,MATCH($B438,'MOA role matrix'!$B$1:$D$1,0))="Auto","Ms Teh (bank) (auto), ","")IF(INDEX('MOA role matrix'!$B$2:$D$13,12,MATCH($B438,'MOA role matrix'!$B$1:$D$1,0))="Fill","DLCM, ","")IF(INDEX('MOA role matrix'!$B$2:$D$13,12,MATCH($B438,'MOA role matrix'!$B$1:$D$1,0))="If finance","DLCM (if finance), ","")IF(INDEX('MOA role matrix'!$B$2:$D$13,12,MATCH($B438,'MOA role matrix'!$B$1:$D$1,0))="Auto","DLCM (auto), ","")))</f>
        <v/>
      </c>
      <c r="D438" s="5">
        <f>IF($A438="","",IFERROR(INDEX(FILTER('Client contacts'!$B$2:$B$500,('Client contacts'!$A$2:$A$500=$A438)*('Client contacts'!$H$2:$H$500="Y"),""),1),""))</f>
        <v/>
      </c>
      <c r="E438" s="5">
        <f>IF($A438="","",IFERROR(INDEX(FILTER('Client contacts'!$C$2:$C$500,('Client contacts'!$A$2:$A$500=$A438)*('Client contacts'!$H$2:$H$500="Y"),""),1),""))</f>
        <v/>
      </c>
      <c r="F438" s="5">
        <f>IF($A438="","",IFERROR(INDEX(FILTER('Client contacts'!$B$2:$B$500,('Client contacts'!$A$2:$A$500=$A438)*('Client contacts'!$G$2:$G$500="Y"),""),1),""))</f>
        <v/>
      </c>
      <c r="G438" s="5">
        <f>IF($A438="","",IFERROR(INDEX(FILTER('Client contacts'!$C$2:$C$500,('Client contacts'!$A$2:$A$500=$A438)*('Client contacts'!$G$2:$G$500="Y"),""),1),""))</f>
        <v/>
      </c>
      <c r="H438" s="5">
        <f>IF($A438="","",IFERROR(INDEX(FILTER('Client contacts'!$B$2:$B$500,('Client contacts'!$A$2:$A$500=$A438)*('Client contacts'!$G$2:$G$500="Y"),""),2),""))</f>
        <v/>
      </c>
      <c r="I438" s="5">
        <f>IF($A438="","",IFERROR(INDEX(FILTER('Client contacts'!$C$2:$C$500,('Client contacts'!$A$2:$A$500=$A438)*('Client contacts'!$G$2:$G$500="Y"),""),2),""))</f>
        <v/>
      </c>
      <c r="J438" s="8" t="n"/>
      <c r="K438" s="8" t="n"/>
      <c r="L438" s="8" t="n"/>
      <c r="M438" s="8" t="n"/>
      <c r="N438" s="8" t="n"/>
      <c r="O438" s="8" t="n"/>
      <c r="P438" s="8" t="n"/>
      <c r="Q438" s="8" t="n"/>
      <c r="R438" s="5">
        <f>IF($A438="","",IFERROR(INDEX(Companies!$I$2:$I$500,MATCH($A438,Companies!$A$2:$A$500,0)),""))</f>
        <v/>
      </c>
      <c r="S438" s="8" t="n"/>
      <c r="T438" s="8" t="n"/>
      <c r="U438" s="8" t="n"/>
      <c r="V438" s="8" t="n"/>
      <c r="W438" s="8" t="n"/>
    </row>
    <row r="439">
      <c r="C439" s="5">
        <f>IF($B439="","",TRIM(IF(INDEX('MOA role matrix'!$B$2:$D$13,1,MATCH($B439,'MOA role matrix'!$B$1:$D$1,0))="Fill","Project initiator, ","")IF(INDEX('MOA role matrix'!$B$2:$D$13,1,MATCH($B439,'MOA role matrix'!$B$1:$D$1,0))="If finance","Project initiator (if finance), ","")IF(INDEX('MOA role matrix'!$B$2:$D$13,1,MATCH($B439,'MOA role matrix'!$B$1:$D$1,0))="Auto","Project initiator (auto), ","")IF(INDEX('MOA role matrix'!$B$2:$D$13,2,MATCH($B439,'MOA role matrix'!$B$1:$D$1,0))="Fill","MOA signers (client), ","")IF(INDEX('MOA role matrix'!$B$2:$D$13,2,MATCH($B439,'MOA role matrix'!$B$1:$D$1,0))="If finance","MOA signers (client) (if finance), ","")IF(INDEX('MOA role matrix'!$B$2:$D$13,2,MATCH($B439,'MOA role matrix'!$B$1:$D$1,0))="Auto","MOA signers (client) (auto), ","")IF(INDEX('MOA role matrix'!$B$2:$D$13,3,MATCH($B439,'MOA role matrix'!$B$1:$D$1,0))="Fill","CFO / Head of Finance, ","")IF(INDEX('MOA role matrix'!$B$2:$D$13,3,MATCH($B439,'MOA role matrix'!$B$1:$D$1,0))="If finance","CFO / Head of Finance (if finance), ","")IF(INDEX('MOA role matrix'!$B$2:$D$13,3,MATCH($B439,'MOA role matrix'!$B$1:$D$1,0))="Auto","CFO / Head of Finance (auto), ","")IF(INDEX('MOA role matrix'!$B$2:$D$13,4,MATCH($B439,'MOA role matrix'!$B$1:$D$1,0))="Fill","CEO / COO / GM, ","")IF(INDEX('MOA role matrix'!$B$2:$D$13,4,MATCH($B439,'MOA role matrix'!$B$1:$D$1,0))="If finance","CEO / COO / GM (if finance), ","")IF(INDEX('MOA role matrix'!$B$2:$D$13,4,MATCH($B439,'MOA role matrix'!$B$1:$D$1,0))="Auto","CEO / COO / GM (auto), ","")IF(INDEX('MOA role matrix'!$B$2:$D$13,5,MATCH($B439,'MOA role matrix'!$B$1:$D$1,0))="Fill","Board member 1, ","")IF(INDEX('MOA role matrix'!$B$2:$D$13,5,MATCH($B439,'MOA role matrix'!$B$1:$D$1,0))="If finance","Board member 1 (if finance), ","")IF(INDEX('MOA role matrix'!$B$2:$D$13,5,MATCH($B439,'MOA role matrix'!$B$1:$D$1,0))="Auto","Board member 1 (auto), ","")IF(INDEX('MOA role matrix'!$B$2:$D$13,6,MATCH($B439,'MOA role matrix'!$B$1:$D$1,0))="Fill","Board member 2, ","")IF(INDEX('MOA role matrix'!$B$2:$D$13,6,MATCH($B439,'MOA role matrix'!$B$1:$D$1,0))="If finance","Board member 2 (if finance), ","")IF(INDEX('MOA role matrix'!$B$2:$D$13,6,MATCH($B439,'MOA role matrix'!$B$1:$D$1,0))="Auto","Board member 2 (auto), ","")IF(INDEX('MOA role matrix'!$B$2:$D$13,7,MATCH($B439,'MOA role matrix'!$B$1:$D$1,0))="Fill","LOA holder 1, ","")IF(INDEX('MOA role matrix'!$B$2:$D$13,7,MATCH($B439,'MOA role matrix'!$B$1:$D$1,0))="If finance","LOA holder 1 (if finance), ","")IF(INDEX('MOA role matrix'!$B$2:$D$13,7,MATCH($B439,'MOA role matrix'!$B$1:$D$1,0))="Auto","LOA holder 1 (auto), ","")IF(INDEX('MOA role matrix'!$B$2:$D$13,8,MATCH($B439,'MOA role matrix'!$B$1:$D$1,0))="Fill","LOA holder 2, ","")IF(INDEX('MOA role matrix'!$B$2:$D$13,8,MATCH($B439,'MOA role matrix'!$B$1:$D$1,0))="If finance","LOA holder 2 (if finance), ","")IF(INDEX('MOA role matrix'!$B$2:$D$13,8,MATCH($B439,'MOA role matrix'!$B$1:$D$1,0))="Auto","LOA holder 2 (auto), ","")IF(INDEX('MOA role matrix'!$B$2:$D$13,9,MATCH($B439,'MOA role matrix'!$B$1:$D$1,0))="Fill","Senior Manager CoSec, ","")IF(INDEX('MOA role matrix'!$B$2:$D$13,9,MATCH($B439,'MOA role matrix'!$B$1:$D$1,0))="If finance","Senior Manager CoSec (if finance), ","")IF(INDEX('MOA role matrix'!$B$2:$D$13,9,MATCH($B439,'MOA role matrix'!$B$1:$D$1,0))="Auto","Senior Manager CoSec (auto), ","")IF(INDEX('MOA role matrix'!$B$2:$D$13,10,MATCH($B439,'MOA role matrix'!$B$1:$D$1,0))="Fill","Division MOI managers, ","")IF(INDEX('MOA role matrix'!$B$2:$D$13,10,MATCH($B439,'MOA role matrix'!$B$1:$D$1,0))="If finance","Division MOI managers (if finance), ","")IF(INDEX('MOA role matrix'!$B$2:$D$13,10,MATCH($B439,'MOA role matrix'!$B$1:$D$1,0))="Auto","Division MOI managers (auto), ","")IF(INDEX('MOA role matrix'!$B$2:$D$13,11,MATCH($B439,'MOA role matrix'!$B$1:$D$1,0))="Fill","Ms Teh (bank), ","")IF(INDEX('MOA role matrix'!$B$2:$D$13,11,MATCH($B439,'MOA role matrix'!$B$1:$D$1,0))="If finance","Ms Teh (bank) (if finance), ","")IF(INDEX('MOA role matrix'!$B$2:$D$13,11,MATCH($B439,'MOA role matrix'!$B$1:$D$1,0))="Auto","Ms Teh (bank) (auto), ","")IF(INDEX('MOA role matrix'!$B$2:$D$13,12,MATCH($B439,'MOA role matrix'!$B$1:$D$1,0))="Fill","DLCM, ","")IF(INDEX('MOA role matrix'!$B$2:$D$13,12,MATCH($B439,'MOA role matrix'!$B$1:$D$1,0))="If finance","DLCM (if finance), ","")IF(INDEX('MOA role matrix'!$B$2:$D$13,12,MATCH($B439,'MOA role matrix'!$B$1:$D$1,0))="Auto","DLCM (auto), ","")))</f>
        <v/>
      </c>
      <c r="D439" s="5">
        <f>IF($A439="","",IFERROR(INDEX(FILTER('Client contacts'!$B$2:$B$500,('Client contacts'!$A$2:$A$500=$A439)*('Client contacts'!$H$2:$H$500="Y"),""),1),""))</f>
        <v/>
      </c>
      <c r="E439" s="5">
        <f>IF($A439="","",IFERROR(INDEX(FILTER('Client contacts'!$C$2:$C$500,('Client contacts'!$A$2:$A$500=$A439)*('Client contacts'!$H$2:$H$500="Y"),""),1),""))</f>
        <v/>
      </c>
      <c r="F439" s="5">
        <f>IF($A439="","",IFERROR(INDEX(FILTER('Client contacts'!$B$2:$B$500,('Client contacts'!$A$2:$A$500=$A439)*('Client contacts'!$G$2:$G$500="Y"),""),1),""))</f>
        <v/>
      </c>
      <c r="G439" s="5">
        <f>IF($A439="","",IFERROR(INDEX(FILTER('Client contacts'!$C$2:$C$500,('Client contacts'!$A$2:$A$500=$A439)*('Client contacts'!$G$2:$G$500="Y"),""),1),""))</f>
        <v/>
      </c>
      <c r="H439" s="5">
        <f>IF($A439="","",IFERROR(INDEX(FILTER('Client contacts'!$B$2:$B$500,('Client contacts'!$A$2:$A$500=$A439)*('Client contacts'!$G$2:$G$500="Y"),""),2),""))</f>
        <v/>
      </c>
      <c r="I439" s="5">
        <f>IF($A439="","",IFERROR(INDEX(FILTER('Client contacts'!$C$2:$C$500,('Client contacts'!$A$2:$A$500=$A439)*('Client contacts'!$G$2:$G$500="Y"),""),2),""))</f>
        <v/>
      </c>
      <c r="J439" s="8" t="n"/>
      <c r="K439" s="8" t="n"/>
      <c r="L439" s="8" t="n"/>
      <c r="M439" s="8" t="n"/>
      <c r="N439" s="8" t="n"/>
      <c r="O439" s="8" t="n"/>
      <c r="P439" s="8" t="n"/>
      <c r="Q439" s="8" t="n"/>
      <c r="R439" s="5">
        <f>IF($A439="","",IFERROR(INDEX(Companies!$I$2:$I$500,MATCH($A439,Companies!$A$2:$A$500,0)),""))</f>
        <v/>
      </c>
      <c r="S439" s="8" t="n"/>
      <c r="T439" s="8" t="n"/>
      <c r="U439" s="8" t="n"/>
      <c r="V439" s="8" t="n"/>
      <c r="W439" s="8" t="n"/>
    </row>
    <row r="440">
      <c r="C440" s="5">
        <f>IF($B440="","",TRIM(IF(INDEX('MOA role matrix'!$B$2:$D$13,1,MATCH($B440,'MOA role matrix'!$B$1:$D$1,0))="Fill","Project initiator, ","")IF(INDEX('MOA role matrix'!$B$2:$D$13,1,MATCH($B440,'MOA role matrix'!$B$1:$D$1,0))="If finance","Project initiator (if finance), ","")IF(INDEX('MOA role matrix'!$B$2:$D$13,1,MATCH($B440,'MOA role matrix'!$B$1:$D$1,0))="Auto","Project initiator (auto), ","")IF(INDEX('MOA role matrix'!$B$2:$D$13,2,MATCH($B440,'MOA role matrix'!$B$1:$D$1,0))="Fill","MOA signers (client), ","")IF(INDEX('MOA role matrix'!$B$2:$D$13,2,MATCH($B440,'MOA role matrix'!$B$1:$D$1,0))="If finance","MOA signers (client) (if finance), ","")IF(INDEX('MOA role matrix'!$B$2:$D$13,2,MATCH($B440,'MOA role matrix'!$B$1:$D$1,0))="Auto","MOA signers (client) (auto), ","")IF(INDEX('MOA role matrix'!$B$2:$D$13,3,MATCH($B440,'MOA role matrix'!$B$1:$D$1,0))="Fill","CFO / Head of Finance, ","")IF(INDEX('MOA role matrix'!$B$2:$D$13,3,MATCH($B440,'MOA role matrix'!$B$1:$D$1,0))="If finance","CFO / Head of Finance (if finance), ","")IF(INDEX('MOA role matrix'!$B$2:$D$13,3,MATCH($B440,'MOA role matrix'!$B$1:$D$1,0))="Auto","CFO / Head of Finance (auto), ","")IF(INDEX('MOA role matrix'!$B$2:$D$13,4,MATCH($B440,'MOA role matrix'!$B$1:$D$1,0))="Fill","CEO / COO / GM, ","")IF(INDEX('MOA role matrix'!$B$2:$D$13,4,MATCH($B440,'MOA role matrix'!$B$1:$D$1,0))="If finance","CEO / COO / GM (if finance), ","")IF(INDEX('MOA role matrix'!$B$2:$D$13,4,MATCH($B440,'MOA role matrix'!$B$1:$D$1,0))="Auto","CEO / COO / GM (auto), ","")IF(INDEX('MOA role matrix'!$B$2:$D$13,5,MATCH($B440,'MOA role matrix'!$B$1:$D$1,0))="Fill","Board member 1, ","")IF(INDEX('MOA role matrix'!$B$2:$D$13,5,MATCH($B440,'MOA role matrix'!$B$1:$D$1,0))="If finance","Board member 1 (if finance), ","")IF(INDEX('MOA role matrix'!$B$2:$D$13,5,MATCH($B440,'MOA role matrix'!$B$1:$D$1,0))="Auto","Board member 1 (auto), ","")IF(INDEX('MOA role matrix'!$B$2:$D$13,6,MATCH($B440,'MOA role matrix'!$B$1:$D$1,0))="Fill","Board member 2, ","")IF(INDEX('MOA role matrix'!$B$2:$D$13,6,MATCH($B440,'MOA role matrix'!$B$1:$D$1,0))="If finance","Board member 2 (if finance), ","")IF(INDEX('MOA role matrix'!$B$2:$D$13,6,MATCH($B440,'MOA role matrix'!$B$1:$D$1,0))="Auto","Board member 2 (auto), ","")IF(INDEX('MOA role matrix'!$B$2:$D$13,7,MATCH($B440,'MOA role matrix'!$B$1:$D$1,0))="Fill","LOA holder 1, ","")IF(INDEX('MOA role matrix'!$B$2:$D$13,7,MATCH($B440,'MOA role matrix'!$B$1:$D$1,0))="If finance","LOA holder 1 (if finance), ","")IF(INDEX('MOA role matrix'!$B$2:$D$13,7,MATCH($B440,'MOA role matrix'!$B$1:$D$1,0))="Auto","LOA holder 1 (auto), ","")IF(INDEX('MOA role matrix'!$B$2:$D$13,8,MATCH($B440,'MOA role matrix'!$B$1:$D$1,0))="Fill","LOA holder 2, ","")IF(INDEX('MOA role matrix'!$B$2:$D$13,8,MATCH($B440,'MOA role matrix'!$B$1:$D$1,0))="If finance","LOA holder 2 (if finance), ","")IF(INDEX('MOA role matrix'!$B$2:$D$13,8,MATCH($B440,'MOA role matrix'!$B$1:$D$1,0))="Auto","LOA holder 2 (auto), ","")IF(INDEX('MOA role matrix'!$B$2:$D$13,9,MATCH($B440,'MOA role matrix'!$B$1:$D$1,0))="Fill","Senior Manager CoSec, ","")IF(INDEX('MOA role matrix'!$B$2:$D$13,9,MATCH($B440,'MOA role matrix'!$B$1:$D$1,0))="If finance","Senior Manager CoSec (if finance), ","")IF(INDEX('MOA role matrix'!$B$2:$D$13,9,MATCH($B440,'MOA role matrix'!$B$1:$D$1,0))="Auto","Senior Manager CoSec (auto), ","")IF(INDEX('MOA role matrix'!$B$2:$D$13,10,MATCH($B440,'MOA role matrix'!$B$1:$D$1,0))="Fill","Division MOI managers, ","")IF(INDEX('MOA role matrix'!$B$2:$D$13,10,MATCH($B440,'MOA role matrix'!$B$1:$D$1,0))="If finance","Division MOI managers (if finance), ","")IF(INDEX('MOA role matrix'!$B$2:$D$13,10,MATCH($B440,'MOA role matrix'!$B$1:$D$1,0))="Auto","Division MOI managers (auto), ","")IF(INDEX('MOA role matrix'!$B$2:$D$13,11,MATCH($B440,'MOA role matrix'!$B$1:$D$1,0))="Fill","Ms Teh (bank), ","")IF(INDEX('MOA role matrix'!$B$2:$D$13,11,MATCH($B440,'MOA role matrix'!$B$1:$D$1,0))="If finance","Ms Teh (bank) (if finance), ","")IF(INDEX('MOA role matrix'!$B$2:$D$13,11,MATCH($B440,'MOA role matrix'!$B$1:$D$1,0))="Auto","Ms Teh (bank) (auto), ","")IF(INDEX('MOA role matrix'!$B$2:$D$13,12,MATCH($B440,'MOA role matrix'!$B$1:$D$1,0))="Fill","DLCM, ","")IF(INDEX('MOA role matrix'!$B$2:$D$13,12,MATCH($B440,'MOA role matrix'!$B$1:$D$1,0))="If finance","DLCM (if finance), ","")IF(INDEX('MOA role matrix'!$B$2:$D$13,12,MATCH($B440,'MOA role matrix'!$B$1:$D$1,0))="Auto","DLCM (auto), ","")))</f>
        <v/>
      </c>
      <c r="D440" s="5">
        <f>IF($A440="","",IFERROR(INDEX(FILTER('Client contacts'!$B$2:$B$500,('Client contacts'!$A$2:$A$500=$A440)*('Client contacts'!$H$2:$H$500="Y"),""),1),""))</f>
        <v/>
      </c>
      <c r="E440" s="5">
        <f>IF($A440="","",IFERROR(INDEX(FILTER('Client contacts'!$C$2:$C$500,('Client contacts'!$A$2:$A$500=$A440)*('Client contacts'!$H$2:$H$500="Y"),""),1),""))</f>
        <v/>
      </c>
      <c r="F440" s="5">
        <f>IF($A440="","",IFERROR(INDEX(FILTER('Client contacts'!$B$2:$B$500,('Client contacts'!$A$2:$A$500=$A440)*('Client contacts'!$G$2:$G$500="Y"),""),1),""))</f>
        <v/>
      </c>
      <c r="G440" s="5">
        <f>IF($A440="","",IFERROR(INDEX(FILTER('Client contacts'!$C$2:$C$500,('Client contacts'!$A$2:$A$500=$A440)*('Client contacts'!$G$2:$G$500="Y"),""),1),""))</f>
        <v/>
      </c>
      <c r="H440" s="5">
        <f>IF($A440="","",IFERROR(INDEX(FILTER('Client contacts'!$B$2:$B$500,('Client contacts'!$A$2:$A$500=$A440)*('Client contacts'!$G$2:$G$500="Y"),""),2),""))</f>
        <v/>
      </c>
      <c r="I440" s="5">
        <f>IF($A440="","",IFERROR(INDEX(FILTER('Client contacts'!$C$2:$C$500,('Client contacts'!$A$2:$A$500=$A440)*('Client contacts'!$G$2:$G$500="Y"),""),2),""))</f>
        <v/>
      </c>
      <c r="J440" s="8" t="n"/>
      <c r="K440" s="8" t="n"/>
      <c r="L440" s="8" t="n"/>
      <c r="M440" s="8" t="n"/>
      <c r="N440" s="8" t="n"/>
      <c r="O440" s="8" t="n"/>
      <c r="P440" s="8" t="n"/>
      <c r="Q440" s="8" t="n"/>
      <c r="R440" s="5">
        <f>IF($A440="","",IFERROR(INDEX(Companies!$I$2:$I$500,MATCH($A440,Companies!$A$2:$A$500,0)),""))</f>
        <v/>
      </c>
      <c r="S440" s="8" t="n"/>
      <c r="T440" s="8" t="n"/>
      <c r="U440" s="8" t="n"/>
      <c r="V440" s="8" t="n"/>
      <c r="W440" s="8" t="n"/>
    </row>
    <row r="441">
      <c r="C441" s="5">
        <f>IF($B441="","",TRIM(IF(INDEX('MOA role matrix'!$B$2:$D$13,1,MATCH($B441,'MOA role matrix'!$B$1:$D$1,0))="Fill","Project initiator, ","")IF(INDEX('MOA role matrix'!$B$2:$D$13,1,MATCH($B441,'MOA role matrix'!$B$1:$D$1,0))="If finance","Project initiator (if finance), ","")IF(INDEX('MOA role matrix'!$B$2:$D$13,1,MATCH($B441,'MOA role matrix'!$B$1:$D$1,0))="Auto","Project initiator (auto), ","")IF(INDEX('MOA role matrix'!$B$2:$D$13,2,MATCH($B441,'MOA role matrix'!$B$1:$D$1,0))="Fill","MOA signers (client), ","")IF(INDEX('MOA role matrix'!$B$2:$D$13,2,MATCH($B441,'MOA role matrix'!$B$1:$D$1,0))="If finance","MOA signers (client) (if finance), ","")IF(INDEX('MOA role matrix'!$B$2:$D$13,2,MATCH($B441,'MOA role matrix'!$B$1:$D$1,0))="Auto","MOA signers (client) (auto), ","")IF(INDEX('MOA role matrix'!$B$2:$D$13,3,MATCH($B441,'MOA role matrix'!$B$1:$D$1,0))="Fill","CFO / Head of Finance, ","")IF(INDEX('MOA role matrix'!$B$2:$D$13,3,MATCH($B441,'MOA role matrix'!$B$1:$D$1,0))="If finance","CFO / Head of Finance (if finance), ","")IF(INDEX('MOA role matrix'!$B$2:$D$13,3,MATCH($B441,'MOA role matrix'!$B$1:$D$1,0))="Auto","CFO / Head of Finance (auto), ","")IF(INDEX('MOA role matrix'!$B$2:$D$13,4,MATCH($B441,'MOA role matrix'!$B$1:$D$1,0))="Fill","CEO / COO / GM, ","")IF(INDEX('MOA role matrix'!$B$2:$D$13,4,MATCH($B441,'MOA role matrix'!$B$1:$D$1,0))="If finance","CEO / COO / GM (if finance), ","")IF(INDEX('MOA role matrix'!$B$2:$D$13,4,MATCH($B441,'MOA role matrix'!$B$1:$D$1,0))="Auto","CEO / COO / GM (auto), ","")IF(INDEX('MOA role matrix'!$B$2:$D$13,5,MATCH($B441,'MOA role matrix'!$B$1:$D$1,0))="Fill","Board member 1, ","")IF(INDEX('MOA role matrix'!$B$2:$D$13,5,MATCH($B441,'MOA role matrix'!$B$1:$D$1,0))="If finance","Board member 1 (if finance), ","")IF(INDEX('MOA role matrix'!$B$2:$D$13,5,MATCH($B441,'MOA role matrix'!$B$1:$D$1,0))="Auto","Board member 1 (auto), ","")IF(INDEX('MOA role matrix'!$B$2:$D$13,6,MATCH($B441,'MOA role matrix'!$B$1:$D$1,0))="Fill","Board member 2, ","")IF(INDEX('MOA role matrix'!$B$2:$D$13,6,MATCH($B441,'MOA role matrix'!$B$1:$D$1,0))="If finance","Board member 2 (if finance), ","")IF(INDEX('MOA role matrix'!$B$2:$D$13,6,MATCH($B441,'MOA role matrix'!$B$1:$D$1,0))="Auto","Board member 2 (auto), ","")IF(INDEX('MOA role matrix'!$B$2:$D$13,7,MATCH($B441,'MOA role matrix'!$B$1:$D$1,0))="Fill","LOA holder 1, ","")IF(INDEX('MOA role matrix'!$B$2:$D$13,7,MATCH($B441,'MOA role matrix'!$B$1:$D$1,0))="If finance","LOA holder 1 (if finance), ","")IF(INDEX('MOA role matrix'!$B$2:$D$13,7,MATCH($B441,'MOA role matrix'!$B$1:$D$1,0))="Auto","LOA holder 1 (auto), ","")IF(INDEX('MOA role matrix'!$B$2:$D$13,8,MATCH($B441,'MOA role matrix'!$B$1:$D$1,0))="Fill","LOA holder 2, ","")IF(INDEX('MOA role matrix'!$B$2:$D$13,8,MATCH($B441,'MOA role matrix'!$B$1:$D$1,0))="If finance","LOA holder 2 (if finance), ","")IF(INDEX('MOA role matrix'!$B$2:$D$13,8,MATCH($B441,'MOA role matrix'!$B$1:$D$1,0))="Auto","LOA holder 2 (auto), ","")IF(INDEX('MOA role matrix'!$B$2:$D$13,9,MATCH($B441,'MOA role matrix'!$B$1:$D$1,0))="Fill","Senior Manager CoSec, ","")IF(INDEX('MOA role matrix'!$B$2:$D$13,9,MATCH($B441,'MOA role matrix'!$B$1:$D$1,0))="If finance","Senior Manager CoSec (if finance), ","")IF(INDEX('MOA role matrix'!$B$2:$D$13,9,MATCH($B441,'MOA role matrix'!$B$1:$D$1,0))="Auto","Senior Manager CoSec (auto), ","")IF(INDEX('MOA role matrix'!$B$2:$D$13,10,MATCH($B441,'MOA role matrix'!$B$1:$D$1,0))="Fill","Division MOI managers, ","")IF(INDEX('MOA role matrix'!$B$2:$D$13,10,MATCH($B441,'MOA role matrix'!$B$1:$D$1,0))="If finance","Division MOI managers (if finance), ","")IF(INDEX('MOA role matrix'!$B$2:$D$13,10,MATCH($B441,'MOA role matrix'!$B$1:$D$1,0))="Auto","Division MOI managers (auto), ","")IF(INDEX('MOA role matrix'!$B$2:$D$13,11,MATCH($B441,'MOA role matrix'!$B$1:$D$1,0))="Fill","Ms Teh (bank), ","")IF(INDEX('MOA role matrix'!$B$2:$D$13,11,MATCH($B441,'MOA role matrix'!$B$1:$D$1,0))="If finance","Ms Teh (bank) (if finance), ","")IF(INDEX('MOA role matrix'!$B$2:$D$13,11,MATCH($B441,'MOA role matrix'!$B$1:$D$1,0))="Auto","Ms Teh (bank) (auto), ","")IF(INDEX('MOA role matrix'!$B$2:$D$13,12,MATCH($B441,'MOA role matrix'!$B$1:$D$1,0))="Fill","DLCM, ","")IF(INDEX('MOA role matrix'!$B$2:$D$13,12,MATCH($B441,'MOA role matrix'!$B$1:$D$1,0))="If finance","DLCM (if finance), ","")IF(INDEX('MOA role matrix'!$B$2:$D$13,12,MATCH($B441,'MOA role matrix'!$B$1:$D$1,0))="Auto","DLCM (auto), ","")))</f>
        <v/>
      </c>
      <c r="D441" s="5">
        <f>IF($A441="","",IFERROR(INDEX(FILTER('Client contacts'!$B$2:$B$500,('Client contacts'!$A$2:$A$500=$A441)*('Client contacts'!$H$2:$H$500="Y"),""),1),""))</f>
        <v/>
      </c>
      <c r="E441" s="5">
        <f>IF($A441="","",IFERROR(INDEX(FILTER('Client contacts'!$C$2:$C$500,('Client contacts'!$A$2:$A$500=$A441)*('Client contacts'!$H$2:$H$500="Y"),""),1),""))</f>
        <v/>
      </c>
      <c r="F441" s="5">
        <f>IF($A441="","",IFERROR(INDEX(FILTER('Client contacts'!$B$2:$B$500,('Client contacts'!$A$2:$A$500=$A441)*('Client contacts'!$G$2:$G$500="Y"),""),1),""))</f>
        <v/>
      </c>
      <c r="G441" s="5">
        <f>IF($A441="","",IFERROR(INDEX(FILTER('Client contacts'!$C$2:$C$500,('Client contacts'!$A$2:$A$500=$A441)*('Client contacts'!$G$2:$G$500="Y"),""),1),""))</f>
        <v/>
      </c>
      <c r="H441" s="5">
        <f>IF($A441="","",IFERROR(INDEX(FILTER('Client contacts'!$B$2:$B$500,('Client contacts'!$A$2:$A$500=$A441)*('Client contacts'!$G$2:$G$500="Y"),""),2),""))</f>
        <v/>
      </c>
      <c r="I441" s="5">
        <f>IF($A441="","",IFERROR(INDEX(FILTER('Client contacts'!$C$2:$C$500,('Client contacts'!$A$2:$A$500=$A441)*('Client contacts'!$G$2:$G$500="Y"),""),2),""))</f>
        <v/>
      </c>
      <c r="J441" s="8" t="n"/>
      <c r="K441" s="8" t="n"/>
      <c r="L441" s="8" t="n"/>
      <c r="M441" s="8" t="n"/>
      <c r="N441" s="8" t="n"/>
      <c r="O441" s="8" t="n"/>
      <c r="P441" s="8" t="n"/>
      <c r="Q441" s="8" t="n"/>
      <c r="R441" s="5">
        <f>IF($A441="","",IFERROR(INDEX(Companies!$I$2:$I$500,MATCH($A441,Companies!$A$2:$A$500,0)),""))</f>
        <v/>
      </c>
      <c r="S441" s="8" t="n"/>
      <c r="T441" s="8" t="n"/>
      <c r="U441" s="8" t="n"/>
      <c r="V441" s="8" t="n"/>
      <c r="W441" s="8" t="n"/>
    </row>
    <row r="442">
      <c r="C442" s="5">
        <f>IF($B442="","",TRIM(IF(INDEX('MOA role matrix'!$B$2:$D$13,1,MATCH($B442,'MOA role matrix'!$B$1:$D$1,0))="Fill","Project initiator, ","")IF(INDEX('MOA role matrix'!$B$2:$D$13,1,MATCH($B442,'MOA role matrix'!$B$1:$D$1,0))="If finance","Project initiator (if finance), ","")IF(INDEX('MOA role matrix'!$B$2:$D$13,1,MATCH($B442,'MOA role matrix'!$B$1:$D$1,0))="Auto","Project initiator (auto), ","")IF(INDEX('MOA role matrix'!$B$2:$D$13,2,MATCH($B442,'MOA role matrix'!$B$1:$D$1,0))="Fill","MOA signers (client), ","")IF(INDEX('MOA role matrix'!$B$2:$D$13,2,MATCH($B442,'MOA role matrix'!$B$1:$D$1,0))="If finance","MOA signers (client) (if finance), ","")IF(INDEX('MOA role matrix'!$B$2:$D$13,2,MATCH($B442,'MOA role matrix'!$B$1:$D$1,0))="Auto","MOA signers (client) (auto), ","")IF(INDEX('MOA role matrix'!$B$2:$D$13,3,MATCH($B442,'MOA role matrix'!$B$1:$D$1,0))="Fill","CFO / Head of Finance, ","")IF(INDEX('MOA role matrix'!$B$2:$D$13,3,MATCH($B442,'MOA role matrix'!$B$1:$D$1,0))="If finance","CFO / Head of Finance (if finance), ","")IF(INDEX('MOA role matrix'!$B$2:$D$13,3,MATCH($B442,'MOA role matrix'!$B$1:$D$1,0))="Auto","CFO / Head of Finance (auto), ","")IF(INDEX('MOA role matrix'!$B$2:$D$13,4,MATCH($B442,'MOA role matrix'!$B$1:$D$1,0))="Fill","CEO / COO / GM, ","")IF(INDEX('MOA role matrix'!$B$2:$D$13,4,MATCH($B442,'MOA role matrix'!$B$1:$D$1,0))="If finance","CEO / COO / GM (if finance), ","")IF(INDEX('MOA role matrix'!$B$2:$D$13,4,MATCH($B442,'MOA role matrix'!$B$1:$D$1,0))="Auto","CEO / COO / GM (auto), ","")IF(INDEX('MOA role matrix'!$B$2:$D$13,5,MATCH($B442,'MOA role matrix'!$B$1:$D$1,0))="Fill","Board member 1, ","")IF(INDEX('MOA role matrix'!$B$2:$D$13,5,MATCH($B442,'MOA role matrix'!$B$1:$D$1,0))="If finance","Board member 1 (if finance), ","")IF(INDEX('MOA role matrix'!$B$2:$D$13,5,MATCH($B442,'MOA role matrix'!$B$1:$D$1,0))="Auto","Board member 1 (auto), ","")IF(INDEX('MOA role matrix'!$B$2:$D$13,6,MATCH($B442,'MOA role matrix'!$B$1:$D$1,0))="Fill","Board member 2, ","")IF(INDEX('MOA role matrix'!$B$2:$D$13,6,MATCH($B442,'MOA role matrix'!$B$1:$D$1,0))="If finance","Board member 2 (if finance), ","")IF(INDEX('MOA role matrix'!$B$2:$D$13,6,MATCH($B442,'MOA role matrix'!$B$1:$D$1,0))="Auto","Board member 2 (auto), ","")IF(INDEX('MOA role matrix'!$B$2:$D$13,7,MATCH($B442,'MOA role matrix'!$B$1:$D$1,0))="Fill","LOA holder 1, ","")IF(INDEX('MOA role matrix'!$B$2:$D$13,7,MATCH($B442,'MOA role matrix'!$B$1:$D$1,0))="If finance","LOA holder 1 (if finance), ","")IF(INDEX('MOA role matrix'!$B$2:$D$13,7,MATCH($B442,'MOA role matrix'!$B$1:$D$1,0))="Auto","LOA holder 1 (auto), ","")IF(INDEX('MOA role matrix'!$B$2:$D$13,8,MATCH($B442,'MOA role matrix'!$B$1:$D$1,0))="Fill","LOA holder 2, ","")IF(INDEX('MOA role matrix'!$B$2:$D$13,8,MATCH($B442,'MOA role matrix'!$B$1:$D$1,0))="If finance","LOA holder 2 (if finance), ","")IF(INDEX('MOA role matrix'!$B$2:$D$13,8,MATCH($B442,'MOA role matrix'!$B$1:$D$1,0))="Auto","LOA holder 2 (auto), ","")IF(INDEX('MOA role matrix'!$B$2:$D$13,9,MATCH($B442,'MOA role matrix'!$B$1:$D$1,0))="Fill","Senior Manager CoSec, ","")IF(INDEX('MOA role matrix'!$B$2:$D$13,9,MATCH($B442,'MOA role matrix'!$B$1:$D$1,0))="If finance","Senior Manager CoSec (if finance), ","")IF(INDEX('MOA role matrix'!$B$2:$D$13,9,MATCH($B442,'MOA role matrix'!$B$1:$D$1,0))="Auto","Senior Manager CoSec (auto), ","")IF(INDEX('MOA role matrix'!$B$2:$D$13,10,MATCH($B442,'MOA role matrix'!$B$1:$D$1,0))="Fill","Division MOI managers, ","")IF(INDEX('MOA role matrix'!$B$2:$D$13,10,MATCH($B442,'MOA role matrix'!$B$1:$D$1,0))="If finance","Division MOI managers (if finance), ","")IF(INDEX('MOA role matrix'!$B$2:$D$13,10,MATCH($B442,'MOA role matrix'!$B$1:$D$1,0))="Auto","Division MOI managers (auto), ","")IF(INDEX('MOA role matrix'!$B$2:$D$13,11,MATCH($B442,'MOA role matrix'!$B$1:$D$1,0))="Fill","Ms Teh (bank), ","")IF(INDEX('MOA role matrix'!$B$2:$D$13,11,MATCH($B442,'MOA role matrix'!$B$1:$D$1,0))="If finance","Ms Teh (bank) (if finance), ","")IF(INDEX('MOA role matrix'!$B$2:$D$13,11,MATCH($B442,'MOA role matrix'!$B$1:$D$1,0))="Auto","Ms Teh (bank) (auto), ","")IF(INDEX('MOA role matrix'!$B$2:$D$13,12,MATCH($B442,'MOA role matrix'!$B$1:$D$1,0))="Fill","DLCM, ","")IF(INDEX('MOA role matrix'!$B$2:$D$13,12,MATCH($B442,'MOA role matrix'!$B$1:$D$1,0))="If finance","DLCM (if finance), ","")IF(INDEX('MOA role matrix'!$B$2:$D$13,12,MATCH($B442,'MOA role matrix'!$B$1:$D$1,0))="Auto","DLCM (auto), ","")))</f>
        <v/>
      </c>
      <c r="D442" s="5">
        <f>IF($A442="","",IFERROR(INDEX(FILTER('Client contacts'!$B$2:$B$500,('Client contacts'!$A$2:$A$500=$A442)*('Client contacts'!$H$2:$H$500="Y"),""),1),""))</f>
        <v/>
      </c>
      <c r="E442" s="5">
        <f>IF($A442="","",IFERROR(INDEX(FILTER('Client contacts'!$C$2:$C$500,('Client contacts'!$A$2:$A$500=$A442)*('Client contacts'!$H$2:$H$500="Y"),""),1),""))</f>
        <v/>
      </c>
      <c r="F442" s="5">
        <f>IF($A442="","",IFERROR(INDEX(FILTER('Client contacts'!$B$2:$B$500,('Client contacts'!$A$2:$A$500=$A442)*('Client contacts'!$G$2:$G$500="Y"),""),1),""))</f>
        <v/>
      </c>
      <c r="G442" s="5">
        <f>IF($A442="","",IFERROR(INDEX(FILTER('Client contacts'!$C$2:$C$500,('Client contacts'!$A$2:$A$500=$A442)*('Client contacts'!$G$2:$G$500="Y"),""),1),""))</f>
        <v/>
      </c>
      <c r="H442" s="5">
        <f>IF($A442="","",IFERROR(INDEX(FILTER('Client contacts'!$B$2:$B$500,('Client contacts'!$A$2:$A$500=$A442)*('Client contacts'!$G$2:$G$500="Y"),""),2),""))</f>
        <v/>
      </c>
      <c r="I442" s="5">
        <f>IF($A442="","",IFERROR(INDEX(FILTER('Client contacts'!$C$2:$C$500,('Client contacts'!$A$2:$A$500=$A442)*('Client contacts'!$G$2:$G$500="Y"),""),2),""))</f>
        <v/>
      </c>
      <c r="J442" s="8" t="n"/>
      <c r="K442" s="8" t="n"/>
      <c r="L442" s="8" t="n"/>
      <c r="M442" s="8" t="n"/>
      <c r="N442" s="8" t="n"/>
      <c r="O442" s="8" t="n"/>
      <c r="P442" s="8" t="n"/>
      <c r="Q442" s="8" t="n"/>
      <c r="R442" s="5">
        <f>IF($A442="","",IFERROR(INDEX(Companies!$I$2:$I$500,MATCH($A442,Companies!$A$2:$A$500,0)),""))</f>
        <v/>
      </c>
      <c r="S442" s="8" t="n"/>
      <c r="T442" s="8" t="n"/>
      <c r="U442" s="8" t="n"/>
      <c r="V442" s="8" t="n"/>
      <c r="W442" s="8" t="n"/>
    </row>
    <row r="443">
      <c r="C443" s="5">
        <f>IF($B443="","",TRIM(IF(INDEX('MOA role matrix'!$B$2:$D$13,1,MATCH($B443,'MOA role matrix'!$B$1:$D$1,0))="Fill","Project initiator, ","")IF(INDEX('MOA role matrix'!$B$2:$D$13,1,MATCH($B443,'MOA role matrix'!$B$1:$D$1,0))="If finance","Project initiator (if finance), ","")IF(INDEX('MOA role matrix'!$B$2:$D$13,1,MATCH($B443,'MOA role matrix'!$B$1:$D$1,0))="Auto","Project initiator (auto), ","")IF(INDEX('MOA role matrix'!$B$2:$D$13,2,MATCH($B443,'MOA role matrix'!$B$1:$D$1,0))="Fill","MOA signers (client), ","")IF(INDEX('MOA role matrix'!$B$2:$D$13,2,MATCH($B443,'MOA role matrix'!$B$1:$D$1,0))="If finance","MOA signers (client) (if finance), ","")IF(INDEX('MOA role matrix'!$B$2:$D$13,2,MATCH($B443,'MOA role matrix'!$B$1:$D$1,0))="Auto","MOA signers (client) (auto), ","")IF(INDEX('MOA role matrix'!$B$2:$D$13,3,MATCH($B443,'MOA role matrix'!$B$1:$D$1,0))="Fill","CFO / Head of Finance, ","")IF(INDEX('MOA role matrix'!$B$2:$D$13,3,MATCH($B443,'MOA role matrix'!$B$1:$D$1,0))="If finance","CFO / Head of Finance (if finance), ","")IF(INDEX('MOA role matrix'!$B$2:$D$13,3,MATCH($B443,'MOA role matrix'!$B$1:$D$1,0))="Auto","CFO / Head of Finance (auto), ","")IF(INDEX('MOA role matrix'!$B$2:$D$13,4,MATCH($B443,'MOA role matrix'!$B$1:$D$1,0))="Fill","CEO / COO / GM, ","")IF(INDEX('MOA role matrix'!$B$2:$D$13,4,MATCH($B443,'MOA role matrix'!$B$1:$D$1,0))="If finance","CEO / COO / GM (if finance), ","")IF(INDEX('MOA role matrix'!$B$2:$D$13,4,MATCH($B443,'MOA role matrix'!$B$1:$D$1,0))="Auto","CEO / COO / GM (auto), ","")IF(INDEX('MOA role matrix'!$B$2:$D$13,5,MATCH($B443,'MOA role matrix'!$B$1:$D$1,0))="Fill","Board member 1, ","")IF(INDEX('MOA role matrix'!$B$2:$D$13,5,MATCH($B443,'MOA role matrix'!$B$1:$D$1,0))="If finance","Board member 1 (if finance), ","")IF(INDEX('MOA role matrix'!$B$2:$D$13,5,MATCH($B443,'MOA role matrix'!$B$1:$D$1,0))="Auto","Board member 1 (auto), ","")IF(INDEX('MOA role matrix'!$B$2:$D$13,6,MATCH($B443,'MOA role matrix'!$B$1:$D$1,0))="Fill","Board member 2, ","")IF(INDEX('MOA role matrix'!$B$2:$D$13,6,MATCH($B443,'MOA role matrix'!$B$1:$D$1,0))="If finance","Board member 2 (if finance), ","")IF(INDEX('MOA role matrix'!$B$2:$D$13,6,MATCH($B443,'MOA role matrix'!$B$1:$D$1,0))="Auto","Board member 2 (auto), ","")IF(INDEX('MOA role matrix'!$B$2:$D$13,7,MATCH($B443,'MOA role matrix'!$B$1:$D$1,0))="Fill","LOA holder 1, ","")IF(INDEX('MOA role matrix'!$B$2:$D$13,7,MATCH($B443,'MOA role matrix'!$B$1:$D$1,0))="If finance","LOA holder 1 (if finance), ","")IF(INDEX('MOA role matrix'!$B$2:$D$13,7,MATCH($B443,'MOA role matrix'!$B$1:$D$1,0))="Auto","LOA holder 1 (auto), ","")IF(INDEX('MOA role matrix'!$B$2:$D$13,8,MATCH($B443,'MOA role matrix'!$B$1:$D$1,0))="Fill","LOA holder 2, ","")IF(INDEX('MOA role matrix'!$B$2:$D$13,8,MATCH($B443,'MOA role matrix'!$B$1:$D$1,0))="If finance","LOA holder 2 (if finance), ","")IF(INDEX('MOA role matrix'!$B$2:$D$13,8,MATCH($B443,'MOA role matrix'!$B$1:$D$1,0))="Auto","LOA holder 2 (auto), ","")IF(INDEX('MOA role matrix'!$B$2:$D$13,9,MATCH($B443,'MOA role matrix'!$B$1:$D$1,0))="Fill","Senior Manager CoSec, ","")IF(INDEX('MOA role matrix'!$B$2:$D$13,9,MATCH($B443,'MOA role matrix'!$B$1:$D$1,0))="If finance","Senior Manager CoSec (if finance), ","")IF(INDEX('MOA role matrix'!$B$2:$D$13,9,MATCH($B443,'MOA role matrix'!$B$1:$D$1,0))="Auto","Senior Manager CoSec (auto), ","")IF(INDEX('MOA role matrix'!$B$2:$D$13,10,MATCH($B443,'MOA role matrix'!$B$1:$D$1,0))="Fill","Division MOI managers, ","")IF(INDEX('MOA role matrix'!$B$2:$D$13,10,MATCH($B443,'MOA role matrix'!$B$1:$D$1,0))="If finance","Division MOI managers (if finance), ","")IF(INDEX('MOA role matrix'!$B$2:$D$13,10,MATCH($B443,'MOA role matrix'!$B$1:$D$1,0))="Auto","Division MOI managers (auto), ","")IF(INDEX('MOA role matrix'!$B$2:$D$13,11,MATCH($B443,'MOA role matrix'!$B$1:$D$1,0))="Fill","Ms Teh (bank), ","")IF(INDEX('MOA role matrix'!$B$2:$D$13,11,MATCH($B443,'MOA role matrix'!$B$1:$D$1,0))="If finance","Ms Teh (bank) (if finance), ","")IF(INDEX('MOA role matrix'!$B$2:$D$13,11,MATCH($B443,'MOA role matrix'!$B$1:$D$1,0))="Auto","Ms Teh (bank) (auto), ","")IF(INDEX('MOA role matrix'!$B$2:$D$13,12,MATCH($B443,'MOA role matrix'!$B$1:$D$1,0))="Fill","DLCM, ","")IF(INDEX('MOA role matrix'!$B$2:$D$13,12,MATCH($B443,'MOA role matrix'!$B$1:$D$1,0))="If finance","DLCM (if finance), ","")IF(INDEX('MOA role matrix'!$B$2:$D$13,12,MATCH($B443,'MOA role matrix'!$B$1:$D$1,0))="Auto","DLCM (auto), ","")))</f>
        <v/>
      </c>
      <c r="D443" s="5">
        <f>IF($A443="","",IFERROR(INDEX(FILTER('Client contacts'!$B$2:$B$500,('Client contacts'!$A$2:$A$500=$A443)*('Client contacts'!$H$2:$H$500="Y"),""),1),""))</f>
        <v/>
      </c>
      <c r="E443" s="5">
        <f>IF($A443="","",IFERROR(INDEX(FILTER('Client contacts'!$C$2:$C$500,('Client contacts'!$A$2:$A$500=$A443)*('Client contacts'!$H$2:$H$500="Y"),""),1),""))</f>
        <v/>
      </c>
      <c r="F443" s="5">
        <f>IF($A443="","",IFERROR(INDEX(FILTER('Client contacts'!$B$2:$B$500,('Client contacts'!$A$2:$A$500=$A443)*('Client contacts'!$G$2:$G$500="Y"),""),1),""))</f>
        <v/>
      </c>
      <c r="G443" s="5">
        <f>IF($A443="","",IFERROR(INDEX(FILTER('Client contacts'!$C$2:$C$500,('Client contacts'!$A$2:$A$500=$A443)*('Client contacts'!$G$2:$G$500="Y"),""),1),""))</f>
        <v/>
      </c>
      <c r="H443" s="5">
        <f>IF($A443="","",IFERROR(INDEX(FILTER('Client contacts'!$B$2:$B$500,('Client contacts'!$A$2:$A$500=$A443)*('Client contacts'!$G$2:$G$500="Y"),""),2),""))</f>
        <v/>
      </c>
      <c r="I443" s="5">
        <f>IF($A443="","",IFERROR(INDEX(FILTER('Client contacts'!$C$2:$C$500,('Client contacts'!$A$2:$A$500=$A443)*('Client contacts'!$G$2:$G$500="Y"),""),2),""))</f>
        <v/>
      </c>
      <c r="J443" s="8" t="n"/>
      <c r="K443" s="8" t="n"/>
      <c r="L443" s="8" t="n"/>
      <c r="M443" s="8" t="n"/>
      <c r="N443" s="8" t="n"/>
      <c r="O443" s="8" t="n"/>
      <c r="P443" s="8" t="n"/>
      <c r="Q443" s="8" t="n"/>
      <c r="R443" s="5">
        <f>IF($A443="","",IFERROR(INDEX(Companies!$I$2:$I$500,MATCH($A443,Companies!$A$2:$A$500,0)),""))</f>
        <v/>
      </c>
      <c r="S443" s="8" t="n"/>
      <c r="T443" s="8" t="n"/>
      <c r="U443" s="8" t="n"/>
      <c r="V443" s="8" t="n"/>
      <c r="W443" s="8" t="n"/>
    </row>
    <row r="444">
      <c r="C444" s="5">
        <f>IF($B444="","",TRIM(IF(INDEX('MOA role matrix'!$B$2:$D$13,1,MATCH($B444,'MOA role matrix'!$B$1:$D$1,0))="Fill","Project initiator, ","")IF(INDEX('MOA role matrix'!$B$2:$D$13,1,MATCH($B444,'MOA role matrix'!$B$1:$D$1,0))="If finance","Project initiator (if finance), ","")IF(INDEX('MOA role matrix'!$B$2:$D$13,1,MATCH($B444,'MOA role matrix'!$B$1:$D$1,0))="Auto","Project initiator (auto), ","")IF(INDEX('MOA role matrix'!$B$2:$D$13,2,MATCH($B444,'MOA role matrix'!$B$1:$D$1,0))="Fill","MOA signers (client), ","")IF(INDEX('MOA role matrix'!$B$2:$D$13,2,MATCH($B444,'MOA role matrix'!$B$1:$D$1,0))="If finance","MOA signers (client) (if finance), ","")IF(INDEX('MOA role matrix'!$B$2:$D$13,2,MATCH($B444,'MOA role matrix'!$B$1:$D$1,0))="Auto","MOA signers (client) (auto), ","")IF(INDEX('MOA role matrix'!$B$2:$D$13,3,MATCH($B444,'MOA role matrix'!$B$1:$D$1,0))="Fill","CFO / Head of Finance, ","")IF(INDEX('MOA role matrix'!$B$2:$D$13,3,MATCH($B444,'MOA role matrix'!$B$1:$D$1,0))="If finance","CFO / Head of Finance (if finance), ","")IF(INDEX('MOA role matrix'!$B$2:$D$13,3,MATCH($B444,'MOA role matrix'!$B$1:$D$1,0))="Auto","CFO / Head of Finance (auto), ","")IF(INDEX('MOA role matrix'!$B$2:$D$13,4,MATCH($B444,'MOA role matrix'!$B$1:$D$1,0))="Fill","CEO / COO / GM, ","")IF(INDEX('MOA role matrix'!$B$2:$D$13,4,MATCH($B444,'MOA role matrix'!$B$1:$D$1,0))="If finance","CEO / COO / GM (if finance), ","")IF(INDEX('MOA role matrix'!$B$2:$D$13,4,MATCH($B444,'MOA role matrix'!$B$1:$D$1,0))="Auto","CEO / COO / GM (auto), ","")IF(INDEX('MOA role matrix'!$B$2:$D$13,5,MATCH($B444,'MOA role matrix'!$B$1:$D$1,0))="Fill","Board member 1, ","")IF(INDEX('MOA role matrix'!$B$2:$D$13,5,MATCH($B444,'MOA role matrix'!$B$1:$D$1,0))="If finance","Board member 1 (if finance), ","")IF(INDEX('MOA role matrix'!$B$2:$D$13,5,MATCH($B444,'MOA role matrix'!$B$1:$D$1,0))="Auto","Board member 1 (auto), ","")IF(INDEX('MOA role matrix'!$B$2:$D$13,6,MATCH($B444,'MOA role matrix'!$B$1:$D$1,0))="Fill","Board member 2, ","")IF(INDEX('MOA role matrix'!$B$2:$D$13,6,MATCH($B444,'MOA role matrix'!$B$1:$D$1,0))="If finance","Board member 2 (if finance), ","")IF(INDEX('MOA role matrix'!$B$2:$D$13,6,MATCH($B444,'MOA role matrix'!$B$1:$D$1,0))="Auto","Board member 2 (auto), ","")IF(INDEX('MOA role matrix'!$B$2:$D$13,7,MATCH($B444,'MOA role matrix'!$B$1:$D$1,0))="Fill","LOA holder 1, ","")IF(INDEX('MOA role matrix'!$B$2:$D$13,7,MATCH($B444,'MOA role matrix'!$B$1:$D$1,0))="If finance","LOA holder 1 (if finance), ","")IF(INDEX('MOA role matrix'!$B$2:$D$13,7,MATCH($B444,'MOA role matrix'!$B$1:$D$1,0))="Auto","LOA holder 1 (auto), ","")IF(INDEX('MOA role matrix'!$B$2:$D$13,8,MATCH($B444,'MOA role matrix'!$B$1:$D$1,0))="Fill","LOA holder 2, ","")IF(INDEX('MOA role matrix'!$B$2:$D$13,8,MATCH($B444,'MOA role matrix'!$B$1:$D$1,0))="If finance","LOA holder 2 (if finance), ","")IF(INDEX('MOA role matrix'!$B$2:$D$13,8,MATCH($B444,'MOA role matrix'!$B$1:$D$1,0))="Auto","LOA holder 2 (auto), ","")IF(INDEX('MOA role matrix'!$B$2:$D$13,9,MATCH($B444,'MOA role matrix'!$B$1:$D$1,0))="Fill","Senior Manager CoSec, ","")IF(INDEX('MOA role matrix'!$B$2:$D$13,9,MATCH($B444,'MOA role matrix'!$B$1:$D$1,0))="If finance","Senior Manager CoSec (if finance), ","")IF(INDEX('MOA role matrix'!$B$2:$D$13,9,MATCH($B444,'MOA role matrix'!$B$1:$D$1,0))="Auto","Senior Manager CoSec (auto), ","")IF(INDEX('MOA role matrix'!$B$2:$D$13,10,MATCH($B444,'MOA role matrix'!$B$1:$D$1,0))="Fill","Division MOI managers, ","")IF(INDEX('MOA role matrix'!$B$2:$D$13,10,MATCH($B444,'MOA role matrix'!$B$1:$D$1,0))="If finance","Division MOI managers (if finance), ","")IF(INDEX('MOA role matrix'!$B$2:$D$13,10,MATCH($B444,'MOA role matrix'!$B$1:$D$1,0))="Auto","Division MOI managers (auto), ","")IF(INDEX('MOA role matrix'!$B$2:$D$13,11,MATCH($B444,'MOA role matrix'!$B$1:$D$1,0))="Fill","Ms Teh (bank), ","")IF(INDEX('MOA role matrix'!$B$2:$D$13,11,MATCH($B444,'MOA role matrix'!$B$1:$D$1,0))="If finance","Ms Teh (bank) (if finance), ","")IF(INDEX('MOA role matrix'!$B$2:$D$13,11,MATCH($B444,'MOA role matrix'!$B$1:$D$1,0))="Auto","Ms Teh (bank) (auto), ","")IF(INDEX('MOA role matrix'!$B$2:$D$13,12,MATCH($B444,'MOA role matrix'!$B$1:$D$1,0))="Fill","DLCM, ","")IF(INDEX('MOA role matrix'!$B$2:$D$13,12,MATCH($B444,'MOA role matrix'!$B$1:$D$1,0))="If finance","DLCM (if finance), ","")IF(INDEX('MOA role matrix'!$B$2:$D$13,12,MATCH($B444,'MOA role matrix'!$B$1:$D$1,0))="Auto","DLCM (auto), ","")))</f>
        <v/>
      </c>
      <c r="D444" s="5">
        <f>IF($A444="","",IFERROR(INDEX(FILTER('Client contacts'!$B$2:$B$500,('Client contacts'!$A$2:$A$500=$A444)*('Client contacts'!$H$2:$H$500="Y"),""),1),""))</f>
        <v/>
      </c>
      <c r="E444" s="5">
        <f>IF($A444="","",IFERROR(INDEX(FILTER('Client contacts'!$C$2:$C$500,('Client contacts'!$A$2:$A$500=$A444)*('Client contacts'!$H$2:$H$500="Y"),""),1),""))</f>
        <v/>
      </c>
      <c r="F444" s="5">
        <f>IF($A444="","",IFERROR(INDEX(FILTER('Client contacts'!$B$2:$B$500,('Client contacts'!$A$2:$A$500=$A444)*('Client contacts'!$G$2:$G$500="Y"),""),1),""))</f>
        <v/>
      </c>
      <c r="G444" s="5">
        <f>IF($A444="","",IFERROR(INDEX(FILTER('Client contacts'!$C$2:$C$500,('Client contacts'!$A$2:$A$500=$A444)*('Client contacts'!$G$2:$G$500="Y"),""),1),""))</f>
        <v/>
      </c>
      <c r="H444" s="5">
        <f>IF($A444="","",IFERROR(INDEX(FILTER('Client contacts'!$B$2:$B$500,('Client contacts'!$A$2:$A$500=$A444)*('Client contacts'!$G$2:$G$500="Y"),""),2),""))</f>
        <v/>
      </c>
      <c r="I444" s="5">
        <f>IF($A444="","",IFERROR(INDEX(FILTER('Client contacts'!$C$2:$C$500,('Client contacts'!$A$2:$A$500=$A444)*('Client contacts'!$G$2:$G$500="Y"),""),2),""))</f>
        <v/>
      </c>
      <c r="J444" s="8" t="n"/>
      <c r="K444" s="8" t="n"/>
      <c r="L444" s="8" t="n"/>
      <c r="M444" s="8" t="n"/>
      <c r="N444" s="8" t="n"/>
      <c r="O444" s="8" t="n"/>
      <c r="P444" s="8" t="n"/>
      <c r="Q444" s="8" t="n"/>
      <c r="R444" s="5">
        <f>IF($A444="","",IFERROR(INDEX(Companies!$I$2:$I$500,MATCH($A444,Companies!$A$2:$A$500,0)),""))</f>
        <v/>
      </c>
      <c r="S444" s="8" t="n"/>
      <c r="T444" s="8" t="n"/>
      <c r="U444" s="8" t="n"/>
      <c r="V444" s="8" t="n"/>
      <c r="W444" s="8" t="n"/>
    </row>
    <row r="445">
      <c r="C445" s="5">
        <f>IF($B445="","",TRIM(IF(INDEX('MOA role matrix'!$B$2:$D$13,1,MATCH($B445,'MOA role matrix'!$B$1:$D$1,0))="Fill","Project initiator, ","")IF(INDEX('MOA role matrix'!$B$2:$D$13,1,MATCH($B445,'MOA role matrix'!$B$1:$D$1,0))="If finance","Project initiator (if finance), ","")IF(INDEX('MOA role matrix'!$B$2:$D$13,1,MATCH($B445,'MOA role matrix'!$B$1:$D$1,0))="Auto","Project initiator (auto), ","")IF(INDEX('MOA role matrix'!$B$2:$D$13,2,MATCH($B445,'MOA role matrix'!$B$1:$D$1,0))="Fill","MOA signers (client), ","")IF(INDEX('MOA role matrix'!$B$2:$D$13,2,MATCH($B445,'MOA role matrix'!$B$1:$D$1,0))="If finance","MOA signers (client) (if finance), ","")IF(INDEX('MOA role matrix'!$B$2:$D$13,2,MATCH($B445,'MOA role matrix'!$B$1:$D$1,0))="Auto","MOA signers (client) (auto), ","")IF(INDEX('MOA role matrix'!$B$2:$D$13,3,MATCH($B445,'MOA role matrix'!$B$1:$D$1,0))="Fill","CFO / Head of Finance, ","")IF(INDEX('MOA role matrix'!$B$2:$D$13,3,MATCH($B445,'MOA role matrix'!$B$1:$D$1,0))="If finance","CFO / Head of Finance (if finance), ","")IF(INDEX('MOA role matrix'!$B$2:$D$13,3,MATCH($B445,'MOA role matrix'!$B$1:$D$1,0))="Auto","CFO / Head of Finance (auto), ","")IF(INDEX('MOA role matrix'!$B$2:$D$13,4,MATCH($B445,'MOA role matrix'!$B$1:$D$1,0))="Fill","CEO / COO / GM, ","")IF(INDEX('MOA role matrix'!$B$2:$D$13,4,MATCH($B445,'MOA role matrix'!$B$1:$D$1,0))="If finance","CEO / COO / GM (if finance), ","")IF(INDEX('MOA role matrix'!$B$2:$D$13,4,MATCH($B445,'MOA role matrix'!$B$1:$D$1,0))="Auto","CEO / COO / GM (auto), ","")IF(INDEX('MOA role matrix'!$B$2:$D$13,5,MATCH($B445,'MOA role matrix'!$B$1:$D$1,0))="Fill","Board member 1, ","")IF(INDEX('MOA role matrix'!$B$2:$D$13,5,MATCH($B445,'MOA role matrix'!$B$1:$D$1,0))="If finance","Board member 1 (if finance), ","")IF(INDEX('MOA role matrix'!$B$2:$D$13,5,MATCH($B445,'MOA role matrix'!$B$1:$D$1,0))="Auto","Board member 1 (auto), ","")IF(INDEX('MOA role matrix'!$B$2:$D$13,6,MATCH($B445,'MOA role matrix'!$B$1:$D$1,0))="Fill","Board member 2, ","")IF(INDEX('MOA role matrix'!$B$2:$D$13,6,MATCH($B445,'MOA role matrix'!$B$1:$D$1,0))="If finance","Board member 2 (if finance), ","")IF(INDEX('MOA role matrix'!$B$2:$D$13,6,MATCH($B445,'MOA role matrix'!$B$1:$D$1,0))="Auto","Board member 2 (auto), ","")IF(INDEX('MOA role matrix'!$B$2:$D$13,7,MATCH($B445,'MOA role matrix'!$B$1:$D$1,0))="Fill","LOA holder 1, ","")IF(INDEX('MOA role matrix'!$B$2:$D$13,7,MATCH($B445,'MOA role matrix'!$B$1:$D$1,0))="If finance","LOA holder 1 (if finance), ","")IF(INDEX('MOA role matrix'!$B$2:$D$13,7,MATCH($B445,'MOA role matrix'!$B$1:$D$1,0))="Auto","LOA holder 1 (auto), ","")IF(INDEX('MOA role matrix'!$B$2:$D$13,8,MATCH($B445,'MOA role matrix'!$B$1:$D$1,0))="Fill","LOA holder 2, ","")IF(INDEX('MOA role matrix'!$B$2:$D$13,8,MATCH($B445,'MOA role matrix'!$B$1:$D$1,0))="If finance","LOA holder 2 (if finance), ","")IF(INDEX('MOA role matrix'!$B$2:$D$13,8,MATCH($B445,'MOA role matrix'!$B$1:$D$1,0))="Auto","LOA holder 2 (auto), ","")IF(INDEX('MOA role matrix'!$B$2:$D$13,9,MATCH($B445,'MOA role matrix'!$B$1:$D$1,0))="Fill","Senior Manager CoSec, ","")IF(INDEX('MOA role matrix'!$B$2:$D$13,9,MATCH($B445,'MOA role matrix'!$B$1:$D$1,0))="If finance","Senior Manager CoSec (if finance), ","")IF(INDEX('MOA role matrix'!$B$2:$D$13,9,MATCH($B445,'MOA role matrix'!$B$1:$D$1,0))="Auto","Senior Manager CoSec (auto), ","")IF(INDEX('MOA role matrix'!$B$2:$D$13,10,MATCH($B445,'MOA role matrix'!$B$1:$D$1,0))="Fill","Division MOI managers, ","")IF(INDEX('MOA role matrix'!$B$2:$D$13,10,MATCH($B445,'MOA role matrix'!$B$1:$D$1,0))="If finance","Division MOI managers (if finance), ","")IF(INDEX('MOA role matrix'!$B$2:$D$13,10,MATCH($B445,'MOA role matrix'!$B$1:$D$1,0))="Auto","Division MOI managers (auto), ","")IF(INDEX('MOA role matrix'!$B$2:$D$13,11,MATCH($B445,'MOA role matrix'!$B$1:$D$1,0))="Fill","Ms Teh (bank), ","")IF(INDEX('MOA role matrix'!$B$2:$D$13,11,MATCH($B445,'MOA role matrix'!$B$1:$D$1,0))="If finance","Ms Teh (bank) (if finance), ","")IF(INDEX('MOA role matrix'!$B$2:$D$13,11,MATCH($B445,'MOA role matrix'!$B$1:$D$1,0))="Auto","Ms Teh (bank) (auto), ","")IF(INDEX('MOA role matrix'!$B$2:$D$13,12,MATCH($B445,'MOA role matrix'!$B$1:$D$1,0))="Fill","DLCM, ","")IF(INDEX('MOA role matrix'!$B$2:$D$13,12,MATCH($B445,'MOA role matrix'!$B$1:$D$1,0))="If finance","DLCM (if finance), ","")IF(INDEX('MOA role matrix'!$B$2:$D$13,12,MATCH($B445,'MOA role matrix'!$B$1:$D$1,0))="Auto","DLCM (auto), ","")))</f>
        <v/>
      </c>
      <c r="D445" s="5">
        <f>IF($A445="","",IFERROR(INDEX(FILTER('Client contacts'!$B$2:$B$500,('Client contacts'!$A$2:$A$500=$A445)*('Client contacts'!$H$2:$H$500="Y"),""),1),""))</f>
        <v/>
      </c>
      <c r="E445" s="5">
        <f>IF($A445="","",IFERROR(INDEX(FILTER('Client contacts'!$C$2:$C$500,('Client contacts'!$A$2:$A$500=$A445)*('Client contacts'!$H$2:$H$500="Y"),""),1),""))</f>
        <v/>
      </c>
      <c r="F445" s="5">
        <f>IF($A445="","",IFERROR(INDEX(FILTER('Client contacts'!$B$2:$B$500,('Client contacts'!$A$2:$A$500=$A445)*('Client contacts'!$G$2:$G$500="Y"),""),1),""))</f>
        <v/>
      </c>
      <c r="G445" s="5">
        <f>IF($A445="","",IFERROR(INDEX(FILTER('Client contacts'!$C$2:$C$500,('Client contacts'!$A$2:$A$500=$A445)*('Client contacts'!$G$2:$G$500="Y"),""),1),""))</f>
        <v/>
      </c>
      <c r="H445" s="5">
        <f>IF($A445="","",IFERROR(INDEX(FILTER('Client contacts'!$B$2:$B$500,('Client contacts'!$A$2:$A$500=$A445)*('Client contacts'!$G$2:$G$500="Y"),""),2),""))</f>
        <v/>
      </c>
      <c r="I445" s="5">
        <f>IF($A445="","",IFERROR(INDEX(FILTER('Client contacts'!$C$2:$C$500,('Client contacts'!$A$2:$A$500=$A445)*('Client contacts'!$G$2:$G$500="Y"),""),2),""))</f>
        <v/>
      </c>
      <c r="J445" s="8" t="n"/>
      <c r="K445" s="8" t="n"/>
      <c r="L445" s="8" t="n"/>
      <c r="M445" s="8" t="n"/>
      <c r="N445" s="8" t="n"/>
      <c r="O445" s="8" t="n"/>
      <c r="P445" s="8" t="n"/>
      <c r="Q445" s="8" t="n"/>
      <c r="R445" s="5">
        <f>IF($A445="","",IFERROR(INDEX(Companies!$I$2:$I$500,MATCH($A445,Companies!$A$2:$A$500,0)),""))</f>
        <v/>
      </c>
      <c r="S445" s="8" t="n"/>
      <c r="T445" s="8" t="n"/>
      <c r="U445" s="8" t="n"/>
      <c r="V445" s="8" t="n"/>
      <c r="W445" s="8" t="n"/>
    </row>
    <row r="446">
      <c r="C446" s="5">
        <f>IF($B446="","",TRIM(IF(INDEX('MOA role matrix'!$B$2:$D$13,1,MATCH($B446,'MOA role matrix'!$B$1:$D$1,0))="Fill","Project initiator, ","")IF(INDEX('MOA role matrix'!$B$2:$D$13,1,MATCH($B446,'MOA role matrix'!$B$1:$D$1,0))="If finance","Project initiator (if finance), ","")IF(INDEX('MOA role matrix'!$B$2:$D$13,1,MATCH($B446,'MOA role matrix'!$B$1:$D$1,0))="Auto","Project initiator (auto), ","")IF(INDEX('MOA role matrix'!$B$2:$D$13,2,MATCH($B446,'MOA role matrix'!$B$1:$D$1,0))="Fill","MOA signers (client), ","")IF(INDEX('MOA role matrix'!$B$2:$D$13,2,MATCH($B446,'MOA role matrix'!$B$1:$D$1,0))="If finance","MOA signers (client) (if finance), ","")IF(INDEX('MOA role matrix'!$B$2:$D$13,2,MATCH($B446,'MOA role matrix'!$B$1:$D$1,0))="Auto","MOA signers (client) (auto), ","")IF(INDEX('MOA role matrix'!$B$2:$D$13,3,MATCH($B446,'MOA role matrix'!$B$1:$D$1,0))="Fill","CFO / Head of Finance, ","")IF(INDEX('MOA role matrix'!$B$2:$D$13,3,MATCH($B446,'MOA role matrix'!$B$1:$D$1,0))="If finance","CFO / Head of Finance (if finance), ","")IF(INDEX('MOA role matrix'!$B$2:$D$13,3,MATCH($B446,'MOA role matrix'!$B$1:$D$1,0))="Auto","CFO / Head of Finance (auto), ","")IF(INDEX('MOA role matrix'!$B$2:$D$13,4,MATCH($B446,'MOA role matrix'!$B$1:$D$1,0))="Fill","CEO / COO / GM, ","")IF(INDEX('MOA role matrix'!$B$2:$D$13,4,MATCH($B446,'MOA role matrix'!$B$1:$D$1,0))="If finance","CEO / COO / GM (if finance), ","")IF(INDEX('MOA role matrix'!$B$2:$D$13,4,MATCH($B446,'MOA role matrix'!$B$1:$D$1,0))="Auto","CEO / COO / GM (auto), ","")IF(INDEX('MOA role matrix'!$B$2:$D$13,5,MATCH($B446,'MOA role matrix'!$B$1:$D$1,0))="Fill","Board member 1, ","")IF(INDEX('MOA role matrix'!$B$2:$D$13,5,MATCH($B446,'MOA role matrix'!$B$1:$D$1,0))="If finance","Board member 1 (if finance), ","")IF(INDEX('MOA role matrix'!$B$2:$D$13,5,MATCH($B446,'MOA role matrix'!$B$1:$D$1,0))="Auto","Board member 1 (auto), ","")IF(INDEX('MOA role matrix'!$B$2:$D$13,6,MATCH($B446,'MOA role matrix'!$B$1:$D$1,0))="Fill","Board member 2, ","")IF(INDEX('MOA role matrix'!$B$2:$D$13,6,MATCH($B446,'MOA role matrix'!$B$1:$D$1,0))="If finance","Board member 2 (if finance), ","")IF(INDEX('MOA role matrix'!$B$2:$D$13,6,MATCH($B446,'MOA role matrix'!$B$1:$D$1,0))="Auto","Board member 2 (auto), ","")IF(INDEX('MOA role matrix'!$B$2:$D$13,7,MATCH($B446,'MOA role matrix'!$B$1:$D$1,0))="Fill","LOA holder 1, ","")IF(INDEX('MOA role matrix'!$B$2:$D$13,7,MATCH($B446,'MOA role matrix'!$B$1:$D$1,0))="If finance","LOA holder 1 (if finance), ","")IF(INDEX('MOA role matrix'!$B$2:$D$13,7,MATCH($B446,'MOA role matrix'!$B$1:$D$1,0))="Auto","LOA holder 1 (auto), ","")IF(INDEX('MOA role matrix'!$B$2:$D$13,8,MATCH($B446,'MOA role matrix'!$B$1:$D$1,0))="Fill","LOA holder 2, ","")IF(INDEX('MOA role matrix'!$B$2:$D$13,8,MATCH($B446,'MOA role matrix'!$B$1:$D$1,0))="If finance","LOA holder 2 (if finance), ","")IF(INDEX('MOA role matrix'!$B$2:$D$13,8,MATCH($B446,'MOA role matrix'!$B$1:$D$1,0))="Auto","LOA holder 2 (auto), ","")IF(INDEX('MOA role matrix'!$B$2:$D$13,9,MATCH($B446,'MOA role matrix'!$B$1:$D$1,0))="Fill","Senior Manager CoSec, ","")IF(INDEX('MOA role matrix'!$B$2:$D$13,9,MATCH($B446,'MOA role matrix'!$B$1:$D$1,0))="If finance","Senior Manager CoSec (if finance), ","")IF(INDEX('MOA role matrix'!$B$2:$D$13,9,MATCH($B446,'MOA role matrix'!$B$1:$D$1,0))="Auto","Senior Manager CoSec (auto), ","")IF(INDEX('MOA role matrix'!$B$2:$D$13,10,MATCH($B446,'MOA role matrix'!$B$1:$D$1,0))="Fill","Division MOI managers, ","")IF(INDEX('MOA role matrix'!$B$2:$D$13,10,MATCH($B446,'MOA role matrix'!$B$1:$D$1,0))="If finance","Division MOI managers (if finance), ","")IF(INDEX('MOA role matrix'!$B$2:$D$13,10,MATCH($B446,'MOA role matrix'!$B$1:$D$1,0))="Auto","Division MOI managers (auto), ","")IF(INDEX('MOA role matrix'!$B$2:$D$13,11,MATCH($B446,'MOA role matrix'!$B$1:$D$1,0))="Fill","Ms Teh (bank), ","")IF(INDEX('MOA role matrix'!$B$2:$D$13,11,MATCH($B446,'MOA role matrix'!$B$1:$D$1,0))="If finance","Ms Teh (bank) (if finance), ","")IF(INDEX('MOA role matrix'!$B$2:$D$13,11,MATCH($B446,'MOA role matrix'!$B$1:$D$1,0))="Auto","Ms Teh (bank) (auto), ","")IF(INDEX('MOA role matrix'!$B$2:$D$13,12,MATCH($B446,'MOA role matrix'!$B$1:$D$1,0))="Fill","DLCM, ","")IF(INDEX('MOA role matrix'!$B$2:$D$13,12,MATCH($B446,'MOA role matrix'!$B$1:$D$1,0))="If finance","DLCM (if finance), ","")IF(INDEX('MOA role matrix'!$B$2:$D$13,12,MATCH($B446,'MOA role matrix'!$B$1:$D$1,0))="Auto","DLCM (auto), ","")))</f>
        <v/>
      </c>
      <c r="D446" s="5">
        <f>IF($A446="","",IFERROR(INDEX(FILTER('Client contacts'!$B$2:$B$500,('Client contacts'!$A$2:$A$500=$A446)*('Client contacts'!$H$2:$H$500="Y"),""),1),""))</f>
        <v/>
      </c>
      <c r="E446" s="5">
        <f>IF($A446="","",IFERROR(INDEX(FILTER('Client contacts'!$C$2:$C$500,('Client contacts'!$A$2:$A$500=$A446)*('Client contacts'!$H$2:$H$500="Y"),""),1),""))</f>
        <v/>
      </c>
      <c r="F446" s="5">
        <f>IF($A446="","",IFERROR(INDEX(FILTER('Client contacts'!$B$2:$B$500,('Client contacts'!$A$2:$A$500=$A446)*('Client contacts'!$G$2:$G$500="Y"),""),1),""))</f>
        <v/>
      </c>
      <c r="G446" s="5">
        <f>IF($A446="","",IFERROR(INDEX(FILTER('Client contacts'!$C$2:$C$500,('Client contacts'!$A$2:$A$500=$A446)*('Client contacts'!$G$2:$G$500="Y"),""),1),""))</f>
        <v/>
      </c>
      <c r="H446" s="5">
        <f>IF($A446="","",IFERROR(INDEX(FILTER('Client contacts'!$B$2:$B$500,('Client contacts'!$A$2:$A$500=$A446)*('Client contacts'!$G$2:$G$500="Y"),""),2),""))</f>
        <v/>
      </c>
      <c r="I446" s="5">
        <f>IF($A446="","",IFERROR(INDEX(FILTER('Client contacts'!$C$2:$C$500,('Client contacts'!$A$2:$A$500=$A446)*('Client contacts'!$G$2:$G$500="Y"),""),2),""))</f>
        <v/>
      </c>
      <c r="J446" s="8" t="n"/>
      <c r="K446" s="8" t="n"/>
      <c r="L446" s="8" t="n"/>
      <c r="M446" s="8" t="n"/>
      <c r="N446" s="8" t="n"/>
      <c r="O446" s="8" t="n"/>
      <c r="P446" s="8" t="n"/>
      <c r="Q446" s="8" t="n"/>
      <c r="R446" s="5">
        <f>IF($A446="","",IFERROR(INDEX(Companies!$I$2:$I$500,MATCH($A446,Companies!$A$2:$A$500,0)),""))</f>
        <v/>
      </c>
      <c r="S446" s="8" t="n"/>
      <c r="T446" s="8" t="n"/>
      <c r="U446" s="8" t="n"/>
      <c r="V446" s="8" t="n"/>
      <c r="W446" s="8" t="n"/>
    </row>
    <row r="447">
      <c r="C447" s="5">
        <f>IF($B447="","",TRIM(IF(INDEX('MOA role matrix'!$B$2:$D$13,1,MATCH($B447,'MOA role matrix'!$B$1:$D$1,0))="Fill","Project initiator, ","")IF(INDEX('MOA role matrix'!$B$2:$D$13,1,MATCH($B447,'MOA role matrix'!$B$1:$D$1,0))="If finance","Project initiator (if finance), ","")IF(INDEX('MOA role matrix'!$B$2:$D$13,1,MATCH($B447,'MOA role matrix'!$B$1:$D$1,0))="Auto","Project initiator (auto), ","")IF(INDEX('MOA role matrix'!$B$2:$D$13,2,MATCH($B447,'MOA role matrix'!$B$1:$D$1,0))="Fill","MOA signers (client), ","")IF(INDEX('MOA role matrix'!$B$2:$D$13,2,MATCH($B447,'MOA role matrix'!$B$1:$D$1,0))="If finance","MOA signers (client) (if finance), ","")IF(INDEX('MOA role matrix'!$B$2:$D$13,2,MATCH($B447,'MOA role matrix'!$B$1:$D$1,0))="Auto","MOA signers (client) (auto), ","")IF(INDEX('MOA role matrix'!$B$2:$D$13,3,MATCH($B447,'MOA role matrix'!$B$1:$D$1,0))="Fill","CFO / Head of Finance, ","")IF(INDEX('MOA role matrix'!$B$2:$D$13,3,MATCH($B447,'MOA role matrix'!$B$1:$D$1,0))="If finance","CFO / Head of Finance (if finance), ","")IF(INDEX('MOA role matrix'!$B$2:$D$13,3,MATCH($B447,'MOA role matrix'!$B$1:$D$1,0))="Auto","CFO / Head of Finance (auto), ","")IF(INDEX('MOA role matrix'!$B$2:$D$13,4,MATCH($B447,'MOA role matrix'!$B$1:$D$1,0))="Fill","CEO / COO / GM, ","")IF(INDEX('MOA role matrix'!$B$2:$D$13,4,MATCH($B447,'MOA role matrix'!$B$1:$D$1,0))="If finance","CEO / COO / GM (if finance), ","")IF(INDEX('MOA role matrix'!$B$2:$D$13,4,MATCH($B447,'MOA role matrix'!$B$1:$D$1,0))="Auto","CEO / COO / GM (auto), ","")IF(INDEX('MOA role matrix'!$B$2:$D$13,5,MATCH($B447,'MOA role matrix'!$B$1:$D$1,0))="Fill","Board member 1, ","")IF(INDEX('MOA role matrix'!$B$2:$D$13,5,MATCH($B447,'MOA role matrix'!$B$1:$D$1,0))="If finance","Board member 1 (if finance), ","")IF(INDEX('MOA role matrix'!$B$2:$D$13,5,MATCH($B447,'MOA role matrix'!$B$1:$D$1,0))="Auto","Board member 1 (auto), ","")IF(INDEX('MOA role matrix'!$B$2:$D$13,6,MATCH($B447,'MOA role matrix'!$B$1:$D$1,0))="Fill","Board member 2, ","")IF(INDEX('MOA role matrix'!$B$2:$D$13,6,MATCH($B447,'MOA role matrix'!$B$1:$D$1,0))="If finance","Board member 2 (if finance), ","")IF(INDEX('MOA role matrix'!$B$2:$D$13,6,MATCH($B447,'MOA role matrix'!$B$1:$D$1,0))="Auto","Board member 2 (auto), ","")IF(INDEX('MOA role matrix'!$B$2:$D$13,7,MATCH($B447,'MOA role matrix'!$B$1:$D$1,0))="Fill","LOA holder 1, ","")IF(INDEX('MOA role matrix'!$B$2:$D$13,7,MATCH($B447,'MOA role matrix'!$B$1:$D$1,0))="If finance","LOA holder 1 (if finance), ","")IF(INDEX('MOA role matrix'!$B$2:$D$13,7,MATCH($B447,'MOA role matrix'!$B$1:$D$1,0))="Auto","LOA holder 1 (auto), ","")IF(INDEX('MOA role matrix'!$B$2:$D$13,8,MATCH($B447,'MOA role matrix'!$B$1:$D$1,0))="Fill","LOA holder 2, ","")IF(INDEX('MOA role matrix'!$B$2:$D$13,8,MATCH($B447,'MOA role matrix'!$B$1:$D$1,0))="If finance","LOA holder 2 (if finance), ","")IF(INDEX('MOA role matrix'!$B$2:$D$13,8,MATCH($B447,'MOA role matrix'!$B$1:$D$1,0))="Auto","LOA holder 2 (auto), ","")IF(INDEX('MOA role matrix'!$B$2:$D$13,9,MATCH($B447,'MOA role matrix'!$B$1:$D$1,0))="Fill","Senior Manager CoSec, ","")IF(INDEX('MOA role matrix'!$B$2:$D$13,9,MATCH($B447,'MOA role matrix'!$B$1:$D$1,0))="If finance","Senior Manager CoSec (if finance), ","")IF(INDEX('MOA role matrix'!$B$2:$D$13,9,MATCH($B447,'MOA role matrix'!$B$1:$D$1,0))="Auto","Senior Manager CoSec (auto), ","")IF(INDEX('MOA role matrix'!$B$2:$D$13,10,MATCH($B447,'MOA role matrix'!$B$1:$D$1,0))="Fill","Division MOI managers, ","")IF(INDEX('MOA role matrix'!$B$2:$D$13,10,MATCH($B447,'MOA role matrix'!$B$1:$D$1,0))="If finance","Division MOI managers (if finance), ","")IF(INDEX('MOA role matrix'!$B$2:$D$13,10,MATCH($B447,'MOA role matrix'!$B$1:$D$1,0))="Auto","Division MOI managers (auto), ","")IF(INDEX('MOA role matrix'!$B$2:$D$13,11,MATCH($B447,'MOA role matrix'!$B$1:$D$1,0))="Fill","Ms Teh (bank), ","")IF(INDEX('MOA role matrix'!$B$2:$D$13,11,MATCH($B447,'MOA role matrix'!$B$1:$D$1,0))="If finance","Ms Teh (bank) (if finance), ","")IF(INDEX('MOA role matrix'!$B$2:$D$13,11,MATCH($B447,'MOA role matrix'!$B$1:$D$1,0))="Auto","Ms Teh (bank) (auto), ","")IF(INDEX('MOA role matrix'!$B$2:$D$13,12,MATCH($B447,'MOA role matrix'!$B$1:$D$1,0))="Fill","DLCM, ","")IF(INDEX('MOA role matrix'!$B$2:$D$13,12,MATCH($B447,'MOA role matrix'!$B$1:$D$1,0))="If finance","DLCM (if finance), ","")IF(INDEX('MOA role matrix'!$B$2:$D$13,12,MATCH($B447,'MOA role matrix'!$B$1:$D$1,0))="Auto","DLCM (auto), ","")))</f>
        <v/>
      </c>
      <c r="D447" s="5">
        <f>IF($A447="","",IFERROR(INDEX(FILTER('Client contacts'!$B$2:$B$500,('Client contacts'!$A$2:$A$500=$A447)*('Client contacts'!$H$2:$H$500="Y"),""),1),""))</f>
        <v/>
      </c>
      <c r="E447" s="5">
        <f>IF($A447="","",IFERROR(INDEX(FILTER('Client contacts'!$C$2:$C$500,('Client contacts'!$A$2:$A$500=$A447)*('Client contacts'!$H$2:$H$500="Y"),""),1),""))</f>
        <v/>
      </c>
      <c r="F447" s="5">
        <f>IF($A447="","",IFERROR(INDEX(FILTER('Client contacts'!$B$2:$B$500,('Client contacts'!$A$2:$A$500=$A447)*('Client contacts'!$G$2:$G$500="Y"),""),1),""))</f>
        <v/>
      </c>
      <c r="G447" s="5">
        <f>IF($A447="","",IFERROR(INDEX(FILTER('Client contacts'!$C$2:$C$500,('Client contacts'!$A$2:$A$500=$A447)*('Client contacts'!$G$2:$G$500="Y"),""),1),""))</f>
        <v/>
      </c>
      <c r="H447" s="5">
        <f>IF($A447="","",IFERROR(INDEX(FILTER('Client contacts'!$B$2:$B$500,('Client contacts'!$A$2:$A$500=$A447)*('Client contacts'!$G$2:$G$500="Y"),""),2),""))</f>
        <v/>
      </c>
      <c r="I447" s="5">
        <f>IF($A447="","",IFERROR(INDEX(FILTER('Client contacts'!$C$2:$C$500,('Client contacts'!$A$2:$A$500=$A447)*('Client contacts'!$G$2:$G$500="Y"),""),2),""))</f>
        <v/>
      </c>
      <c r="J447" s="8" t="n"/>
      <c r="K447" s="8" t="n"/>
      <c r="L447" s="8" t="n"/>
      <c r="M447" s="8" t="n"/>
      <c r="N447" s="8" t="n"/>
      <c r="O447" s="8" t="n"/>
      <c r="P447" s="8" t="n"/>
      <c r="Q447" s="8" t="n"/>
      <c r="R447" s="5">
        <f>IF($A447="","",IFERROR(INDEX(Companies!$I$2:$I$500,MATCH($A447,Companies!$A$2:$A$500,0)),""))</f>
        <v/>
      </c>
      <c r="S447" s="8" t="n"/>
      <c r="T447" s="8" t="n"/>
      <c r="U447" s="8" t="n"/>
      <c r="V447" s="8" t="n"/>
      <c r="W447" s="8" t="n"/>
    </row>
    <row r="448">
      <c r="C448" s="5">
        <f>IF($B448="","",TRIM(IF(INDEX('MOA role matrix'!$B$2:$D$13,1,MATCH($B448,'MOA role matrix'!$B$1:$D$1,0))="Fill","Project initiator, ","")IF(INDEX('MOA role matrix'!$B$2:$D$13,1,MATCH($B448,'MOA role matrix'!$B$1:$D$1,0))="If finance","Project initiator (if finance), ","")IF(INDEX('MOA role matrix'!$B$2:$D$13,1,MATCH($B448,'MOA role matrix'!$B$1:$D$1,0))="Auto","Project initiator (auto), ","")IF(INDEX('MOA role matrix'!$B$2:$D$13,2,MATCH($B448,'MOA role matrix'!$B$1:$D$1,0))="Fill","MOA signers (client), ","")IF(INDEX('MOA role matrix'!$B$2:$D$13,2,MATCH($B448,'MOA role matrix'!$B$1:$D$1,0))="If finance","MOA signers (client) (if finance), ","")IF(INDEX('MOA role matrix'!$B$2:$D$13,2,MATCH($B448,'MOA role matrix'!$B$1:$D$1,0))="Auto","MOA signers (client) (auto), ","")IF(INDEX('MOA role matrix'!$B$2:$D$13,3,MATCH($B448,'MOA role matrix'!$B$1:$D$1,0))="Fill","CFO / Head of Finance, ","")IF(INDEX('MOA role matrix'!$B$2:$D$13,3,MATCH($B448,'MOA role matrix'!$B$1:$D$1,0))="If finance","CFO / Head of Finance (if finance), ","")IF(INDEX('MOA role matrix'!$B$2:$D$13,3,MATCH($B448,'MOA role matrix'!$B$1:$D$1,0))="Auto","CFO / Head of Finance (auto), ","")IF(INDEX('MOA role matrix'!$B$2:$D$13,4,MATCH($B448,'MOA role matrix'!$B$1:$D$1,0))="Fill","CEO / COO / GM, ","")IF(INDEX('MOA role matrix'!$B$2:$D$13,4,MATCH($B448,'MOA role matrix'!$B$1:$D$1,0))="If finance","CEO / COO / GM (if finance), ","")IF(INDEX('MOA role matrix'!$B$2:$D$13,4,MATCH($B448,'MOA role matrix'!$B$1:$D$1,0))="Auto","CEO / COO / GM (auto), ","")IF(INDEX('MOA role matrix'!$B$2:$D$13,5,MATCH($B448,'MOA role matrix'!$B$1:$D$1,0))="Fill","Board member 1, ","")IF(INDEX('MOA role matrix'!$B$2:$D$13,5,MATCH($B448,'MOA role matrix'!$B$1:$D$1,0))="If finance","Board member 1 (if finance), ","")IF(INDEX('MOA role matrix'!$B$2:$D$13,5,MATCH($B448,'MOA role matrix'!$B$1:$D$1,0))="Auto","Board member 1 (auto), ","")IF(INDEX('MOA role matrix'!$B$2:$D$13,6,MATCH($B448,'MOA role matrix'!$B$1:$D$1,0))="Fill","Board member 2, ","")IF(INDEX('MOA role matrix'!$B$2:$D$13,6,MATCH($B448,'MOA role matrix'!$B$1:$D$1,0))="If finance","Board member 2 (if finance), ","")IF(INDEX('MOA role matrix'!$B$2:$D$13,6,MATCH($B448,'MOA role matrix'!$B$1:$D$1,0))="Auto","Board member 2 (auto), ","")IF(INDEX('MOA role matrix'!$B$2:$D$13,7,MATCH($B448,'MOA role matrix'!$B$1:$D$1,0))="Fill","LOA holder 1, ","")IF(INDEX('MOA role matrix'!$B$2:$D$13,7,MATCH($B448,'MOA role matrix'!$B$1:$D$1,0))="If finance","LOA holder 1 (if finance), ","")IF(INDEX('MOA role matrix'!$B$2:$D$13,7,MATCH($B448,'MOA role matrix'!$B$1:$D$1,0))="Auto","LOA holder 1 (auto), ","")IF(INDEX('MOA role matrix'!$B$2:$D$13,8,MATCH($B448,'MOA role matrix'!$B$1:$D$1,0))="Fill","LOA holder 2, ","")IF(INDEX('MOA role matrix'!$B$2:$D$13,8,MATCH($B448,'MOA role matrix'!$B$1:$D$1,0))="If finance","LOA holder 2 (if finance), ","")IF(INDEX('MOA role matrix'!$B$2:$D$13,8,MATCH($B448,'MOA role matrix'!$B$1:$D$1,0))="Auto","LOA holder 2 (auto), ","")IF(INDEX('MOA role matrix'!$B$2:$D$13,9,MATCH($B448,'MOA role matrix'!$B$1:$D$1,0))="Fill","Senior Manager CoSec, ","")IF(INDEX('MOA role matrix'!$B$2:$D$13,9,MATCH($B448,'MOA role matrix'!$B$1:$D$1,0))="If finance","Senior Manager CoSec (if finance), ","")IF(INDEX('MOA role matrix'!$B$2:$D$13,9,MATCH($B448,'MOA role matrix'!$B$1:$D$1,0))="Auto","Senior Manager CoSec (auto), ","")IF(INDEX('MOA role matrix'!$B$2:$D$13,10,MATCH($B448,'MOA role matrix'!$B$1:$D$1,0))="Fill","Division MOI managers, ","")IF(INDEX('MOA role matrix'!$B$2:$D$13,10,MATCH($B448,'MOA role matrix'!$B$1:$D$1,0))="If finance","Division MOI managers (if finance), ","")IF(INDEX('MOA role matrix'!$B$2:$D$13,10,MATCH($B448,'MOA role matrix'!$B$1:$D$1,0))="Auto","Division MOI managers (auto), ","")IF(INDEX('MOA role matrix'!$B$2:$D$13,11,MATCH($B448,'MOA role matrix'!$B$1:$D$1,0))="Fill","Ms Teh (bank), ","")IF(INDEX('MOA role matrix'!$B$2:$D$13,11,MATCH($B448,'MOA role matrix'!$B$1:$D$1,0))="If finance","Ms Teh (bank) (if finance), ","")IF(INDEX('MOA role matrix'!$B$2:$D$13,11,MATCH($B448,'MOA role matrix'!$B$1:$D$1,0))="Auto","Ms Teh (bank) (auto), ","")IF(INDEX('MOA role matrix'!$B$2:$D$13,12,MATCH($B448,'MOA role matrix'!$B$1:$D$1,0))="Fill","DLCM, ","")IF(INDEX('MOA role matrix'!$B$2:$D$13,12,MATCH($B448,'MOA role matrix'!$B$1:$D$1,0))="If finance","DLCM (if finance), ","")IF(INDEX('MOA role matrix'!$B$2:$D$13,12,MATCH($B448,'MOA role matrix'!$B$1:$D$1,0))="Auto","DLCM (auto), ","")))</f>
        <v/>
      </c>
      <c r="D448" s="5">
        <f>IF($A448="","",IFERROR(INDEX(FILTER('Client contacts'!$B$2:$B$500,('Client contacts'!$A$2:$A$500=$A448)*('Client contacts'!$H$2:$H$500="Y"),""),1),""))</f>
        <v/>
      </c>
      <c r="E448" s="5">
        <f>IF($A448="","",IFERROR(INDEX(FILTER('Client contacts'!$C$2:$C$500,('Client contacts'!$A$2:$A$500=$A448)*('Client contacts'!$H$2:$H$500="Y"),""),1),""))</f>
        <v/>
      </c>
      <c r="F448" s="5">
        <f>IF($A448="","",IFERROR(INDEX(FILTER('Client contacts'!$B$2:$B$500,('Client contacts'!$A$2:$A$500=$A448)*('Client contacts'!$G$2:$G$500="Y"),""),1),""))</f>
        <v/>
      </c>
      <c r="G448" s="5">
        <f>IF($A448="","",IFERROR(INDEX(FILTER('Client contacts'!$C$2:$C$500,('Client contacts'!$A$2:$A$500=$A448)*('Client contacts'!$G$2:$G$500="Y"),""),1),""))</f>
        <v/>
      </c>
      <c r="H448" s="5">
        <f>IF($A448="","",IFERROR(INDEX(FILTER('Client contacts'!$B$2:$B$500,('Client contacts'!$A$2:$A$500=$A448)*('Client contacts'!$G$2:$G$500="Y"),""),2),""))</f>
        <v/>
      </c>
      <c r="I448" s="5">
        <f>IF($A448="","",IFERROR(INDEX(FILTER('Client contacts'!$C$2:$C$500,('Client contacts'!$A$2:$A$500=$A448)*('Client contacts'!$G$2:$G$500="Y"),""),2),""))</f>
        <v/>
      </c>
      <c r="J448" s="8" t="n"/>
      <c r="K448" s="8" t="n"/>
      <c r="L448" s="8" t="n"/>
      <c r="M448" s="8" t="n"/>
      <c r="N448" s="8" t="n"/>
      <c r="O448" s="8" t="n"/>
      <c r="P448" s="8" t="n"/>
      <c r="Q448" s="8" t="n"/>
      <c r="R448" s="5">
        <f>IF($A448="","",IFERROR(INDEX(Companies!$I$2:$I$500,MATCH($A448,Companies!$A$2:$A$500,0)),""))</f>
        <v/>
      </c>
      <c r="S448" s="8" t="n"/>
      <c r="T448" s="8" t="n"/>
      <c r="U448" s="8" t="n"/>
      <c r="V448" s="8" t="n"/>
      <c r="W448" s="8" t="n"/>
    </row>
    <row r="449">
      <c r="C449" s="5">
        <f>IF($B449="","",TRIM(IF(INDEX('MOA role matrix'!$B$2:$D$13,1,MATCH($B449,'MOA role matrix'!$B$1:$D$1,0))="Fill","Project initiator, ","")IF(INDEX('MOA role matrix'!$B$2:$D$13,1,MATCH($B449,'MOA role matrix'!$B$1:$D$1,0))="If finance","Project initiator (if finance), ","")IF(INDEX('MOA role matrix'!$B$2:$D$13,1,MATCH($B449,'MOA role matrix'!$B$1:$D$1,0))="Auto","Project initiator (auto), ","")IF(INDEX('MOA role matrix'!$B$2:$D$13,2,MATCH($B449,'MOA role matrix'!$B$1:$D$1,0))="Fill","MOA signers (client), ","")IF(INDEX('MOA role matrix'!$B$2:$D$13,2,MATCH($B449,'MOA role matrix'!$B$1:$D$1,0))="If finance","MOA signers (client) (if finance), ","")IF(INDEX('MOA role matrix'!$B$2:$D$13,2,MATCH($B449,'MOA role matrix'!$B$1:$D$1,0))="Auto","MOA signers (client) (auto), ","")IF(INDEX('MOA role matrix'!$B$2:$D$13,3,MATCH($B449,'MOA role matrix'!$B$1:$D$1,0))="Fill","CFO / Head of Finance, ","")IF(INDEX('MOA role matrix'!$B$2:$D$13,3,MATCH($B449,'MOA role matrix'!$B$1:$D$1,0))="If finance","CFO / Head of Finance (if finance), ","")IF(INDEX('MOA role matrix'!$B$2:$D$13,3,MATCH($B449,'MOA role matrix'!$B$1:$D$1,0))="Auto","CFO / Head of Finance (auto), ","")IF(INDEX('MOA role matrix'!$B$2:$D$13,4,MATCH($B449,'MOA role matrix'!$B$1:$D$1,0))="Fill","CEO / COO / GM, ","")IF(INDEX('MOA role matrix'!$B$2:$D$13,4,MATCH($B449,'MOA role matrix'!$B$1:$D$1,0))="If finance","CEO / COO / GM (if finance), ","")IF(INDEX('MOA role matrix'!$B$2:$D$13,4,MATCH($B449,'MOA role matrix'!$B$1:$D$1,0))="Auto","CEO / COO / GM (auto), ","")IF(INDEX('MOA role matrix'!$B$2:$D$13,5,MATCH($B449,'MOA role matrix'!$B$1:$D$1,0))="Fill","Board member 1, ","")IF(INDEX('MOA role matrix'!$B$2:$D$13,5,MATCH($B449,'MOA role matrix'!$B$1:$D$1,0))="If finance","Board member 1 (if finance), ","")IF(INDEX('MOA role matrix'!$B$2:$D$13,5,MATCH($B449,'MOA role matrix'!$B$1:$D$1,0))="Auto","Board member 1 (auto), ","")IF(INDEX('MOA role matrix'!$B$2:$D$13,6,MATCH($B449,'MOA role matrix'!$B$1:$D$1,0))="Fill","Board member 2, ","")IF(INDEX('MOA role matrix'!$B$2:$D$13,6,MATCH($B449,'MOA role matrix'!$B$1:$D$1,0))="If finance","Board member 2 (if finance), ","")IF(INDEX('MOA role matrix'!$B$2:$D$13,6,MATCH($B449,'MOA role matrix'!$B$1:$D$1,0))="Auto","Board member 2 (auto), ","")IF(INDEX('MOA role matrix'!$B$2:$D$13,7,MATCH($B449,'MOA role matrix'!$B$1:$D$1,0))="Fill","LOA holder 1, ","")IF(INDEX('MOA role matrix'!$B$2:$D$13,7,MATCH($B449,'MOA role matrix'!$B$1:$D$1,0))="If finance","LOA holder 1 (if finance), ","")IF(INDEX('MOA role matrix'!$B$2:$D$13,7,MATCH($B449,'MOA role matrix'!$B$1:$D$1,0))="Auto","LOA holder 1 (auto), ","")IF(INDEX('MOA role matrix'!$B$2:$D$13,8,MATCH($B449,'MOA role matrix'!$B$1:$D$1,0))="Fill","LOA holder 2, ","")IF(INDEX('MOA role matrix'!$B$2:$D$13,8,MATCH($B449,'MOA role matrix'!$B$1:$D$1,0))="If finance","LOA holder 2 (if finance), ","")IF(INDEX('MOA role matrix'!$B$2:$D$13,8,MATCH($B449,'MOA role matrix'!$B$1:$D$1,0))="Auto","LOA holder 2 (auto), ","")IF(INDEX('MOA role matrix'!$B$2:$D$13,9,MATCH($B449,'MOA role matrix'!$B$1:$D$1,0))="Fill","Senior Manager CoSec, ","")IF(INDEX('MOA role matrix'!$B$2:$D$13,9,MATCH($B449,'MOA role matrix'!$B$1:$D$1,0))="If finance","Senior Manager CoSec (if finance), ","")IF(INDEX('MOA role matrix'!$B$2:$D$13,9,MATCH($B449,'MOA role matrix'!$B$1:$D$1,0))="Auto","Senior Manager CoSec (auto), ","")IF(INDEX('MOA role matrix'!$B$2:$D$13,10,MATCH($B449,'MOA role matrix'!$B$1:$D$1,0))="Fill","Division MOI managers, ","")IF(INDEX('MOA role matrix'!$B$2:$D$13,10,MATCH($B449,'MOA role matrix'!$B$1:$D$1,0))="If finance","Division MOI managers (if finance), ","")IF(INDEX('MOA role matrix'!$B$2:$D$13,10,MATCH($B449,'MOA role matrix'!$B$1:$D$1,0))="Auto","Division MOI managers (auto), ","")IF(INDEX('MOA role matrix'!$B$2:$D$13,11,MATCH($B449,'MOA role matrix'!$B$1:$D$1,0))="Fill","Ms Teh (bank), ","")IF(INDEX('MOA role matrix'!$B$2:$D$13,11,MATCH($B449,'MOA role matrix'!$B$1:$D$1,0))="If finance","Ms Teh (bank) (if finance), ","")IF(INDEX('MOA role matrix'!$B$2:$D$13,11,MATCH($B449,'MOA role matrix'!$B$1:$D$1,0))="Auto","Ms Teh (bank) (auto), ","")IF(INDEX('MOA role matrix'!$B$2:$D$13,12,MATCH($B449,'MOA role matrix'!$B$1:$D$1,0))="Fill","DLCM, ","")IF(INDEX('MOA role matrix'!$B$2:$D$13,12,MATCH($B449,'MOA role matrix'!$B$1:$D$1,0))="If finance","DLCM (if finance), ","")IF(INDEX('MOA role matrix'!$B$2:$D$13,12,MATCH($B449,'MOA role matrix'!$B$1:$D$1,0))="Auto","DLCM (auto), ","")))</f>
        <v/>
      </c>
      <c r="D449" s="5">
        <f>IF($A449="","",IFERROR(INDEX(FILTER('Client contacts'!$B$2:$B$500,('Client contacts'!$A$2:$A$500=$A449)*('Client contacts'!$H$2:$H$500="Y"),""),1),""))</f>
        <v/>
      </c>
      <c r="E449" s="5">
        <f>IF($A449="","",IFERROR(INDEX(FILTER('Client contacts'!$C$2:$C$500,('Client contacts'!$A$2:$A$500=$A449)*('Client contacts'!$H$2:$H$500="Y"),""),1),""))</f>
        <v/>
      </c>
      <c r="F449" s="5">
        <f>IF($A449="","",IFERROR(INDEX(FILTER('Client contacts'!$B$2:$B$500,('Client contacts'!$A$2:$A$500=$A449)*('Client contacts'!$G$2:$G$500="Y"),""),1),""))</f>
        <v/>
      </c>
      <c r="G449" s="5">
        <f>IF($A449="","",IFERROR(INDEX(FILTER('Client contacts'!$C$2:$C$500,('Client contacts'!$A$2:$A$500=$A449)*('Client contacts'!$G$2:$G$500="Y"),""),1),""))</f>
        <v/>
      </c>
      <c r="H449" s="5">
        <f>IF($A449="","",IFERROR(INDEX(FILTER('Client contacts'!$B$2:$B$500,('Client contacts'!$A$2:$A$500=$A449)*('Client contacts'!$G$2:$G$500="Y"),""),2),""))</f>
        <v/>
      </c>
      <c r="I449" s="5">
        <f>IF($A449="","",IFERROR(INDEX(FILTER('Client contacts'!$C$2:$C$500,('Client contacts'!$A$2:$A$500=$A449)*('Client contacts'!$G$2:$G$500="Y"),""),2),""))</f>
        <v/>
      </c>
      <c r="J449" s="8" t="n"/>
      <c r="K449" s="8" t="n"/>
      <c r="L449" s="8" t="n"/>
      <c r="M449" s="8" t="n"/>
      <c r="N449" s="8" t="n"/>
      <c r="O449" s="8" t="n"/>
      <c r="P449" s="8" t="n"/>
      <c r="Q449" s="8" t="n"/>
      <c r="R449" s="5">
        <f>IF($A449="","",IFERROR(INDEX(Companies!$I$2:$I$500,MATCH($A449,Companies!$A$2:$A$500,0)),""))</f>
        <v/>
      </c>
      <c r="S449" s="8" t="n"/>
      <c r="T449" s="8" t="n"/>
      <c r="U449" s="8" t="n"/>
      <c r="V449" s="8" t="n"/>
      <c r="W449" s="8" t="n"/>
    </row>
    <row r="450">
      <c r="C450" s="5">
        <f>IF($B450="","",TRIM(IF(INDEX('MOA role matrix'!$B$2:$D$13,1,MATCH($B450,'MOA role matrix'!$B$1:$D$1,0))="Fill","Project initiator, ","")IF(INDEX('MOA role matrix'!$B$2:$D$13,1,MATCH($B450,'MOA role matrix'!$B$1:$D$1,0))="If finance","Project initiator (if finance), ","")IF(INDEX('MOA role matrix'!$B$2:$D$13,1,MATCH($B450,'MOA role matrix'!$B$1:$D$1,0))="Auto","Project initiator (auto), ","")IF(INDEX('MOA role matrix'!$B$2:$D$13,2,MATCH($B450,'MOA role matrix'!$B$1:$D$1,0))="Fill","MOA signers (client), ","")IF(INDEX('MOA role matrix'!$B$2:$D$13,2,MATCH($B450,'MOA role matrix'!$B$1:$D$1,0))="If finance","MOA signers (client) (if finance), ","")IF(INDEX('MOA role matrix'!$B$2:$D$13,2,MATCH($B450,'MOA role matrix'!$B$1:$D$1,0))="Auto","MOA signers (client) (auto), ","")IF(INDEX('MOA role matrix'!$B$2:$D$13,3,MATCH($B450,'MOA role matrix'!$B$1:$D$1,0))="Fill","CFO / Head of Finance, ","")IF(INDEX('MOA role matrix'!$B$2:$D$13,3,MATCH($B450,'MOA role matrix'!$B$1:$D$1,0))="If finance","CFO / Head of Finance (if finance), ","")IF(INDEX('MOA role matrix'!$B$2:$D$13,3,MATCH($B450,'MOA role matrix'!$B$1:$D$1,0))="Auto","CFO / Head of Finance (auto), ","")IF(INDEX('MOA role matrix'!$B$2:$D$13,4,MATCH($B450,'MOA role matrix'!$B$1:$D$1,0))="Fill","CEO / COO / GM, ","")IF(INDEX('MOA role matrix'!$B$2:$D$13,4,MATCH($B450,'MOA role matrix'!$B$1:$D$1,0))="If finance","CEO / COO / GM (if finance), ","")IF(INDEX('MOA role matrix'!$B$2:$D$13,4,MATCH($B450,'MOA role matrix'!$B$1:$D$1,0))="Auto","CEO / COO / GM (auto), ","")IF(INDEX('MOA role matrix'!$B$2:$D$13,5,MATCH($B450,'MOA role matrix'!$B$1:$D$1,0))="Fill","Board member 1, ","")IF(INDEX('MOA role matrix'!$B$2:$D$13,5,MATCH($B450,'MOA role matrix'!$B$1:$D$1,0))="If finance","Board member 1 (if finance), ","")IF(INDEX('MOA role matrix'!$B$2:$D$13,5,MATCH($B450,'MOA role matrix'!$B$1:$D$1,0))="Auto","Board member 1 (auto), ","")IF(INDEX('MOA role matrix'!$B$2:$D$13,6,MATCH($B450,'MOA role matrix'!$B$1:$D$1,0))="Fill","Board member 2, ","")IF(INDEX('MOA role matrix'!$B$2:$D$13,6,MATCH($B450,'MOA role matrix'!$B$1:$D$1,0))="If finance","Board member 2 (if finance), ","")IF(INDEX('MOA role matrix'!$B$2:$D$13,6,MATCH($B450,'MOA role matrix'!$B$1:$D$1,0))="Auto","Board member 2 (auto), ","")IF(INDEX('MOA role matrix'!$B$2:$D$13,7,MATCH($B450,'MOA role matrix'!$B$1:$D$1,0))="Fill","LOA holder 1, ","")IF(INDEX('MOA role matrix'!$B$2:$D$13,7,MATCH($B450,'MOA role matrix'!$B$1:$D$1,0))="If finance","LOA holder 1 (if finance), ","")IF(INDEX('MOA role matrix'!$B$2:$D$13,7,MATCH($B450,'MOA role matrix'!$B$1:$D$1,0))="Auto","LOA holder 1 (auto), ","")IF(INDEX('MOA role matrix'!$B$2:$D$13,8,MATCH($B450,'MOA role matrix'!$B$1:$D$1,0))="Fill","LOA holder 2, ","")IF(INDEX('MOA role matrix'!$B$2:$D$13,8,MATCH($B450,'MOA role matrix'!$B$1:$D$1,0))="If finance","LOA holder 2 (if finance), ","")IF(INDEX('MOA role matrix'!$B$2:$D$13,8,MATCH($B450,'MOA role matrix'!$B$1:$D$1,0))="Auto","LOA holder 2 (auto), ","")IF(INDEX('MOA role matrix'!$B$2:$D$13,9,MATCH($B450,'MOA role matrix'!$B$1:$D$1,0))="Fill","Senior Manager CoSec, ","")IF(INDEX('MOA role matrix'!$B$2:$D$13,9,MATCH($B450,'MOA role matrix'!$B$1:$D$1,0))="If finance","Senior Manager CoSec (if finance), ","")IF(INDEX('MOA role matrix'!$B$2:$D$13,9,MATCH($B450,'MOA role matrix'!$B$1:$D$1,0))="Auto","Senior Manager CoSec (auto), ","")IF(INDEX('MOA role matrix'!$B$2:$D$13,10,MATCH($B450,'MOA role matrix'!$B$1:$D$1,0))="Fill","Division MOI managers, ","")IF(INDEX('MOA role matrix'!$B$2:$D$13,10,MATCH($B450,'MOA role matrix'!$B$1:$D$1,0))="If finance","Division MOI managers (if finance), ","")IF(INDEX('MOA role matrix'!$B$2:$D$13,10,MATCH($B450,'MOA role matrix'!$B$1:$D$1,0))="Auto","Division MOI managers (auto), ","")IF(INDEX('MOA role matrix'!$B$2:$D$13,11,MATCH($B450,'MOA role matrix'!$B$1:$D$1,0))="Fill","Ms Teh (bank), ","")IF(INDEX('MOA role matrix'!$B$2:$D$13,11,MATCH($B450,'MOA role matrix'!$B$1:$D$1,0))="If finance","Ms Teh (bank) (if finance), ","")IF(INDEX('MOA role matrix'!$B$2:$D$13,11,MATCH($B450,'MOA role matrix'!$B$1:$D$1,0))="Auto","Ms Teh (bank) (auto), ","")IF(INDEX('MOA role matrix'!$B$2:$D$13,12,MATCH($B450,'MOA role matrix'!$B$1:$D$1,0))="Fill","DLCM, ","")IF(INDEX('MOA role matrix'!$B$2:$D$13,12,MATCH($B450,'MOA role matrix'!$B$1:$D$1,0))="If finance","DLCM (if finance), ","")IF(INDEX('MOA role matrix'!$B$2:$D$13,12,MATCH($B450,'MOA role matrix'!$B$1:$D$1,0))="Auto","DLCM (auto), ","")))</f>
        <v/>
      </c>
      <c r="D450" s="5">
        <f>IF($A450="","",IFERROR(INDEX(FILTER('Client contacts'!$B$2:$B$500,('Client contacts'!$A$2:$A$500=$A450)*('Client contacts'!$H$2:$H$500="Y"),""),1),""))</f>
        <v/>
      </c>
      <c r="E450" s="5">
        <f>IF($A450="","",IFERROR(INDEX(FILTER('Client contacts'!$C$2:$C$500,('Client contacts'!$A$2:$A$500=$A450)*('Client contacts'!$H$2:$H$500="Y"),""),1),""))</f>
        <v/>
      </c>
      <c r="F450" s="5">
        <f>IF($A450="","",IFERROR(INDEX(FILTER('Client contacts'!$B$2:$B$500,('Client contacts'!$A$2:$A$500=$A450)*('Client contacts'!$G$2:$G$500="Y"),""),1),""))</f>
        <v/>
      </c>
      <c r="G450" s="5">
        <f>IF($A450="","",IFERROR(INDEX(FILTER('Client contacts'!$C$2:$C$500,('Client contacts'!$A$2:$A$500=$A450)*('Client contacts'!$G$2:$G$500="Y"),""),1),""))</f>
        <v/>
      </c>
      <c r="H450" s="5">
        <f>IF($A450="","",IFERROR(INDEX(FILTER('Client contacts'!$B$2:$B$500,('Client contacts'!$A$2:$A$500=$A450)*('Client contacts'!$G$2:$G$500="Y"),""),2),""))</f>
        <v/>
      </c>
      <c r="I450" s="5">
        <f>IF($A450="","",IFERROR(INDEX(FILTER('Client contacts'!$C$2:$C$500,('Client contacts'!$A$2:$A$500=$A450)*('Client contacts'!$G$2:$G$500="Y"),""),2),""))</f>
        <v/>
      </c>
      <c r="J450" s="8" t="n"/>
      <c r="K450" s="8" t="n"/>
      <c r="L450" s="8" t="n"/>
      <c r="M450" s="8" t="n"/>
      <c r="N450" s="8" t="n"/>
      <c r="O450" s="8" t="n"/>
      <c r="P450" s="8" t="n"/>
      <c r="Q450" s="8" t="n"/>
      <c r="R450" s="5">
        <f>IF($A450="","",IFERROR(INDEX(Companies!$I$2:$I$500,MATCH($A450,Companies!$A$2:$A$500,0)),""))</f>
        <v/>
      </c>
      <c r="S450" s="8" t="n"/>
      <c r="T450" s="8" t="n"/>
      <c r="U450" s="8" t="n"/>
      <c r="V450" s="8" t="n"/>
      <c r="W450" s="8" t="n"/>
    </row>
    <row r="451">
      <c r="C451" s="5">
        <f>IF($B451="","",TRIM(IF(INDEX('MOA role matrix'!$B$2:$D$13,1,MATCH($B451,'MOA role matrix'!$B$1:$D$1,0))="Fill","Project initiator, ","")IF(INDEX('MOA role matrix'!$B$2:$D$13,1,MATCH($B451,'MOA role matrix'!$B$1:$D$1,0))="If finance","Project initiator (if finance), ","")IF(INDEX('MOA role matrix'!$B$2:$D$13,1,MATCH($B451,'MOA role matrix'!$B$1:$D$1,0))="Auto","Project initiator (auto), ","")IF(INDEX('MOA role matrix'!$B$2:$D$13,2,MATCH($B451,'MOA role matrix'!$B$1:$D$1,0))="Fill","MOA signers (client), ","")IF(INDEX('MOA role matrix'!$B$2:$D$13,2,MATCH($B451,'MOA role matrix'!$B$1:$D$1,0))="If finance","MOA signers (client) (if finance), ","")IF(INDEX('MOA role matrix'!$B$2:$D$13,2,MATCH($B451,'MOA role matrix'!$B$1:$D$1,0))="Auto","MOA signers (client) (auto), ","")IF(INDEX('MOA role matrix'!$B$2:$D$13,3,MATCH($B451,'MOA role matrix'!$B$1:$D$1,0))="Fill","CFO / Head of Finance, ","")IF(INDEX('MOA role matrix'!$B$2:$D$13,3,MATCH($B451,'MOA role matrix'!$B$1:$D$1,0))="If finance","CFO / Head of Finance (if finance), ","")IF(INDEX('MOA role matrix'!$B$2:$D$13,3,MATCH($B451,'MOA role matrix'!$B$1:$D$1,0))="Auto","CFO / Head of Finance (auto), ","")IF(INDEX('MOA role matrix'!$B$2:$D$13,4,MATCH($B451,'MOA role matrix'!$B$1:$D$1,0))="Fill","CEO / COO / GM, ","")IF(INDEX('MOA role matrix'!$B$2:$D$13,4,MATCH($B451,'MOA role matrix'!$B$1:$D$1,0))="If finance","CEO / COO / GM (if finance), ","")IF(INDEX('MOA role matrix'!$B$2:$D$13,4,MATCH($B451,'MOA role matrix'!$B$1:$D$1,0))="Auto","CEO / COO / GM (auto), ","")IF(INDEX('MOA role matrix'!$B$2:$D$13,5,MATCH($B451,'MOA role matrix'!$B$1:$D$1,0))="Fill","Board member 1, ","")IF(INDEX('MOA role matrix'!$B$2:$D$13,5,MATCH($B451,'MOA role matrix'!$B$1:$D$1,0))="If finance","Board member 1 (if finance), ","")IF(INDEX('MOA role matrix'!$B$2:$D$13,5,MATCH($B451,'MOA role matrix'!$B$1:$D$1,0))="Auto","Board member 1 (auto), ","")IF(INDEX('MOA role matrix'!$B$2:$D$13,6,MATCH($B451,'MOA role matrix'!$B$1:$D$1,0))="Fill","Board member 2, ","")IF(INDEX('MOA role matrix'!$B$2:$D$13,6,MATCH($B451,'MOA role matrix'!$B$1:$D$1,0))="If finance","Board member 2 (if finance), ","")IF(INDEX('MOA role matrix'!$B$2:$D$13,6,MATCH($B451,'MOA role matrix'!$B$1:$D$1,0))="Auto","Board member 2 (auto), ","")IF(INDEX('MOA role matrix'!$B$2:$D$13,7,MATCH($B451,'MOA role matrix'!$B$1:$D$1,0))="Fill","LOA holder 1, ","")IF(INDEX('MOA role matrix'!$B$2:$D$13,7,MATCH($B451,'MOA role matrix'!$B$1:$D$1,0))="If finance","LOA holder 1 (if finance), ","")IF(INDEX('MOA role matrix'!$B$2:$D$13,7,MATCH($B451,'MOA role matrix'!$B$1:$D$1,0))="Auto","LOA holder 1 (auto), ","")IF(INDEX('MOA role matrix'!$B$2:$D$13,8,MATCH($B451,'MOA role matrix'!$B$1:$D$1,0))="Fill","LOA holder 2, ","")IF(INDEX('MOA role matrix'!$B$2:$D$13,8,MATCH($B451,'MOA role matrix'!$B$1:$D$1,0))="If finance","LOA holder 2 (if finance), ","")IF(INDEX('MOA role matrix'!$B$2:$D$13,8,MATCH($B451,'MOA role matrix'!$B$1:$D$1,0))="Auto","LOA holder 2 (auto), ","")IF(INDEX('MOA role matrix'!$B$2:$D$13,9,MATCH($B451,'MOA role matrix'!$B$1:$D$1,0))="Fill","Senior Manager CoSec, ","")IF(INDEX('MOA role matrix'!$B$2:$D$13,9,MATCH($B451,'MOA role matrix'!$B$1:$D$1,0))="If finance","Senior Manager CoSec (if finance), ","")IF(INDEX('MOA role matrix'!$B$2:$D$13,9,MATCH($B451,'MOA role matrix'!$B$1:$D$1,0))="Auto","Senior Manager CoSec (auto), ","")IF(INDEX('MOA role matrix'!$B$2:$D$13,10,MATCH($B451,'MOA role matrix'!$B$1:$D$1,0))="Fill","Division MOI managers, ","")IF(INDEX('MOA role matrix'!$B$2:$D$13,10,MATCH($B451,'MOA role matrix'!$B$1:$D$1,0))="If finance","Division MOI managers (if finance), ","")IF(INDEX('MOA role matrix'!$B$2:$D$13,10,MATCH($B451,'MOA role matrix'!$B$1:$D$1,0))="Auto","Division MOI managers (auto), ","")IF(INDEX('MOA role matrix'!$B$2:$D$13,11,MATCH($B451,'MOA role matrix'!$B$1:$D$1,0))="Fill","Ms Teh (bank), ","")IF(INDEX('MOA role matrix'!$B$2:$D$13,11,MATCH($B451,'MOA role matrix'!$B$1:$D$1,0))="If finance","Ms Teh (bank) (if finance), ","")IF(INDEX('MOA role matrix'!$B$2:$D$13,11,MATCH($B451,'MOA role matrix'!$B$1:$D$1,0))="Auto","Ms Teh (bank) (auto), ","")IF(INDEX('MOA role matrix'!$B$2:$D$13,12,MATCH($B451,'MOA role matrix'!$B$1:$D$1,0))="Fill","DLCM, ","")IF(INDEX('MOA role matrix'!$B$2:$D$13,12,MATCH($B451,'MOA role matrix'!$B$1:$D$1,0))="If finance","DLCM (if finance), ","")IF(INDEX('MOA role matrix'!$B$2:$D$13,12,MATCH($B451,'MOA role matrix'!$B$1:$D$1,0))="Auto","DLCM (auto), ","")))</f>
        <v/>
      </c>
      <c r="D451" s="5">
        <f>IF($A451="","",IFERROR(INDEX(FILTER('Client contacts'!$B$2:$B$500,('Client contacts'!$A$2:$A$500=$A451)*('Client contacts'!$H$2:$H$500="Y"),""),1),""))</f>
        <v/>
      </c>
      <c r="E451" s="5">
        <f>IF($A451="","",IFERROR(INDEX(FILTER('Client contacts'!$C$2:$C$500,('Client contacts'!$A$2:$A$500=$A451)*('Client contacts'!$H$2:$H$500="Y"),""),1),""))</f>
        <v/>
      </c>
      <c r="F451" s="5">
        <f>IF($A451="","",IFERROR(INDEX(FILTER('Client contacts'!$B$2:$B$500,('Client contacts'!$A$2:$A$500=$A451)*('Client contacts'!$G$2:$G$500="Y"),""),1),""))</f>
        <v/>
      </c>
      <c r="G451" s="5">
        <f>IF($A451="","",IFERROR(INDEX(FILTER('Client contacts'!$C$2:$C$500,('Client contacts'!$A$2:$A$500=$A451)*('Client contacts'!$G$2:$G$500="Y"),""),1),""))</f>
        <v/>
      </c>
      <c r="H451" s="5">
        <f>IF($A451="","",IFERROR(INDEX(FILTER('Client contacts'!$B$2:$B$500,('Client contacts'!$A$2:$A$500=$A451)*('Client contacts'!$G$2:$G$500="Y"),""),2),""))</f>
        <v/>
      </c>
      <c r="I451" s="5">
        <f>IF($A451="","",IFERROR(INDEX(FILTER('Client contacts'!$C$2:$C$500,('Client contacts'!$A$2:$A$500=$A451)*('Client contacts'!$G$2:$G$500="Y"),""),2),""))</f>
        <v/>
      </c>
      <c r="J451" s="8" t="n"/>
      <c r="K451" s="8" t="n"/>
      <c r="L451" s="8" t="n"/>
      <c r="M451" s="8" t="n"/>
      <c r="N451" s="8" t="n"/>
      <c r="O451" s="8" t="n"/>
      <c r="P451" s="8" t="n"/>
      <c r="Q451" s="8" t="n"/>
      <c r="R451" s="5">
        <f>IF($A451="","",IFERROR(INDEX(Companies!$I$2:$I$500,MATCH($A451,Companies!$A$2:$A$500,0)),""))</f>
        <v/>
      </c>
      <c r="S451" s="8" t="n"/>
      <c r="T451" s="8" t="n"/>
      <c r="U451" s="8" t="n"/>
      <c r="V451" s="8" t="n"/>
      <c r="W451" s="8" t="n"/>
    </row>
    <row r="452">
      <c r="C452" s="5">
        <f>IF($B452="","",TRIM(IF(INDEX('MOA role matrix'!$B$2:$D$13,1,MATCH($B452,'MOA role matrix'!$B$1:$D$1,0))="Fill","Project initiator, ","")IF(INDEX('MOA role matrix'!$B$2:$D$13,1,MATCH($B452,'MOA role matrix'!$B$1:$D$1,0))="If finance","Project initiator (if finance), ","")IF(INDEX('MOA role matrix'!$B$2:$D$13,1,MATCH($B452,'MOA role matrix'!$B$1:$D$1,0))="Auto","Project initiator (auto), ","")IF(INDEX('MOA role matrix'!$B$2:$D$13,2,MATCH($B452,'MOA role matrix'!$B$1:$D$1,0))="Fill","MOA signers (client), ","")IF(INDEX('MOA role matrix'!$B$2:$D$13,2,MATCH($B452,'MOA role matrix'!$B$1:$D$1,0))="If finance","MOA signers (client) (if finance), ","")IF(INDEX('MOA role matrix'!$B$2:$D$13,2,MATCH($B452,'MOA role matrix'!$B$1:$D$1,0))="Auto","MOA signers (client) (auto), ","")IF(INDEX('MOA role matrix'!$B$2:$D$13,3,MATCH($B452,'MOA role matrix'!$B$1:$D$1,0))="Fill","CFO / Head of Finance, ","")IF(INDEX('MOA role matrix'!$B$2:$D$13,3,MATCH($B452,'MOA role matrix'!$B$1:$D$1,0))="If finance","CFO / Head of Finance (if finance), ","")IF(INDEX('MOA role matrix'!$B$2:$D$13,3,MATCH($B452,'MOA role matrix'!$B$1:$D$1,0))="Auto","CFO / Head of Finance (auto), ","")IF(INDEX('MOA role matrix'!$B$2:$D$13,4,MATCH($B452,'MOA role matrix'!$B$1:$D$1,0))="Fill","CEO / COO / GM, ","")IF(INDEX('MOA role matrix'!$B$2:$D$13,4,MATCH($B452,'MOA role matrix'!$B$1:$D$1,0))="If finance","CEO / COO / GM (if finance), ","")IF(INDEX('MOA role matrix'!$B$2:$D$13,4,MATCH($B452,'MOA role matrix'!$B$1:$D$1,0))="Auto","CEO / COO / GM (auto), ","")IF(INDEX('MOA role matrix'!$B$2:$D$13,5,MATCH($B452,'MOA role matrix'!$B$1:$D$1,0))="Fill","Board member 1, ","")IF(INDEX('MOA role matrix'!$B$2:$D$13,5,MATCH($B452,'MOA role matrix'!$B$1:$D$1,0))="If finance","Board member 1 (if finance), ","")IF(INDEX('MOA role matrix'!$B$2:$D$13,5,MATCH($B452,'MOA role matrix'!$B$1:$D$1,0))="Auto","Board member 1 (auto), ","")IF(INDEX('MOA role matrix'!$B$2:$D$13,6,MATCH($B452,'MOA role matrix'!$B$1:$D$1,0))="Fill","Board member 2, ","")IF(INDEX('MOA role matrix'!$B$2:$D$13,6,MATCH($B452,'MOA role matrix'!$B$1:$D$1,0))="If finance","Board member 2 (if finance), ","")IF(INDEX('MOA role matrix'!$B$2:$D$13,6,MATCH($B452,'MOA role matrix'!$B$1:$D$1,0))="Auto","Board member 2 (auto), ","")IF(INDEX('MOA role matrix'!$B$2:$D$13,7,MATCH($B452,'MOA role matrix'!$B$1:$D$1,0))="Fill","LOA holder 1, ","")IF(INDEX('MOA role matrix'!$B$2:$D$13,7,MATCH($B452,'MOA role matrix'!$B$1:$D$1,0))="If finance","LOA holder 1 (if finance), ","")IF(INDEX('MOA role matrix'!$B$2:$D$13,7,MATCH($B452,'MOA role matrix'!$B$1:$D$1,0))="Auto","LOA holder 1 (auto), ","")IF(INDEX('MOA role matrix'!$B$2:$D$13,8,MATCH($B452,'MOA role matrix'!$B$1:$D$1,0))="Fill","LOA holder 2, ","")IF(INDEX('MOA role matrix'!$B$2:$D$13,8,MATCH($B452,'MOA role matrix'!$B$1:$D$1,0))="If finance","LOA holder 2 (if finance), ","")IF(INDEX('MOA role matrix'!$B$2:$D$13,8,MATCH($B452,'MOA role matrix'!$B$1:$D$1,0))="Auto","LOA holder 2 (auto), ","")IF(INDEX('MOA role matrix'!$B$2:$D$13,9,MATCH($B452,'MOA role matrix'!$B$1:$D$1,0))="Fill","Senior Manager CoSec, ","")IF(INDEX('MOA role matrix'!$B$2:$D$13,9,MATCH($B452,'MOA role matrix'!$B$1:$D$1,0))="If finance","Senior Manager CoSec (if finance), ","")IF(INDEX('MOA role matrix'!$B$2:$D$13,9,MATCH($B452,'MOA role matrix'!$B$1:$D$1,0))="Auto","Senior Manager CoSec (auto), ","")IF(INDEX('MOA role matrix'!$B$2:$D$13,10,MATCH($B452,'MOA role matrix'!$B$1:$D$1,0))="Fill","Division MOI managers, ","")IF(INDEX('MOA role matrix'!$B$2:$D$13,10,MATCH($B452,'MOA role matrix'!$B$1:$D$1,0))="If finance","Division MOI managers (if finance), ","")IF(INDEX('MOA role matrix'!$B$2:$D$13,10,MATCH($B452,'MOA role matrix'!$B$1:$D$1,0))="Auto","Division MOI managers (auto), ","")IF(INDEX('MOA role matrix'!$B$2:$D$13,11,MATCH($B452,'MOA role matrix'!$B$1:$D$1,0))="Fill","Ms Teh (bank), ","")IF(INDEX('MOA role matrix'!$B$2:$D$13,11,MATCH($B452,'MOA role matrix'!$B$1:$D$1,0))="If finance","Ms Teh (bank) (if finance), ","")IF(INDEX('MOA role matrix'!$B$2:$D$13,11,MATCH($B452,'MOA role matrix'!$B$1:$D$1,0))="Auto","Ms Teh (bank) (auto), ","")IF(INDEX('MOA role matrix'!$B$2:$D$13,12,MATCH($B452,'MOA role matrix'!$B$1:$D$1,0))="Fill","DLCM, ","")IF(INDEX('MOA role matrix'!$B$2:$D$13,12,MATCH($B452,'MOA role matrix'!$B$1:$D$1,0))="If finance","DLCM (if finance), ","")IF(INDEX('MOA role matrix'!$B$2:$D$13,12,MATCH($B452,'MOA role matrix'!$B$1:$D$1,0))="Auto","DLCM (auto), ","")))</f>
        <v/>
      </c>
      <c r="D452" s="5">
        <f>IF($A452="","",IFERROR(INDEX(FILTER('Client contacts'!$B$2:$B$500,('Client contacts'!$A$2:$A$500=$A452)*('Client contacts'!$H$2:$H$500="Y"),""),1),""))</f>
        <v/>
      </c>
      <c r="E452" s="5">
        <f>IF($A452="","",IFERROR(INDEX(FILTER('Client contacts'!$C$2:$C$500,('Client contacts'!$A$2:$A$500=$A452)*('Client contacts'!$H$2:$H$500="Y"),""),1),""))</f>
        <v/>
      </c>
      <c r="F452" s="5">
        <f>IF($A452="","",IFERROR(INDEX(FILTER('Client contacts'!$B$2:$B$500,('Client contacts'!$A$2:$A$500=$A452)*('Client contacts'!$G$2:$G$500="Y"),""),1),""))</f>
        <v/>
      </c>
      <c r="G452" s="5">
        <f>IF($A452="","",IFERROR(INDEX(FILTER('Client contacts'!$C$2:$C$500,('Client contacts'!$A$2:$A$500=$A452)*('Client contacts'!$G$2:$G$500="Y"),""),1),""))</f>
        <v/>
      </c>
      <c r="H452" s="5">
        <f>IF($A452="","",IFERROR(INDEX(FILTER('Client contacts'!$B$2:$B$500,('Client contacts'!$A$2:$A$500=$A452)*('Client contacts'!$G$2:$G$500="Y"),""),2),""))</f>
        <v/>
      </c>
      <c r="I452" s="5">
        <f>IF($A452="","",IFERROR(INDEX(FILTER('Client contacts'!$C$2:$C$500,('Client contacts'!$A$2:$A$500=$A452)*('Client contacts'!$G$2:$G$500="Y"),""),2),""))</f>
        <v/>
      </c>
      <c r="J452" s="8" t="n"/>
      <c r="K452" s="8" t="n"/>
      <c r="L452" s="8" t="n"/>
      <c r="M452" s="8" t="n"/>
      <c r="N452" s="8" t="n"/>
      <c r="O452" s="8" t="n"/>
      <c r="P452" s="8" t="n"/>
      <c r="Q452" s="8" t="n"/>
      <c r="R452" s="5">
        <f>IF($A452="","",IFERROR(INDEX(Companies!$I$2:$I$500,MATCH($A452,Companies!$A$2:$A$500,0)),""))</f>
        <v/>
      </c>
      <c r="S452" s="8" t="n"/>
      <c r="T452" s="8" t="n"/>
      <c r="U452" s="8" t="n"/>
      <c r="V452" s="8" t="n"/>
      <c r="W452" s="8" t="n"/>
    </row>
    <row r="453">
      <c r="C453" s="5">
        <f>IF($B453="","",TRIM(IF(INDEX('MOA role matrix'!$B$2:$D$13,1,MATCH($B453,'MOA role matrix'!$B$1:$D$1,0))="Fill","Project initiator, ","")IF(INDEX('MOA role matrix'!$B$2:$D$13,1,MATCH($B453,'MOA role matrix'!$B$1:$D$1,0))="If finance","Project initiator (if finance), ","")IF(INDEX('MOA role matrix'!$B$2:$D$13,1,MATCH($B453,'MOA role matrix'!$B$1:$D$1,0))="Auto","Project initiator (auto), ","")IF(INDEX('MOA role matrix'!$B$2:$D$13,2,MATCH($B453,'MOA role matrix'!$B$1:$D$1,0))="Fill","MOA signers (client), ","")IF(INDEX('MOA role matrix'!$B$2:$D$13,2,MATCH($B453,'MOA role matrix'!$B$1:$D$1,0))="If finance","MOA signers (client) (if finance), ","")IF(INDEX('MOA role matrix'!$B$2:$D$13,2,MATCH($B453,'MOA role matrix'!$B$1:$D$1,0))="Auto","MOA signers (client) (auto), ","")IF(INDEX('MOA role matrix'!$B$2:$D$13,3,MATCH($B453,'MOA role matrix'!$B$1:$D$1,0))="Fill","CFO / Head of Finance, ","")IF(INDEX('MOA role matrix'!$B$2:$D$13,3,MATCH($B453,'MOA role matrix'!$B$1:$D$1,0))="If finance","CFO / Head of Finance (if finance), ","")IF(INDEX('MOA role matrix'!$B$2:$D$13,3,MATCH($B453,'MOA role matrix'!$B$1:$D$1,0))="Auto","CFO / Head of Finance (auto), ","")IF(INDEX('MOA role matrix'!$B$2:$D$13,4,MATCH($B453,'MOA role matrix'!$B$1:$D$1,0))="Fill","CEO / COO / GM, ","")IF(INDEX('MOA role matrix'!$B$2:$D$13,4,MATCH($B453,'MOA role matrix'!$B$1:$D$1,0))="If finance","CEO / COO / GM (if finance), ","")IF(INDEX('MOA role matrix'!$B$2:$D$13,4,MATCH($B453,'MOA role matrix'!$B$1:$D$1,0))="Auto","CEO / COO / GM (auto), ","")IF(INDEX('MOA role matrix'!$B$2:$D$13,5,MATCH($B453,'MOA role matrix'!$B$1:$D$1,0))="Fill","Board member 1, ","")IF(INDEX('MOA role matrix'!$B$2:$D$13,5,MATCH($B453,'MOA role matrix'!$B$1:$D$1,0))="If finance","Board member 1 (if finance), ","")IF(INDEX('MOA role matrix'!$B$2:$D$13,5,MATCH($B453,'MOA role matrix'!$B$1:$D$1,0))="Auto","Board member 1 (auto), ","")IF(INDEX('MOA role matrix'!$B$2:$D$13,6,MATCH($B453,'MOA role matrix'!$B$1:$D$1,0))="Fill","Board member 2, ","")IF(INDEX('MOA role matrix'!$B$2:$D$13,6,MATCH($B453,'MOA role matrix'!$B$1:$D$1,0))="If finance","Board member 2 (if finance), ","")IF(INDEX('MOA role matrix'!$B$2:$D$13,6,MATCH($B453,'MOA role matrix'!$B$1:$D$1,0))="Auto","Board member 2 (auto), ","")IF(INDEX('MOA role matrix'!$B$2:$D$13,7,MATCH($B453,'MOA role matrix'!$B$1:$D$1,0))="Fill","LOA holder 1, ","")IF(INDEX('MOA role matrix'!$B$2:$D$13,7,MATCH($B453,'MOA role matrix'!$B$1:$D$1,0))="If finance","LOA holder 1 (if finance), ","")IF(INDEX('MOA role matrix'!$B$2:$D$13,7,MATCH($B453,'MOA role matrix'!$B$1:$D$1,0))="Auto","LOA holder 1 (auto), ","")IF(INDEX('MOA role matrix'!$B$2:$D$13,8,MATCH($B453,'MOA role matrix'!$B$1:$D$1,0))="Fill","LOA holder 2, ","")IF(INDEX('MOA role matrix'!$B$2:$D$13,8,MATCH($B453,'MOA role matrix'!$B$1:$D$1,0))="If finance","LOA holder 2 (if finance), ","")IF(INDEX('MOA role matrix'!$B$2:$D$13,8,MATCH($B453,'MOA role matrix'!$B$1:$D$1,0))="Auto","LOA holder 2 (auto), ","")IF(INDEX('MOA role matrix'!$B$2:$D$13,9,MATCH($B453,'MOA role matrix'!$B$1:$D$1,0))="Fill","Senior Manager CoSec, ","")IF(INDEX('MOA role matrix'!$B$2:$D$13,9,MATCH($B453,'MOA role matrix'!$B$1:$D$1,0))="If finance","Senior Manager CoSec (if finance), ","")IF(INDEX('MOA role matrix'!$B$2:$D$13,9,MATCH($B453,'MOA role matrix'!$B$1:$D$1,0))="Auto","Senior Manager CoSec (auto), ","")IF(INDEX('MOA role matrix'!$B$2:$D$13,10,MATCH($B453,'MOA role matrix'!$B$1:$D$1,0))="Fill","Division MOI managers, ","")IF(INDEX('MOA role matrix'!$B$2:$D$13,10,MATCH($B453,'MOA role matrix'!$B$1:$D$1,0))="If finance","Division MOI managers (if finance), ","")IF(INDEX('MOA role matrix'!$B$2:$D$13,10,MATCH($B453,'MOA role matrix'!$B$1:$D$1,0))="Auto","Division MOI managers (auto), ","")IF(INDEX('MOA role matrix'!$B$2:$D$13,11,MATCH($B453,'MOA role matrix'!$B$1:$D$1,0))="Fill","Ms Teh (bank), ","")IF(INDEX('MOA role matrix'!$B$2:$D$13,11,MATCH($B453,'MOA role matrix'!$B$1:$D$1,0))="If finance","Ms Teh (bank) (if finance), ","")IF(INDEX('MOA role matrix'!$B$2:$D$13,11,MATCH($B453,'MOA role matrix'!$B$1:$D$1,0))="Auto","Ms Teh (bank) (auto), ","")IF(INDEX('MOA role matrix'!$B$2:$D$13,12,MATCH($B453,'MOA role matrix'!$B$1:$D$1,0))="Fill","DLCM, ","")IF(INDEX('MOA role matrix'!$B$2:$D$13,12,MATCH($B453,'MOA role matrix'!$B$1:$D$1,0))="If finance","DLCM (if finance), ","")IF(INDEX('MOA role matrix'!$B$2:$D$13,12,MATCH($B453,'MOA role matrix'!$B$1:$D$1,0))="Auto","DLCM (auto), ","")))</f>
        <v/>
      </c>
      <c r="D453" s="5">
        <f>IF($A453="","",IFERROR(INDEX(FILTER('Client contacts'!$B$2:$B$500,('Client contacts'!$A$2:$A$500=$A453)*('Client contacts'!$H$2:$H$500="Y"),""),1),""))</f>
        <v/>
      </c>
      <c r="E453" s="5">
        <f>IF($A453="","",IFERROR(INDEX(FILTER('Client contacts'!$C$2:$C$500,('Client contacts'!$A$2:$A$500=$A453)*('Client contacts'!$H$2:$H$500="Y"),""),1),""))</f>
        <v/>
      </c>
      <c r="F453" s="5">
        <f>IF($A453="","",IFERROR(INDEX(FILTER('Client contacts'!$B$2:$B$500,('Client contacts'!$A$2:$A$500=$A453)*('Client contacts'!$G$2:$G$500="Y"),""),1),""))</f>
        <v/>
      </c>
      <c r="G453" s="5">
        <f>IF($A453="","",IFERROR(INDEX(FILTER('Client contacts'!$C$2:$C$500,('Client contacts'!$A$2:$A$500=$A453)*('Client contacts'!$G$2:$G$500="Y"),""),1),""))</f>
        <v/>
      </c>
      <c r="H453" s="5">
        <f>IF($A453="","",IFERROR(INDEX(FILTER('Client contacts'!$B$2:$B$500,('Client contacts'!$A$2:$A$500=$A453)*('Client contacts'!$G$2:$G$500="Y"),""),2),""))</f>
        <v/>
      </c>
      <c r="I453" s="5">
        <f>IF($A453="","",IFERROR(INDEX(FILTER('Client contacts'!$C$2:$C$500,('Client contacts'!$A$2:$A$500=$A453)*('Client contacts'!$G$2:$G$500="Y"),""),2),""))</f>
        <v/>
      </c>
      <c r="J453" s="8" t="n"/>
      <c r="K453" s="8" t="n"/>
      <c r="L453" s="8" t="n"/>
      <c r="M453" s="8" t="n"/>
      <c r="N453" s="8" t="n"/>
      <c r="O453" s="8" t="n"/>
      <c r="P453" s="8" t="n"/>
      <c r="Q453" s="8" t="n"/>
      <c r="R453" s="5">
        <f>IF($A453="","",IFERROR(INDEX(Companies!$I$2:$I$500,MATCH($A453,Companies!$A$2:$A$500,0)),""))</f>
        <v/>
      </c>
      <c r="S453" s="8" t="n"/>
      <c r="T453" s="8" t="n"/>
      <c r="U453" s="8" t="n"/>
      <c r="V453" s="8" t="n"/>
      <c r="W453" s="8" t="n"/>
    </row>
    <row r="454">
      <c r="C454" s="5">
        <f>IF($B454="","",TRIM(IF(INDEX('MOA role matrix'!$B$2:$D$13,1,MATCH($B454,'MOA role matrix'!$B$1:$D$1,0))="Fill","Project initiator, ","")IF(INDEX('MOA role matrix'!$B$2:$D$13,1,MATCH($B454,'MOA role matrix'!$B$1:$D$1,0))="If finance","Project initiator (if finance), ","")IF(INDEX('MOA role matrix'!$B$2:$D$13,1,MATCH($B454,'MOA role matrix'!$B$1:$D$1,0))="Auto","Project initiator (auto), ","")IF(INDEX('MOA role matrix'!$B$2:$D$13,2,MATCH($B454,'MOA role matrix'!$B$1:$D$1,0))="Fill","MOA signers (client), ","")IF(INDEX('MOA role matrix'!$B$2:$D$13,2,MATCH($B454,'MOA role matrix'!$B$1:$D$1,0))="If finance","MOA signers (client) (if finance), ","")IF(INDEX('MOA role matrix'!$B$2:$D$13,2,MATCH($B454,'MOA role matrix'!$B$1:$D$1,0))="Auto","MOA signers (client) (auto), ","")IF(INDEX('MOA role matrix'!$B$2:$D$13,3,MATCH($B454,'MOA role matrix'!$B$1:$D$1,0))="Fill","CFO / Head of Finance, ","")IF(INDEX('MOA role matrix'!$B$2:$D$13,3,MATCH($B454,'MOA role matrix'!$B$1:$D$1,0))="If finance","CFO / Head of Finance (if finance), ","")IF(INDEX('MOA role matrix'!$B$2:$D$13,3,MATCH($B454,'MOA role matrix'!$B$1:$D$1,0))="Auto","CFO / Head of Finance (auto), ","")IF(INDEX('MOA role matrix'!$B$2:$D$13,4,MATCH($B454,'MOA role matrix'!$B$1:$D$1,0))="Fill","CEO / COO / GM, ","")IF(INDEX('MOA role matrix'!$B$2:$D$13,4,MATCH($B454,'MOA role matrix'!$B$1:$D$1,0))="If finance","CEO / COO / GM (if finance), ","")IF(INDEX('MOA role matrix'!$B$2:$D$13,4,MATCH($B454,'MOA role matrix'!$B$1:$D$1,0))="Auto","CEO / COO / GM (auto), ","")IF(INDEX('MOA role matrix'!$B$2:$D$13,5,MATCH($B454,'MOA role matrix'!$B$1:$D$1,0))="Fill","Board member 1, ","")IF(INDEX('MOA role matrix'!$B$2:$D$13,5,MATCH($B454,'MOA role matrix'!$B$1:$D$1,0))="If finance","Board member 1 (if finance), ","")IF(INDEX('MOA role matrix'!$B$2:$D$13,5,MATCH($B454,'MOA role matrix'!$B$1:$D$1,0))="Auto","Board member 1 (auto), ","")IF(INDEX('MOA role matrix'!$B$2:$D$13,6,MATCH($B454,'MOA role matrix'!$B$1:$D$1,0))="Fill","Board member 2, ","")IF(INDEX('MOA role matrix'!$B$2:$D$13,6,MATCH($B454,'MOA role matrix'!$B$1:$D$1,0))="If finance","Board member 2 (if finance), ","")IF(INDEX('MOA role matrix'!$B$2:$D$13,6,MATCH($B454,'MOA role matrix'!$B$1:$D$1,0))="Auto","Board member 2 (auto), ","")IF(INDEX('MOA role matrix'!$B$2:$D$13,7,MATCH($B454,'MOA role matrix'!$B$1:$D$1,0))="Fill","LOA holder 1, ","")IF(INDEX('MOA role matrix'!$B$2:$D$13,7,MATCH($B454,'MOA role matrix'!$B$1:$D$1,0))="If finance","LOA holder 1 (if finance), ","")IF(INDEX('MOA role matrix'!$B$2:$D$13,7,MATCH($B454,'MOA role matrix'!$B$1:$D$1,0))="Auto","LOA holder 1 (auto), ","")IF(INDEX('MOA role matrix'!$B$2:$D$13,8,MATCH($B454,'MOA role matrix'!$B$1:$D$1,0))="Fill","LOA holder 2, ","")IF(INDEX('MOA role matrix'!$B$2:$D$13,8,MATCH($B454,'MOA role matrix'!$B$1:$D$1,0))="If finance","LOA holder 2 (if finance), ","")IF(INDEX('MOA role matrix'!$B$2:$D$13,8,MATCH($B454,'MOA role matrix'!$B$1:$D$1,0))="Auto","LOA holder 2 (auto), ","")IF(INDEX('MOA role matrix'!$B$2:$D$13,9,MATCH($B454,'MOA role matrix'!$B$1:$D$1,0))="Fill","Senior Manager CoSec, ","")IF(INDEX('MOA role matrix'!$B$2:$D$13,9,MATCH($B454,'MOA role matrix'!$B$1:$D$1,0))="If finance","Senior Manager CoSec (if finance), ","")IF(INDEX('MOA role matrix'!$B$2:$D$13,9,MATCH($B454,'MOA role matrix'!$B$1:$D$1,0))="Auto","Senior Manager CoSec (auto), ","")IF(INDEX('MOA role matrix'!$B$2:$D$13,10,MATCH($B454,'MOA role matrix'!$B$1:$D$1,0))="Fill","Division MOI managers, ","")IF(INDEX('MOA role matrix'!$B$2:$D$13,10,MATCH($B454,'MOA role matrix'!$B$1:$D$1,0))="If finance","Division MOI managers (if finance), ","")IF(INDEX('MOA role matrix'!$B$2:$D$13,10,MATCH($B454,'MOA role matrix'!$B$1:$D$1,0))="Auto","Division MOI managers (auto), ","")IF(INDEX('MOA role matrix'!$B$2:$D$13,11,MATCH($B454,'MOA role matrix'!$B$1:$D$1,0))="Fill","Ms Teh (bank), ","")IF(INDEX('MOA role matrix'!$B$2:$D$13,11,MATCH($B454,'MOA role matrix'!$B$1:$D$1,0))="If finance","Ms Teh (bank) (if finance), ","")IF(INDEX('MOA role matrix'!$B$2:$D$13,11,MATCH($B454,'MOA role matrix'!$B$1:$D$1,0))="Auto","Ms Teh (bank) (auto), ","")IF(INDEX('MOA role matrix'!$B$2:$D$13,12,MATCH($B454,'MOA role matrix'!$B$1:$D$1,0))="Fill","DLCM, ","")IF(INDEX('MOA role matrix'!$B$2:$D$13,12,MATCH($B454,'MOA role matrix'!$B$1:$D$1,0))="If finance","DLCM (if finance), ","")IF(INDEX('MOA role matrix'!$B$2:$D$13,12,MATCH($B454,'MOA role matrix'!$B$1:$D$1,0))="Auto","DLCM (auto), ","")))</f>
        <v/>
      </c>
      <c r="D454" s="5">
        <f>IF($A454="","",IFERROR(INDEX(FILTER('Client contacts'!$B$2:$B$500,('Client contacts'!$A$2:$A$500=$A454)*('Client contacts'!$H$2:$H$500="Y"),""),1),""))</f>
        <v/>
      </c>
      <c r="E454" s="5">
        <f>IF($A454="","",IFERROR(INDEX(FILTER('Client contacts'!$C$2:$C$500,('Client contacts'!$A$2:$A$500=$A454)*('Client contacts'!$H$2:$H$500="Y"),""),1),""))</f>
        <v/>
      </c>
      <c r="F454" s="5">
        <f>IF($A454="","",IFERROR(INDEX(FILTER('Client contacts'!$B$2:$B$500,('Client contacts'!$A$2:$A$500=$A454)*('Client contacts'!$G$2:$G$500="Y"),""),1),""))</f>
        <v/>
      </c>
      <c r="G454" s="5">
        <f>IF($A454="","",IFERROR(INDEX(FILTER('Client contacts'!$C$2:$C$500,('Client contacts'!$A$2:$A$500=$A454)*('Client contacts'!$G$2:$G$500="Y"),""),1),""))</f>
        <v/>
      </c>
      <c r="H454" s="5">
        <f>IF($A454="","",IFERROR(INDEX(FILTER('Client contacts'!$B$2:$B$500,('Client contacts'!$A$2:$A$500=$A454)*('Client contacts'!$G$2:$G$500="Y"),""),2),""))</f>
        <v/>
      </c>
      <c r="I454" s="5">
        <f>IF($A454="","",IFERROR(INDEX(FILTER('Client contacts'!$C$2:$C$500,('Client contacts'!$A$2:$A$500=$A454)*('Client contacts'!$G$2:$G$500="Y"),""),2),""))</f>
        <v/>
      </c>
      <c r="J454" s="8" t="n"/>
      <c r="K454" s="8" t="n"/>
      <c r="L454" s="8" t="n"/>
      <c r="M454" s="8" t="n"/>
      <c r="N454" s="8" t="n"/>
      <c r="O454" s="8" t="n"/>
      <c r="P454" s="8" t="n"/>
      <c r="Q454" s="8" t="n"/>
      <c r="R454" s="5">
        <f>IF($A454="","",IFERROR(INDEX(Companies!$I$2:$I$500,MATCH($A454,Companies!$A$2:$A$500,0)),""))</f>
        <v/>
      </c>
      <c r="S454" s="8" t="n"/>
      <c r="T454" s="8" t="n"/>
      <c r="U454" s="8" t="n"/>
      <c r="V454" s="8" t="n"/>
      <c r="W454" s="8" t="n"/>
    </row>
    <row r="455">
      <c r="C455" s="5">
        <f>IF($B455="","",TRIM(IF(INDEX('MOA role matrix'!$B$2:$D$13,1,MATCH($B455,'MOA role matrix'!$B$1:$D$1,0))="Fill","Project initiator, ","")IF(INDEX('MOA role matrix'!$B$2:$D$13,1,MATCH($B455,'MOA role matrix'!$B$1:$D$1,0))="If finance","Project initiator (if finance), ","")IF(INDEX('MOA role matrix'!$B$2:$D$13,1,MATCH($B455,'MOA role matrix'!$B$1:$D$1,0))="Auto","Project initiator (auto), ","")IF(INDEX('MOA role matrix'!$B$2:$D$13,2,MATCH($B455,'MOA role matrix'!$B$1:$D$1,0))="Fill","MOA signers (client), ","")IF(INDEX('MOA role matrix'!$B$2:$D$13,2,MATCH($B455,'MOA role matrix'!$B$1:$D$1,0))="If finance","MOA signers (client) (if finance), ","")IF(INDEX('MOA role matrix'!$B$2:$D$13,2,MATCH($B455,'MOA role matrix'!$B$1:$D$1,0))="Auto","MOA signers (client) (auto), ","")IF(INDEX('MOA role matrix'!$B$2:$D$13,3,MATCH($B455,'MOA role matrix'!$B$1:$D$1,0))="Fill","CFO / Head of Finance, ","")IF(INDEX('MOA role matrix'!$B$2:$D$13,3,MATCH($B455,'MOA role matrix'!$B$1:$D$1,0))="If finance","CFO / Head of Finance (if finance), ","")IF(INDEX('MOA role matrix'!$B$2:$D$13,3,MATCH($B455,'MOA role matrix'!$B$1:$D$1,0))="Auto","CFO / Head of Finance (auto), ","")IF(INDEX('MOA role matrix'!$B$2:$D$13,4,MATCH($B455,'MOA role matrix'!$B$1:$D$1,0))="Fill","CEO / COO / GM, ","")IF(INDEX('MOA role matrix'!$B$2:$D$13,4,MATCH($B455,'MOA role matrix'!$B$1:$D$1,0))="If finance","CEO / COO / GM (if finance), ","")IF(INDEX('MOA role matrix'!$B$2:$D$13,4,MATCH($B455,'MOA role matrix'!$B$1:$D$1,0))="Auto","CEO / COO / GM (auto), ","")IF(INDEX('MOA role matrix'!$B$2:$D$13,5,MATCH($B455,'MOA role matrix'!$B$1:$D$1,0))="Fill","Board member 1, ","")IF(INDEX('MOA role matrix'!$B$2:$D$13,5,MATCH($B455,'MOA role matrix'!$B$1:$D$1,0))="If finance","Board member 1 (if finance), ","")IF(INDEX('MOA role matrix'!$B$2:$D$13,5,MATCH($B455,'MOA role matrix'!$B$1:$D$1,0))="Auto","Board member 1 (auto), ","")IF(INDEX('MOA role matrix'!$B$2:$D$13,6,MATCH($B455,'MOA role matrix'!$B$1:$D$1,0))="Fill","Board member 2, ","")IF(INDEX('MOA role matrix'!$B$2:$D$13,6,MATCH($B455,'MOA role matrix'!$B$1:$D$1,0))="If finance","Board member 2 (if finance), ","")IF(INDEX('MOA role matrix'!$B$2:$D$13,6,MATCH($B455,'MOA role matrix'!$B$1:$D$1,0))="Auto","Board member 2 (auto), ","")IF(INDEX('MOA role matrix'!$B$2:$D$13,7,MATCH($B455,'MOA role matrix'!$B$1:$D$1,0))="Fill","LOA holder 1, ","")IF(INDEX('MOA role matrix'!$B$2:$D$13,7,MATCH($B455,'MOA role matrix'!$B$1:$D$1,0))="If finance","LOA holder 1 (if finance), ","")IF(INDEX('MOA role matrix'!$B$2:$D$13,7,MATCH($B455,'MOA role matrix'!$B$1:$D$1,0))="Auto","LOA holder 1 (auto), ","")IF(INDEX('MOA role matrix'!$B$2:$D$13,8,MATCH($B455,'MOA role matrix'!$B$1:$D$1,0))="Fill","LOA holder 2, ","")IF(INDEX('MOA role matrix'!$B$2:$D$13,8,MATCH($B455,'MOA role matrix'!$B$1:$D$1,0))="If finance","LOA holder 2 (if finance), ","")IF(INDEX('MOA role matrix'!$B$2:$D$13,8,MATCH($B455,'MOA role matrix'!$B$1:$D$1,0))="Auto","LOA holder 2 (auto), ","")IF(INDEX('MOA role matrix'!$B$2:$D$13,9,MATCH($B455,'MOA role matrix'!$B$1:$D$1,0))="Fill","Senior Manager CoSec, ","")IF(INDEX('MOA role matrix'!$B$2:$D$13,9,MATCH($B455,'MOA role matrix'!$B$1:$D$1,0))="If finance","Senior Manager CoSec (if finance), ","")IF(INDEX('MOA role matrix'!$B$2:$D$13,9,MATCH($B455,'MOA role matrix'!$B$1:$D$1,0))="Auto","Senior Manager CoSec (auto), ","")IF(INDEX('MOA role matrix'!$B$2:$D$13,10,MATCH($B455,'MOA role matrix'!$B$1:$D$1,0))="Fill","Division MOI managers, ","")IF(INDEX('MOA role matrix'!$B$2:$D$13,10,MATCH($B455,'MOA role matrix'!$B$1:$D$1,0))="If finance","Division MOI managers (if finance), ","")IF(INDEX('MOA role matrix'!$B$2:$D$13,10,MATCH($B455,'MOA role matrix'!$B$1:$D$1,0))="Auto","Division MOI managers (auto), ","")IF(INDEX('MOA role matrix'!$B$2:$D$13,11,MATCH($B455,'MOA role matrix'!$B$1:$D$1,0))="Fill","Ms Teh (bank), ","")IF(INDEX('MOA role matrix'!$B$2:$D$13,11,MATCH($B455,'MOA role matrix'!$B$1:$D$1,0))="If finance","Ms Teh (bank) (if finance), ","")IF(INDEX('MOA role matrix'!$B$2:$D$13,11,MATCH($B455,'MOA role matrix'!$B$1:$D$1,0))="Auto","Ms Teh (bank) (auto), ","")IF(INDEX('MOA role matrix'!$B$2:$D$13,12,MATCH($B455,'MOA role matrix'!$B$1:$D$1,0))="Fill","DLCM, ","")IF(INDEX('MOA role matrix'!$B$2:$D$13,12,MATCH($B455,'MOA role matrix'!$B$1:$D$1,0))="If finance","DLCM (if finance), ","")IF(INDEX('MOA role matrix'!$B$2:$D$13,12,MATCH($B455,'MOA role matrix'!$B$1:$D$1,0))="Auto","DLCM (auto), ","")))</f>
        <v/>
      </c>
      <c r="D455" s="5">
        <f>IF($A455="","",IFERROR(INDEX(FILTER('Client contacts'!$B$2:$B$500,('Client contacts'!$A$2:$A$500=$A455)*('Client contacts'!$H$2:$H$500="Y"),""),1),""))</f>
        <v/>
      </c>
      <c r="E455" s="5">
        <f>IF($A455="","",IFERROR(INDEX(FILTER('Client contacts'!$C$2:$C$500,('Client contacts'!$A$2:$A$500=$A455)*('Client contacts'!$H$2:$H$500="Y"),""),1),""))</f>
        <v/>
      </c>
      <c r="F455" s="5">
        <f>IF($A455="","",IFERROR(INDEX(FILTER('Client contacts'!$B$2:$B$500,('Client contacts'!$A$2:$A$500=$A455)*('Client contacts'!$G$2:$G$500="Y"),""),1),""))</f>
        <v/>
      </c>
      <c r="G455" s="5">
        <f>IF($A455="","",IFERROR(INDEX(FILTER('Client contacts'!$C$2:$C$500,('Client contacts'!$A$2:$A$500=$A455)*('Client contacts'!$G$2:$G$500="Y"),""),1),""))</f>
        <v/>
      </c>
      <c r="H455" s="5">
        <f>IF($A455="","",IFERROR(INDEX(FILTER('Client contacts'!$B$2:$B$500,('Client contacts'!$A$2:$A$500=$A455)*('Client contacts'!$G$2:$G$500="Y"),""),2),""))</f>
        <v/>
      </c>
      <c r="I455" s="5">
        <f>IF($A455="","",IFERROR(INDEX(FILTER('Client contacts'!$C$2:$C$500,('Client contacts'!$A$2:$A$500=$A455)*('Client contacts'!$G$2:$G$500="Y"),""),2),""))</f>
        <v/>
      </c>
      <c r="J455" s="8" t="n"/>
      <c r="K455" s="8" t="n"/>
      <c r="L455" s="8" t="n"/>
      <c r="M455" s="8" t="n"/>
      <c r="N455" s="8" t="n"/>
      <c r="O455" s="8" t="n"/>
      <c r="P455" s="8" t="n"/>
      <c r="Q455" s="8" t="n"/>
      <c r="R455" s="5">
        <f>IF($A455="","",IFERROR(INDEX(Companies!$I$2:$I$500,MATCH($A455,Companies!$A$2:$A$500,0)),""))</f>
        <v/>
      </c>
      <c r="S455" s="8" t="n"/>
      <c r="T455" s="8" t="n"/>
      <c r="U455" s="8" t="n"/>
      <c r="V455" s="8" t="n"/>
      <c r="W455" s="8" t="n"/>
    </row>
    <row r="456">
      <c r="C456" s="5">
        <f>IF($B456="","",TRIM(IF(INDEX('MOA role matrix'!$B$2:$D$13,1,MATCH($B456,'MOA role matrix'!$B$1:$D$1,0))="Fill","Project initiator, ","")IF(INDEX('MOA role matrix'!$B$2:$D$13,1,MATCH($B456,'MOA role matrix'!$B$1:$D$1,0))="If finance","Project initiator (if finance), ","")IF(INDEX('MOA role matrix'!$B$2:$D$13,1,MATCH($B456,'MOA role matrix'!$B$1:$D$1,0))="Auto","Project initiator (auto), ","")IF(INDEX('MOA role matrix'!$B$2:$D$13,2,MATCH($B456,'MOA role matrix'!$B$1:$D$1,0))="Fill","MOA signers (client), ","")IF(INDEX('MOA role matrix'!$B$2:$D$13,2,MATCH($B456,'MOA role matrix'!$B$1:$D$1,0))="If finance","MOA signers (client) (if finance), ","")IF(INDEX('MOA role matrix'!$B$2:$D$13,2,MATCH($B456,'MOA role matrix'!$B$1:$D$1,0))="Auto","MOA signers (client) (auto), ","")IF(INDEX('MOA role matrix'!$B$2:$D$13,3,MATCH($B456,'MOA role matrix'!$B$1:$D$1,0))="Fill","CFO / Head of Finance, ","")IF(INDEX('MOA role matrix'!$B$2:$D$13,3,MATCH($B456,'MOA role matrix'!$B$1:$D$1,0))="If finance","CFO / Head of Finance (if finance), ","")IF(INDEX('MOA role matrix'!$B$2:$D$13,3,MATCH($B456,'MOA role matrix'!$B$1:$D$1,0))="Auto","CFO / Head of Finance (auto), ","")IF(INDEX('MOA role matrix'!$B$2:$D$13,4,MATCH($B456,'MOA role matrix'!$B$1:$D$1,0))="Fill","CEO / COO / GM, ","")IF(INDEX('MOA role matrix'!$B$2:$D$13,4,MATCH($B456,'MOA role matrix'!$B$1:$D$1,0))="If finance","CEO / COO / GM (if finance), ","")IF(INDEX('MOA role matrix'!$B$2:$D$13,4,MATCH($B456,'MOA role matrix'!$B$1:$D$1,0))="Auto","CEO / COO / GM (auto), ","")IF(INDEX('MOA role matrix'!$B$2:$D$13,5,MATCH($B456,'MOA role matrix'!$B$1:$D$1,0))="Fill","Board member 1, ","")IF(INDEX('MOA role matrix'!$B$2:$D$13,5,MATCH($B456,'MOA role matrix'!$B$1:$D$1,0))="If finance","Board member 1 (if finance), ","")IF(INDEX('MOA role matrix'!$B$2:$D$13,5,MATCH($B456,'MOA role matrix'!$B$1:$D$1,0))="Auto","Board member 1 (auto), ","")IF(INDEX('MOA role matrix'!$B$2:$D$13,6,MATCH($B456,'MOA role matrix'!$B$1:$D$1,0))="Fill","Board member 2, ","")IF(INDEX('MOA role matrix'!$B$2:$D$13,6,MATCH($B456,'MOA role matrix'!$B$1:$D$1,0))="If finance","Board member 2 (if finance), ","")IF(INDEX('MOA role matrix'!$B$2:$D$13,6,MATCH($B456,'MOA role matrix'!$B$1:$D$1,0))="Auto","Board member 2 (auto), ","")IF(INDEX('MOA role matrix'!$B$2:$D$13,7,MATCH($B456,'MOA role matrix'!$B$1:$D$1,0))="Fill","LOA holder 1, ","")IF(INDEX('MOA role matrix'!$B$2:$D$13,7,MATCH($B456,'MOA role matrix'!$B$1:$D$1,0))="If finance","LOA holder 1 (if finance), ","")IF(INDEX('MOA role matrix'!$B$2:$D$13,7,MATCH($B456,'MOA role matrix'!$B$1:$D$1,0))="Auto","LOA holder 1 (auto), ","")IF(INDEX('MOA role matrix'!$B$2:$D$13,8,MATCH($B456,'MOA role matrix'!$B$1:$D$1,0))="Fill","LOA holder 2, ","")IF(INDEX('MOA role matrix'!$B$2:$D$13,8,MATCH($B456,'MOA role matrix'!$B$1:$D$1,0))="If finance","LOA holder 2 (if finance), ","")IF(INDEX('MOA role matrix'!$B$2:$D$13,8,MATCH($B456,'MOA role matrix'!$B$1:$D$1,0))="Auto","LOA holder 2 (auto), ","")IF(INDEX('MOA role matrix'!$B$2:$D$13,9,MATCH($B456,'MOA role matrix'!$B$1:$D$1,0))="Fill","Senior Manager CoSec, ","")IF(INDEX('MOA role matrix'!$B$2:$D$13,9,MATCH($B456,'MOA role matrix'!$B$1:$D$1,0))="If finance","Senior Manager CoSec (if finance), ","")IF(INDEX('MOA role matrix'!$B$2:$D$13,9,MATCH($B456,'MOA role matrix'!$B$1:$D$1,0))="Auto","Senior Manager CoSec (auto), ","")IF(INDEX('MOA role matrix'!$B$2:$D$13,10,MATCH($B456,'MOA role matrix'!$B$1:$D$1,0))="Fill","Division MOI managers, ","")IF(INDEX('MOA role matrix'!$B$2:$D$13,10,MATCH($B456,'MOA role matrix'!$B$1:$D$1,0))="If finance","Division MOI managers (if finance), ","")IF(INDEX('MOA role matrix'!$B$2:$D$13,10,MATCH($B456,'MOA role matrix'!$B$1:$D$1,0))="Auto","Division MOI managers (auto), ","")IF(INDEX('MOA role matrix'!$B$2:$D$13,11,MATCH($B456,'MOA role matrix'!$B$1:$D$1,0))="Fill","Ms Teh (bank), ","")IF(INDEX('MOA role matrix'!$B$2:$D$13,11,MATCH($B456,'MOA role matrix'!$B$1:$D$1,0))="If finance","Ms Teh (bank) (if finance), ","")IF(INDEX('MOA role matrix'!$B$2:$D$13,11,MATCH($B456,'MOA role matrix'!$B$1:$D$1,0))="Auto","Ms Teh (bank) (auto), ","")IF(INDEX('MOA role matrix'!$B$2:$D$13,12,MATCH($B456,'MOA role matrix'!$B$1:$D$1,0))="Fill","DLCM, ","")IF(INDEX('MOA role matrix'!$B$2:$D$13,12,MATCH($B456,'MOA role matrix'!$B$1:$D$1,0))="If finance","DLCM (if finance), ","")IF(INDEX('MOA role matrix'!$B$2:$D$13,12,MATCH($B456,'MOA role matrix'!$B$1:$D$1,0))="Auto","DLCM (auto), ","")))</f>
        <v/>
      </c>
      <c r="D456" s="5">
        <f>IF($A456="","",IFERROR(INDEX(FILTER('Client contacts'!$B$2:$B$500,('Client contacts'!$A$2:$A$500=$A456)*('Client contacts'!$H$2:$H$500="Y"),""),1),""))</f>
        <v/>
      </c>
      <c r="E456" s="5">
        <f>IF($A456="","",IFERROR(INDEX(FILTER('Client contacts'!$C$2:$C$500,('Client contacts'!$A$2:$A$500=$A456)*('Client contacts'!$H$2:$H$500="Y"),""),1),""))</f>
        <v/>
      </c>
      <c r="F456" s="5">
        <f>IF($A456="","",IFERROR(INDEX(FILTER('Client contacts'!$B$2:$B$500,('Client contacts'!$A$2:$A$500=$A456)*('Client contacts'!$G$2:$G$500="Y"),""),1),""))</f>
        <v/>
      </c>
      <c r="G456" s="5">
        <f>IF($A456="","",IFERROR(INDEX(FILTER('Client contacts'!$C$2:$C$500,('Client contacts'!$A$2:$A$500=$A456)*('Client contacts'!$G$2:$G$500="Y"),""),1),""))</f>
        <v/>
      </c>
      <c r="H456" s="5">
        <f>IF($A456="","",IFERROR(INDEX(FILTER('Client contacts'!$B$2:$B$500,('Client contacts'!$A$2:$A$500=$A456)*('Client contacts'!$G$2:$G$500="Y"),""),2),""))</f>
        <v/>
      </c>
      <c r="I456" s="5">
        <f>IF($A456="","",IFERROR(INDEX(FILTER('Client contacts'!$C$2:$C$500,('Client contacts'!$A$2:$A$500=$A456)*('Client contacts'!$G$2:$G$500="Y"),""),2),""))</f>
        <v/>
      </c>
      <c r="J456" s="8" t="n"/>
      <c r="K456" s="8" t="n"/>
      <c r="L456" s="8" t="n"/>
      <c r="M456" s="8" t="n"/>
      <c r="N456" s="8" t="n"/>
      <c r="O456" s="8" t="n"/>
      <c r="P456" s="8" t="n"/>
      <c r="Q456" s="8" t="n"/>
      <c r="R456" s="5">
        <f>IF($A456="","",IFERROR(INDEX(Companies!$I$2:$I$500,MATCH($A456,Companies!$A$2:$A$500,0)),""))</f>
        <v/>
      </c>
      <c r="S456" s="8" t="n"/>
      <c r="T456" s="8" t="n"/>
      <c r="U456" s="8" t="n"/>
      <c r="V456" s="8" t="n"/>
      <c r="W456" s="8" t="n"/>
    </row>
    <row r="457">
      <c r="C457" s="5">
        <f>IF($B457="","",TRIM(IF(INDEX('MOA role matrix'!$B$2:$D$13,1,MATCH($B457,'MOA role matrix'!$B$1:$D$1,0))="Fill","Project initiator, ","")IF(INDEX('MOA role matrix'!$B$2:$D$13,1,MATCH($B457,'MOA role matrix'!$B$1:$D$1,0))="If finance","Project initiator (if finance), ","")IF(INDEX('MOA role matrix'!$B$2:$D$13,1,MATCH($B457,'MOA role matrix'!$B$1:$D$1,0))="Auto","Project initiator (auto), ","")IF(INDEX('MOA role matrix'!$B$2:$D$13,2,MATCH($B457,'MOA role matrix'!$B$1:$D$1,0))="Fill","MOA signers (client), ","")IF(INDEX('MOA role matrix'!$B$2:$D$13,2,MATCH($B457,'MOA role matrix'!$B$1:$D$1,0))="If finance","MOA signers (client) (if finance), ","")IF(INDEX('MOA role matrix'!$B$2:$D$13,2,MATCH($B457,'MOA role matrix'!$B$1:$D$1,0))="Auto","MOA signers (client) (auto), ","")IF(INDEX('MOA role matrix'!$B$2:$D$13,3,MATCH($B457,'MOA role matrix'!$B$1:$D$1,0))="Fill","CFO / Head of Finance, ","")IF(INDEX('MOA role matrix'!$B$2:$D$13,3,MATCH($B457,'MOA role matrix'!$B$1:$D$1,0))="If finance","CFO / Head of Finance (if finance), ","")IF(INDEX('MOA role matrix'!$B$2:$D$13,3,MATCH($B457,'MOA role matrix'!$B$1:$D$1,0))="Auto","CFO / Head of Finance (auto), ","")IF(INDEX('MOA role matrix'!$B$2:$D$13,4,MATCH($B457,'MOA role matrix'!$B$1:$D$1,0))="Fill","CEO / COO / GM, ","")IF(INDEX('MOA role matrix'!$B$2:$D$13,4,MATCH($B457,'MOA role matrix'!$B$1:$D$1,0))="If finance","CEO / COO / GM (if finance), ","")IF(INDEX('MOA role matrix'!$B$2:$D$13,4,MATCH($B457,'MOA role matrix'!$B$1:$D$1,0))="Auto","CEO / COO / GM (auto), ","")IF(INDEX('MOA role matrix'!$B$2:$D$13,5,MATCH($B457,'MOA role matrix'!$B$1:$D$1,0))="Fill","Board member 1, ","")IF(INDEX('MOA role matrix'!$B$2:$D$13,5,MATCH($B457,'MOA role matrix'!$B$1:$D$1,0))="If finance","Board member 1 (if finance), ","")IF(INDEX('MOA role matrix'!$B$2:$D$13,5,MATCH($B457,'MOA role matrix'!$B$1:$D$1,0))="Auto","Board member 1 (auto), ","")IF(INDEX('MOA role matrix'!$B$2:$D$13,6,MATCH($B457,'MOA role matrix'!$B$1:$D$1,0))="Fill","Board member 2, ","")IF(INDEX('MOA role matrix'!$B$2:$D$13,6,MATCH($B457,'MOA role matrix'!$B$1:$D$1,0))="If finance","Board member 2 (if finance), ","")IF(INDEX('MOA role matrix'!$B$2:$D$13,6,MATCH($B457,'MOA role matrix'!$B$1:$D$1,0))="Auto","Board member 2 (auto), ","")IF(INDEX('MOA role matrix'!$B$2:$D$13,7,MATCH($B457,'MOA role matrix'!$B$1:$D$1,0))="Fill","LOA holder 1, ","")IF(INDEX('MOA role matrix'!$B$2:$D$13,7,MATCH($B457,'MOA role matrix'!$B$1:$D$1,0))="If finance","LOA holder 1 (if finance), ","")IF(INDEX('MOA role matrix'!$B$2:$D$13,7,MATCH($B457,'MOA role matrix'!$B$1:$D$1,0))="Auto","LOA holder 1 (auto), ","")IF(INDEX('MOA role matrix'!$B$2:$D$13,8,MATCH($B457,'MOA role matrix'!$B$1:$D$1,0))="Fill","LOA holder 2, ","")IF(INDEX('MOA role matrix'!$B$2:$D$13,8,MATCH($B457,'MOA role matrix'!$B$1:$D$1,0))="If finance","LOA holder 2 (if finance), ","")IF(INDEX('MOA role matrix'!$B$2:$D$13,8,MATCH($B457,'MOA role matrix'!$B$1:$D$1,0))="Auto","LOA holder 2 (auto), ","")IF(INDEX('MOA role matrix'!$B$2:$D$13,9,MATCH($B457,'MOA role matrix'!$B$1:$D$1,0))="Fill","Senior Manager CoSec, ","")IF(INDEX('MOA role matrix'!$B$2:$D$13,9,MATCH($B457,'MOA role matrix'!$B$1:$D$1,0))="If finance","Senior Manager CoSec (if finance), ","")IF(INDEX('MOA role matrix'!$B$2:$D$13,9,MATCH($B457,'MOA role matrix'!$B$1:$D$1,0))="Auto","Senior Manager CoSec (auto), ","")IF(INDEX('MOA role matrix'!$B$2:$D$13,10,MATCH($B457,'MOA role matrix'!$B$1:$D$1,0))="Fill","Division MOI managers, ","")IF(INDEX('MOA role matrix'!$B$2:$D$13,10,MATCH($B457,'MOA role matrix'!$B$1:$D$1,0))="If finance","Division MOI managers (if finance), ","")IF(INDEX('MOA role matrix'!$B$2:$D$13,10,MATCH($B457,'MOA role matrix'!$B$1:$D$1,0))="Auto","Division MOI managers (auto), ","")IF(INDEX('MOA role matrix'!$B$2:$D$13,11,MATCH($B457,'MOA role matrix'!$B$1:$D$1,0))="Fill","Ms Teh (bank), ","")IF(INDEX('MOA role matrix'!$B$2:$D$13,11,MATCH($B457,'MOA role matrix'!$B$1:$D$1,0))="If finance","Ms Teh (bank) (if finance), ","")IF(INDEX('MOA role matrix'!$B$2:$D$13,11,MATCH($B457,'MOA role matrix'!$B$1:$D$1,0))="Auto","Ms Teh (bank) (auto), ","")IF(INDEX('MOA role matrix'!$B$2:$D$13,12,MATCH($B457,'MOA role matrix'!$B$1:$D$1,0))="Fill","DLCM, ","")IF(INDEX('MOA role matrix'!$B$2:$D$13,12,MATCH($B457,'MOA role matrix'!$B$1:$D$1,0))="If finance","DLCM (if finance), ","")IF(INDEX('MOA role matrix'!$B$2:$D$13,12,MATCH($B457,'MOA role matrix'!$B$1:$D$1,0))="Auto","DLCM (auto), ","")))</f>
        <v/>
      </c>
      <c r="D457" s="5">
        <f>IF($A457="","",IFERROR(INDEX(FILTER('Client contacts'!$B$2:$B$500,('Client contacts'!$A$2:$A$500=$A457)*('Client contacts'!$H$2:$H$500="Y"),""),1),""))</f>
        <v/>
      </c>
      <c r="E457" s="5">
        <f>IF($A457="","",IFERROR(INDEX(FILTER('Client contacts'!$C$2:$C$500,('Client contacts'!$A$2:$A$500=$A457)*('Client contacts'!$H$2:$H$500="Y"),""),1),""))</f>
        <v/>
      </c>
      <c r="F457" s="5">
        <f>IF($A457="","",IFERROR(INDEX(FILTER('Client contacts'!$B$2:$B$500,('Client contacts'!$A$2:$A$500=$A457)*('Client contacts'!$G$2:$G$500="Y"),""),1),""))</f>
        <v/>
      </c>
      <c r="G457" s="5">
        <f>IF($A457="","",IFERROR(INDEX(FILTER('Client contacts'!$C$2:$C$500,('Client contacts'!$A$2:$A$500=$A457)*('Client contacts'!$G$2:$G$500="Y"),""),1),""))</f>
        <v/>
      </c>
      <c r="H457" s="5">
        <f>IF($A457="","",IFERROR(INDEX(FILTER('Client contacts'!$B$2:$B$500,('Client contacts'!$A$2:$A$500=$A457)*('Client contacts'!$G$2:$G$500="Y"),""),2),""))</f>
        <v/>
      </c>
      <c r="I457" s="5">
        <f>IF($A457="","",IFERROR(INDEX(FILTER('Client contacts'!$C$2:$C$500,('Client contacts'!$A$2:$A$500=$A457)*('Client contacts'!$G$2:$G$500="Y"),""),2),""))</f>
        <v/>
      </c>
      <c r="J457" s="8" t="n"/>
      <c r="K457" s="8" t="n"/>
      <c r="L457" s="8" t="n"/>
      <c r="M457" s="8" t="n"/>
      <c r="N457" s="8" t="n"/>
      <c r="O457" s="8" t="n"/>
      <c r="P457" s="8" t="n"/>
      <c r="Q457" s="8" t="n"/>
      <c r="R457" s="5">
        <f>IF($A457="","",IFERROR(INDEX(Companies!$I$2:$I$500,MATCH($A457,Companies!$A$2:$A$500,0)),""))</f>
        <v/>
      </c>
      <c r="S457" s="8" t="n"/>
      <c r="T457" s="8" t="n"/>
      <c r="U457" s="8" t="n"/>
      <c r="V457" s="8" t="n"/>
      <c r="W457" s="8" t="n"/>
    </row>
    <row r="458">
      <c r="C458" s="5">
        <f>IF($B458="","",TRIM(IF(INDEX('MOA role matrix'!$B$2:$D$13,1,MATCH($B458,'MOA role matrix'!$B$1:$D$1,0))="Fill","Project initiator, ","")IF(INDEX('MOA role matrix'!$B$2:$D$13,1,MATCH($B458,'MOA role matrix'!$B$1:$D$1,0))="If finance","Project initiator (if finance), ","")IF(INDEX('MOA role matrix'!$B$2:$D$13,1,MATCH($B458,'MOA role matrix'!$B$1:$D$1,0))="Auto","Project initiator (auto), ","")IF(INDEX('MOA role matrix'!$B$2:$D$13,2,MATCH($B458,'MOA role matrix'!$B$1:$D$1,0))="Fill","MOA signers (client), ","")IF(INDEX('MOA role matrix'!$B$2:$D$13,2,MATCH($B458,'MOA role matrix'!$B$1:$D$1,0))="If finance","MOA signers (client) (if finance), ","")IF(INDEX('MOA role matrix'!$B$2:$D$13,2,MATCH($B458,'MOA role matrix'!$B$1:$D$1,0))="Auto","MOA signers (client) (auto), ","")IF(INDEX('MOA role matrix'!$B$2:$D$13,3,MATCH($B458,'MOA role matrix'!$B$1:$D$1,0))="Fill","CFO / Head of Finance, ","")IF(INDEX('MOA role matrix'!$B$2:$D$13,3,MATCH($B458,'MOA role matrix'!$B$1:$D$1,0))="If finance","CFO / Head of Finance (if finance), ","")IF(INDEX('MOA role matrix'!$B$2:$D$13,3,MATCH($B458,'MOA role matrix'!$B$1:$D$1,0))="Auto","CFO / Head of Finance (auto), ","")IF(INDEX('MOA role matrix'!$B$2:$D$13,4,MATCH($B458,'MOA role matrix'!$B$1:$D$1,0))="Fill","CEO / COO / GM, ","")IF(INDEX('MOA role matrix'!$B$2:$D$13,4,MATCH($B458,'MOA role matrix'!$B$1:$D$1,0))="If finance","CEO / COO / GM (if finance), ","")IF(INDEX('MOA role matrix'!$B$2:$D$13,4,MATCH($B458,'MOA role matrix'!$B$1:$D$1,0))="Auto","CEO / COO / GM (auto), ","")IF(INDEX('MOA role matrix'!$B$2:$D$13,5,MATCH($B458,'MOA role matrix'!$B$1:$D$1,0))="Fill","Board member 1, ","")IF(INDEX('MOA role matrix'!$B$2:$D$13,5,MATCH($B458,'MOA role matrix'!$B$1:$D$1,0))="If finance","Board member 1 (if finance), ","")IF(INDEX('MOA role matrix'!$B$2:$D$13,5,MATCH($B458,'MOA role matrix'!$B$1:$D$1,0))="Auto","Board member 1 (auto), ","")IF(INDEX('MOA role matrix'!$B$2:$D$13,6,MATCH($B458,'MOA role matrix'!$B$1:$D$1,0))="Fill","Board member 2, ","")IF(INDEX('MOA role matrix'!$B$2:$D$13,6,MATCH($B458,'MOA role matrix'!$B$1:$D$1,0))="If finance","Board member 2 (if finance), ","")IF(INDEX('MOA role matrix'!$B$2:$D$13,6,MATCH($B458,'MOA role matrix'!$B$1:$D$1,0))="Auto","Board member 2 (auto), ","")IF(INDEX('MOA role matrix'!$B$2:$D$13,7,MATCH($B458,'MOA role matrix'!$B$1:$D$1,0))="Fill","LOA holder 1, ","")IF(INDEX('MOA role matrix'!$B$2:$D$13,7,MATCH($B458,'MOA role matrix'!$B$1:$D$1,0))="If finance","LOA holder 1 (if finance), ","")IF(INDEX('MOA role matrix'!$B$2:$D$13,7,MATCH($B458,'MOA role matrix'!$B$1:$D$1,0))="Auto","LOA holder 1 (auto), ","")IF(INDEX('MOA role matrix'!$B$2:$D$13,8,MATCH($B458,'MOA role matrix'!$B$1:$D$1,0))="Fill","LOA holder 2, ","")IF(INDEX('MOA role matrix'!$B$2:$D$13,8,MATCH($B458,'MOA role matrix'!$B$1:$D$1,0))="If finance","LOA holder 2 (if finance), ","")IF(INDEX('MOA role matrix'!$B$2:$D$13,8,MATCH($B458,'MOA role matrix'!$B$1:$D$1,0))="Auto","LOA holder 2 (auto), ","")IF(INDEX('MOA role matrix'!$B$2:$D$13,9,MATCH($B458,'MOA role matrix'!$B$1:$D$1,0))="Fill","Senior Manager CoSec, ","")IF(INDEX('MOA role matrix'!$B$2:$D$13,9,MATCH($B458,'MOA role matrix'!$B$1:$D$1,0))="If finance","Senior Manager CoSec (if finance), ","")IF(INDEX('MOA role matrix'!$B$2:$D$13,9,MATCH($B458,'MOA role matrix'!$B$1:$D$1,0))="Auto","Senior Manager CoSec (auto), ","")IF(INDEX('MOA role matrix'!$B$2:$D$13,10,MATCH($B458,'MOA role matrix'!$B$1:$D$1,0))="Fill","Division MOI managers, ","")IF(INDEX('MOA role matrix'!$B$2:$D$13,10,MATCH($B458,'MOA role matrix'!$B$1:$D$1,0))="If finance","Division MOI managers (if finance), ","")IF(INDEX('MOA role matrix'!$B$2:$D$13,10,MATCH($B458,'MOA role matrix'!$B$1:$D$1,0))="Auto","Division MOI managers (auto), ","")IF(INDEX('MOA role matrix'!$B$2:$D$13,11,MATCH($B458,'MOA role matrix'!$B$1:$D$1,0))="Fill","Ms Teh (bank), ","")IF(INDEX('MOA role matrix'!$B$2:$D$13,11,MATCH($B458,'MOA role matrix'!$B$1:$D$1,0))="If finance","Ms Teh (bank) (if finance), ","")IF(INDEX('MOA role matrix'!$B$2:$D$13,11,MATCH($B458,'MOA role matrix'!$B$1:$D$1,0))="Auto","Ms Teh (bank) (auto), ","")IF(INDEX('MOA role matrix'!$B$2:$D$13,12,MATCH($B458,'MOA role matrix'!$B$1:$D$1,0))="Fill","DLCM, ","")IF(INDEX('MOA role matrix'!$B$2:$D$13,12,MATCH($B458,'MOA role matrix'!$B$1:$D$1,0))="If finance","DLCM (if finance), ","")IF(INDEX('MOA role matrix'!$B$2:$D$13,12,MATCH($B458,'MOA role matrix'!$B$1:$D$1,0))="Auto","DLCM (auto), ","")))</f>
        <v/>
      </c>
      <c r="D458" s="5">
        <f>IF($A458="","",IFERROR(INDEX(FILTER('Client contacts'!$B$2:$B$500,('Client contacts'!$A$2:$A$500=$A458)*('Client contacts'!$H$2:$H$500="Y"),""),1),""))</f>
        <v/>
      </c>
      <c r="E458" s="5">
        <f>IF($A458="","",IFERROR(INDEX(FILTER('Client contacts'!$C$2:$C$500,('Client contacts'!$A$2:$A$500=$A458)*('Client contacts'!$H$2:$H$500="Y"),""),1),""))</f>
        <v/>
      </c>
      <c r="F458" s="5">
        <f>IF($A458="","",IFERROR(INDEX(FILTER('Client contacts'!$B$2:$B$500,('Client contacts'!$A$2:$A$500=$A458)*('Client contacts'!$G$2:$G$500="Y"),""),1),""))</f>
        <v/>
      </c>
      <c r="G458" s="5">
        <f>IF($A458="","",IFERROR(INDEX(FILTER('Client contacts'!$C$2:$C$500,('Client contacts'!$A$2:$A$500=$A458)*('Client contacts'!$G$2:$G$500="Y"),""),1),""))</f>
        <v/>
      </c>
      <c r="H458" s="5">
        <f>IF($A458="","",IFERROR(INDEX(FILTER('Client contacts'!$B$2:$B$500,('Client contacts'!$A$2:$A$500=$A458)*('Client contacts'!$G$2:$G$500="Y"),""),2),""))</f>
        <v/>
      </c>
      <c r="I458" s="5">
        <f>IF($A458="","",IFERROR(INDEX(FILTER('Client contacts'!$C$2:$C$500,('Client contacts'!$A$2:$A$500=$A458)*('Client contacts'!$G$2:$G$500="Y"),""),2),""))</f>
        <v/>
      </c>
      <c r="J458" s="8" t="n"/>
      <c r="K458" s="8" t="n"/>
      <c r="L458" s="8" t="n"/>
      <c r="M458" s="8" t="n"/>
      <c r="N458" s="8" t="n"/>
      <c r="O458" s="8" t="n"/>
      <c r="P458" s="8" t="n"/>
      <c r="Q458" s="8" t="n"/>
      <c r="R458" s="5">
        <f>IF($A458="","",IFERROR(INDEX(Companies!$I$2:$I$500,MATCH($A458,Companies!$A$2:$A$500,0)),""))</f>
        <v/>
      </c>
      <c r="S458" s="8" t="n"/>
      <c r="T458" s="8" t="n"/>
      <c r="U458" s="8" t="n"/>
      <c r="V458" s="8" t="n"/>
      <c r="W458" s="8" t="n"/>
    </row>
    <row r="459">
      <c r="C459" s="5">
        <f>IF($B459="","",TRIM(IF(INDEX('MOA role matrix'!$B$2:$D$13,1,MATCH($B459,'MOA role matrix'!$B$1:$D$1,0))="Fill","Project initiator, ","")IF(INDEX('MOA role matrix'!$B$2:$D$13,1,MATCH($B459,'MOA role matrix'!$B$1:$D$1,0))="If finance","Project initiator (if finance), ","")IF(INDEX('MOA role matrix'!$B$2:$D$13,1,MATCH($B459,'MOA role matrix'!$B$1:$D$1,0))="Auto","Project initiator (auto), ","")IF(INDEX('MOA role matrix'!$B$2:$D$13,2,MATCH($B459,'MOA role matrix'!$B$1:$D$1,0))="Fill","MOA signers (client), ","")IF(INDEX('MOA role matrix'!$B$2:$D$13,2,MATCH($B459,'MOA role matrix'!$B$1:$D$1,0))="If finance","MOA signers (client) (if finance), ","")IF(INDEX('MOA role matrix'!$B$2:$D$13,2,MATCH($B459,'MOA role matrix'!$B$1:$D$1,0))="Auto","MOA signers (client) (auto), ","")IF(INDEX('MOA role matrix'!$B$2:$D$13,3,MATCH($B459,'MOA role matrix'!$B$1:$D$1,0))="Fill","CFO / Head of Finance, ","")IF(INDEX('MOA role matrix'!$B$2:$D$13,3,MATCH($B459,'MOA role matrix'!$B$1:$D$1,0))="If finance","CFO / Head of Finance (if finance), ","")IF(INDEX('MOA role matrix'!$B$2:$D$13,3,MATCH($B459,'MOA role matrix'!$B$1:$D$1,0))="Auto","CFO / Head of Finance (auto), ","")IF(INDEX('MOA role matrix'!$B$2:$D$13,4,MATCH($B459,'MOA role matrix'!$B$1:$D$1,0))="Fill","CEO / COO / GM, ","")IF(INDEX('MOA role matrix'!$B$2:$D$13,4,MATCH($B459,'MOA role matrix'!$B$1:$D$1,0))="If finance","CEO / COO / GM (if finance), ","")IF(INDEX('MOA role matrix'!$B$2:$D$13,4,MATCH($B459,'MOA role matrix'!$B$1:$D$1,0))="Auto","CEO / COO / GM (auto), ","")IF(INDEX('MOA role matrix'!$B$2:$D$13,5,MATCH($B459,'MOA role matrix'!$B$1:$D$1,0))="Fill","Board member 1, ","")IF(INDEX('MOA role matrix'!$B$2:$D$13,5,MATCH($B459,'MOA role matrix'!$B$1:$D$1,0))="If finance","Board member 1 (if finance), ","")IF(INDEX('MOA role matrix'!$B$2:$D$13,5,MATCH($B459,'MOA role matrix'!$B$1:$D$1,0))="Auto","Board member 1 (auto), ","")IF(INDEX('MOA role matrix'!$B$2:$D$13,6,MATCH($B459,'MOA role matrix'!$B$1:$D$1,0))="Fill","Board member 2, ","")IF(INDEX('MOA role matrix'!$B$2:$D$13,6,MATCH($B459,'MOA role matrix'!$B$1:$D$1,0))="If finance","Board member 2 (if finance), ","")IF(INDEX('MOA role matrix'!$B$2:$D$13,6,MATCH($B459,'MOA role matrix'!$B$1:$D$1,0))="Auto","Board member 2 (auto), ","")IF(INDEX('MOA role matrix'!$B$2:$D$13,7,MATCH($B459,'MOA role matrix'!$B$1:$D$1,0))="Fill","LOA holder 1, ","")IF(INDEX('MOA role matrix'!$B$2:$D$13,7,MATCH($B459,'MOA role matrix'!$B$1:$D$1,0))="If finance","LOA holder 1 (if finance), ","")IF(INDEX('MOA role matrix'!$B$2:$D$13,7,MATCH($B459,'MOA role matrix'!$B$1:$D$1,0))="Auto","LOA holder 1 (auto), ","")IF(INDEX('MOA role matrix'!$B$2:$D$13,8,MATCH($B459,'MOA role matrix'!$B$1:$D$1,0))="Fill","LOA holder 2, ","")IF(INDEX('MOA role matrix'!$B$2:$D$13,8,MATCH($B459,'MOA role matrix'!$B$1:$D$1,0))="If finance","LOA holder 2 (if finance), ","")IF(INDEX('MOA role matrix'!$B$2:$D$13,8,MATCH($B459,'MOA role matrix'!$B$1:$D$1,0))="Auto","LOA holder 2 (auto), ","")IF(INDEX('MOA role matrix'!$B$2:$D$13,9,MATCH($B459,'MOA role matrix'!$B$1:$D$1,0))="Fill","Senior Manager CoSec, ","")IF(INDEX('MOA role matrix'!$B$2:$D$13,9,MATCH($B459,'MOA role matrix'!$B$1:$D$1,0))="If finance","Senior Manager CoSec (if finance), ","")IF(INDEX('MOA role matrix'!$B$2:$D$13,9,MATCH($B459,'MOA role matrix'!$B$1:$D$1,0))="Auto","Senior Manager CoSec (auto), ","")IF(INDEX('MOA role matrix'!$B$2:$D$13,10,MATCH($B459,'MOA role matrix'!$B$1:$D$1,0))="Fill","Division MOI managers, ","")IF(INDEX('MOA role matrix'!$B$2:$D$13,10,MATCH($B459,'MOA role matrix'!$B$1:$D$1,0))="If finance","Division MOI managers (if finance), ","")IF(INDEX('MOA role matrix'!$B$2:$D$13,10,MATCH($B459,'MOA role matrix'!$B$1:$D$1,0))="Auto","Division MOI managers (auto), ","")IF(INDEX('MOA role matrix'!$B$2:$D$13,11,MATCH($B459,'MOA role matrix'!$B$1:$D$1,0))="Fill","Ms Teh (bank), ","")IF(INDEX('MOA role matrix'!$B$2:$D$13,11,MATCH($B459,'MOA role matrix'!$B$1:$D$1,0))="If finance","Ms Teh (bank) (if finance), ","")IF(INDEX('MOA role matrix'!$B$2:$D$13,11,MATCH($B459,'MOA role matrix'!$B$1:$D$1,0))="Auto","Ms Teh (bank) (auto), ","")IF(INDEX('MOA role matrix'!$B$2:$D$13,12,MATCH($B459,'MOA role matrix'!$B$1:$D$1,0))="Fill","DLCM, ","")IF(INDEX('MOA role matrix'!$B$2:$D$13,12,MATCH($B459,'MOA role matrix'!$B$1:$D$1,0))="If finance","DLCM (if finance), ","")IF(INDEX('MOA role matrix'!$B$2:$D$13,12,MATCH($B459,'MOA role matrix'!$B$1:$D$1,0))="Auto","DLCM (auto), ","")))</f>
        <v/>
      </c>
      <c r="D459" s="5">
        <f>IF($A459="","",IFERROR(INDEX(FILTER('Client contacts'!$B$2:$B$500,('Client contacts'!$A$2:$A$500=$A459)*('Client contacts'!$H$2:$H$500="Y"),""),1),""))</f>
        <v/>
      </c>
      <c r="E459" s="5">
        <f>IF($A459="","",IFERROR(INDEX(FILTER('Client contacts'!$C$2:$C$500,('Client contacts'!$A$2:$A$500=$A459)*('Client contacts'!$H$2:$H$500="Y"),""),1),""))</f>
        <v/>
      </c>
      <c r="F459" s="5">
        <f>IF($A459="","",IFERROR(INDEX(FILTER('Client contacts'!$B$2:$B$500,('Client contacts'!$A$2:$A$500=$A459)*('Client contacts'!$G$2:$G$500="Y"),""),1),""))</f>
        <v/>
      </c>
      <c r="G459" s="5">
        <f>IF($A459="","",IFERROR(INDEX(FILTER('Client contacts'!$C$2:$C$500,('Client contacts'!$A$2:$A$500=$A459)*('Client contacts'!$G$2:$G$500="Y"),""),1),""))</f>
        <v/>
      </c>
      <c r="H459" s="5">
        <f>IF($A459="","",IFERROR(INDEX(FILTER('Client contacts'!$B$2:$B$500,('Client contacts'!$A$2:$A$500=$A459)*('Client contacts'!$G$2:$G$500="Y"),""),2),""))</f>
        <v/>
      </c>
      <c r="I459" s="5">
        <f>IF($A459="","",IFERROR(INDEX(FILTER('Client contacts'!$C$2:$C$500,('Client contacts'!$A$2:$A$500=$A459)*('Client contacts'!$G$2:$G$500="Y"),""),2),""))</f>
        <v/>
      </c>
      <c r="J459" s="8" t="n"/>
      <c r="K459" s="8" t="n"/>
      <c r="L459" s="8" t="n"/>
      <c r="M459" s="8" t="n"/>
      <c r="N459" s="8" t="n"/>
      <c r="O459" s="8" t="n"/>
      <c r="P459" s="8" t="n"/>
      <c r="Q459" s="8" t="n"/>
      <c r="R459" s="5">
        <f>IF($A459="","",IFERROR(INDEX(Companies!$I$2:$I$500,MATCH($A459,Companies!$A$2:$A$500,0)),""))</f>
        <v/>
      </c>
      <c r="S459" s="8" t="n"/>
      <c r="T459" s="8" t="n"/>
      <c r="U459" s="8" t="n"/>
      <c r="V459" s="8" t="n"/>
      <c r="W459" s="8" t="n"/>
    </row>
    <row r="460">
      <c r="C460" s="5">
        <f>IF($B460="","",TRIM(IF(INDEX('MOA role matrix'!$B$2:$D$13,1,MATCH($B460,'MOA role matrix'!$B$1:$D$1,0))="Fill","Project initiator, ","")IF(INDEX('MOA role matrix'!$B$2:$D$13,1,MATCH($B460,'MOA role matrix'!$B$1:$D$1,0))="If finance","Project initiator (if finance), ","")IF(INDEX('MOA role matrix'!$B$2:$D$13,1,MATCH($B460,'MOA role matrix'!$B$1:$D$1,0))="Auto","Project initiator (auto), ","")IF(INDEX('MOA role matrix'!$B$2:$D$13,2,MATCH($B460,'MOA role matrix'!$B$1:$D$1,0))="Fill","MOA signers (client), ","")IF(INDEX('MOA role matrix'!$B$2:$D$13,2,MATCH($B460,'MOA role matrix'!$B$1:$D$1,0))="If finance","MOA signers (client) (if finance), ","")IF(INDEX('MOA role matrix'!$B$2:$D$13,2,MATCH($B460,'MOA role matrix'!$B$1:$D$1,0))="Auto","MOA signers (client) (auto), ","")IF(INDEX('MOA role matrix'!$B$2:$D$13,3,MATCH($B460,'MOA role matrix'!$B$1:$D$1,0))="Fill","CFO / Head of Finance, ","")IF(INDEX('MOA role matrix'!$B$2:$D$13,3,MATCH($B460,'MOA role matrix'!$B$1:$D$1,0))="If finance","CFO / Head of Finance (if finance), ","")IF(INDEX('MOA role matrix'!$B$2:$D$13,3,MATCH($B460,'MOA role matrix'!$B$1:$D$1,0))="Auto","CFO / Head of Finance (auto), ","")IF(INDEX('MOA role matrix'!$B$2:$D$13,4,MATCH($B460,'MOA role matrix'!$B$1:$D$1,0))="Fill","CEO / COO / GM, ","")IF(INDEX('MOA role matrix'!$B$2:$D$13,4,MATCH($B460,'MOA role matrix'!$B$1:$D$1,0))="If finance","CEO / COO / GM (if finance), ","")IF(INDEX('MOA role matrix'!$B$2:$D$13,4,MATCH($B460,'MOA role matrix'!$B$1:$D$1,0))="Auto","CEO / COO / GM (auto), ","")IF(INDEX('MOA role matrix'!$B$2:$D$13,5,MATCH($B460,'MOA role matrix'!$B$1:$D$1,0))="Fill","Board member 1, ","")IF(INDEX('MOA role matrix'!$B$2:$D$13,5,MATCH($B460,'MOA role matrix'!$B$1:$D$1,0))="If finance","Board member 1 (if finance), ","")IF(INDEX('MOA role matrix'!$B$2:$D$13,5,MATCH($B460,'MOA role matrix'!$B$1:$D$1,0))="Auto","Board member 1 (auto), ","")IF(INDEX('MOA role matrix'!$B$2:$D$13,6,MATCH($B460,'MOA role matrix'!$B$1:$D$1,0))="Fill","Board member 2, ","")IF(INDEX('MOA role matrix'!$B$2:$D$13,6,MATCH($B460,'MOA role matrix'!$B$1:$D$1,0))="If finance","Board member 2 (if finance), ","")IF(INDEX('MOA role matrix'!$B$2:$D$13,6,MATCH($B460,'MOA role matrix'!$B$1:$D$1,0))="Auto","Board member 2 (auto), ","")IF(INDEX('MOA role matrix'!$B$2:$D$13,7,MATCH($B460,'MOA role matrix'!$B$1:$D$1,0))="Fill","LOA holder 1, ","")IF(INDEX('MOA role matrix'!$B$2:$D$13,7,MATCH($B460,'MOA role matrix'!$B$1:$D$1,0))="If finance","LOA holder 1 (if finance), ","")IF(INDEX('MOA role matrix'!$B$2:$D$13,7,MATCH($B460,'MOA role matrix'!$B$1:$D$1,0))="Auto","LOA holder 1 (auto), ","")IF(INDEX('MOA role matrix'!$B$2:$D$13,8,MATCH($B460,'MOA role matrix'!$B$1:$D$1,0))="Fill","LOA holder 2, ","")IF(INDEX('MOA role matrix'!$B$2:$D$13,8,MATCH($B460,'MOA role matrix'!$B$1:$D$1,0))="If finance","LOA holder 2 (if finance), ","")IF(INDEX('MOA role matrix'!$B$2:$D$13,8,MATCH($B460,'MOA role matrix'!$B$1:$D$1,0))="Auto","LOA holder 2 (auto), ","")IF(INDEX('MOA role matrix'!$B$2:$D$13,9,MATCH($B460,'MOA role matrix'!$B$1:$D$1,0))="Fill","Senior Manager CoSec, ","")IF(INDEX('MOA role matrix'!$B$2:$D$13,9,MATCH($B460,'MOA role matrix'!$B$1:$D$1,0))="If finance","Senior Manager CoSec (if finance), ","")IF(INDEX('MOA role matrix'!$B$2:$D$13,9,MATCH($B460,'MOA role matrix'!$B$1:$D$1,0))="Auto","Senior Manager CoSec (auto), ","")IF(INDEX('MOA role matrix'!$B$2:$D$13,10,MATCH($B460,'MOA role matrix'!$B$1:$D$1,0))="Fill","Division MOI managers, ","")IF(INDEX('MOA role matrix'!$B$2:$D$13,10,MATCH($B460,'MOA role matrix'!$B$1:$D$1,0))="If finance","Division MOI managers (if finance), ","")IF(INDEX('MOA role matrix'!$B$2:$D$13,10,MATCH($B460,'MOA role matrix'!$B$1:$D$1,0))="Auto","Division MOI managers (auto), ","")IF(INDEX('MOA role matrix'!$B$2:$D$13,11,MATCH($B460,'MOA role matrix'!$B$1:$D$1,0))="Fill","Ms Teh (bank), ","")IF(INDEX('MOA role matrix'!$B$2:$D$13,11,MATCH($B460,'MOA role matrix'!$B$1:$D$1,0))="If finance","Ms Teh (bank) (if finance), ","")IF(INDEX('MOA role matrix'!$B$2:$D$13,11,MATCH($B460,'MOA role matrix'!$B$1:$D$1,0))="Auto","Ms Teh (bank) (auto), ","")IF(INDEX('MOA role matrix'!$B$2:$D$13,12,MATCH($B460,'MOA role matrix'!$B$1:$D$1,0))="Fill","DLCM, ","")IF(INDEX('MOA role matrix'!$B$2:$D$13,12,MATCH($B460,'MOA role matrix'!$B$1:$D$1,0))="If finance","DLCM (if finance), ","")IF(INDEX('MOA role matrix'!$B$2:$D$13,12,MATCH($B460,'MOA role matrix'!$B$1:$D$1,0))="Auto","DLCM (auto), ","")))</f>
        <v/>
      </c>
      <c r="D460" s="5">
        <f>IF($A460="","",IFERROR(INDEX(FILTER('Client contacts'!$B$2:$B$500,('Client contacts'!$A$2:$A$500=$A460)*('Client contacts'!$H$2:$H$500="Y"),""),1),""))</f>
        <v/>
      </c>
      <c r="E460" s="5">
        <f>IF($A460="","",IFERROR(INDEX(FILTER('Client contacts'!$C$2:$C$500,('Client contacts'!$A$2:$A$500=$A460)*('Client contacts'!$H$2:$H$500="Y"),""),1),""))</f>
        <v/>
      </c>
      <c r="F460" s="5">
        <f>IF($A460="","",IFERROR(INDEX(FILTER('Client contacts'!$B$2:$B$500,('Client contacts'!$A$2:$A$500=$A460)*('Client contacts'!$G$2:$G$500="Y"),""),1),""))</f>
        <v/>
      </c>
      <c r="G460" s="5">
        <f>IF($A460="","",IFERROR(INDEX(FILTER('Client contacts'!$C$2:$C$500,('Client contacts'!$A$2:$A$500=$A460)*('Client contacts'!$G$2:$G$500="Y"),""),1),""))</f>
        <v/>
      </c>
      <c r="H460" s="5">
        <f>IF($A460="","",IFERROR(INDEX(FILTER('Client contacts'!$B$2:$B$500,('Client contacts'!$A$2:$A$500=$A460)*('Client contacts'!$G$2:$G$500="Y"),""),2),""))</f>
        <v/>
      </c>
      <c r="I460" s="5">
        <f>IF($A460="","",IFERROR(INDEX(FILTER('Client contacts'!$C$2:$C$500,('Client contacts'!$A$2:$A$500=$A460)*('Client contacts'!$G$2:$G$500="Y"),""),2),""))</f>
        <v/>
      </c>
      <c r="J460" s="8" t="n"/>
      <c r="K460" s="8" t="n"/>
      <c r="L460" s="8" t="n"/>
      <c r="M460" s="8" t="n"/>
      <c r="N460" s="8" t="n"/>
      <c r="O460" s="8" t="n"/>
      <c r="P460" s="8" t="n"/>
      <c r="Q460" s="8" t="n"/>
      <c r="R460" s="5">
        <f>IF($A460="","",IFERROR(INDEX(Companies!$I$2:$I$500,MATCH($A460,Companies!$A$2:$A$500,0)),""))</f>
        <v/>
      </c>
      <c r="S460" s="8" t="n"/>
      <c r="T460" s="8" t="n"/>
      <c r="U460" s="8" t="n"/>
      <c r="V460" s="8" t="n"/>
      <c r="W460" s="8" t="n"/>
    </row>
    <row r="461">
      <c r="C461" s="5">
        <f>IF($B461="","",TRIM(IF(INDEX('MOA role matrix'!$B$2:$D$13,1,MATCH($B461,'MOA role matrix'!$B$1:$D$1,0))="Fill","Project initiator, ","")IF(INDEX('MOA role matrix'!$B$2:$D$13,1,MATCH($B461,'MOA role matrix'!$B$1:$D$1,0))="If finance","Project initiator (if finance), ","")IF(INDEX('MOA role matrix'!$B$2:$D$13,1,MATCH($B461,'MOA role matrix'!$B$1:$D$1,0))="Auto","Project initiator (auto), ","")IF(INDEX('MOA role matrix'!$B$2:$D$13,2,MATCH($B461,'MOA role matrix'!$B$1:$D$1,0))="Fill","MOA signers (client), ","")IF(INDEX('MOA role matrix'!$B$2:$D$13,2,MATCH($B461,'MOA role matrix'!$B$1:$D$1,0))="If finance","MOA signers (client) (if finance), ","")IF(INDEX('MOA role matrix'!$B$2:$D$13,2,MATCH($B461,'MOA role matrix'!$B$1:$D$1,0))="Auto","MOA signers (client) (auto), ","")IF(INDEX('MOA role matrix'!$B$2:$D$13,3,MATCH($B461,'MOA role matrix'!$B$1:$D$1,0))="Fill","CFO / Head of Finance, ","")IF(INDEX('MOA role matrix'!$B$2:$D$13,3,MATCH($B461,'MOA role matrix'!$B$1:$D$1,0))="If finance","CFO / Head of Finance (if finance), ","")IF(INDEX('MOA role matrix'!$B$2:$D$13,3,MATCH($B461,'MOA role matrix'!$B$1:$D$1,0))="Auto","CFO / Head of Finance (auto), ","")IF(INDEX('MOA role matrix'!$B$2:$D$13,4,MATCH($B461,'MOA role matrix'!$B$1:$D$1,0))="Fill","CEO / COO / GM, ","")IF(INDEX('MOA role matrix'!$B$2:$D$13,4,MATCH($B461,'MOA role matrix'!$B$1:$D$1,0))="If finance","CEO / COO / GM (if finance), ","")IF(INDEX('MOA role matrix'!$B$2:$D$13,4,MATCH($B461,'MOA role matrix'!$B$1:$D$1,0))="Auto","CEO / COO / GM (auto), ","")IF(INDEX('MOA role matrix'!$B$2:$D$13,5,MATCH($B461,'MOA role matrix'!$B$1:$D$1,0))="Fill","Board member 1, ","")IF(INDEX('MOA role matrix'!$B$2:$D$13,5,MATCH($B461,'MOA role matrix'!$B$1:$D$1,0))="If finance","Board member 1 (if finance), ","")IF(INDEX('MOA role matrix'!$B$2:$D$13,5,MATCH($B461,'MOA role matrix'!$B$1:$D$1,0))="Auto","Board member 1 (auto), ","")IF(INDEX('MOA role matrix'!$B$2:$D$13,6,MATCH($B461,'MOA role matrix'!$B$1:$D$1,0))="Fill","Board member 2, ","")IF(INDEX('MOA role matrix'!$B$2:$D$13,6,MATCH($B461,'MOA role matrix'!$B$1:$D$1,0))="If finance","Board member 2 (if finance), ","")IF(INDEX('MOA role matrix'!$B$2:$D$13,6,MATCH($B461,'MOA role matrix'!$B$1:$D$1,0))="Auto","Board member 2 (auto), ","")IF(INDEX('MOA role matrix'!$B$2:$D$13,7,MATCH($B461,'MOA role matrix'!$B$1:$D$1,0))="Fill","LOA holder 1, ","")IF(INDEX('MOA role matrix'!$B$2:$D$13,7,MATCH($B461,'MOA role matrix'!$B$1:$D$1,0))="If finance","LOA holder 1 (if finance), ","")IF(INDEX('MOA role matrix'!$B$2:$D$13,7,MATCH($B461,'MOA role matrix'!$B$1:$D$1,0))="Auto","LOA holder 1 (auto), ","")IF(INDEX('MOA role matrix'!$B$2:$D$13,8,MATCH($B461,'MOA role matrix'!$B$1:$D$1,0))="Fill","LOA holder 2, ","")IF(INDEX('MOA role matrix'!$B$2:$D$13,8,MATCH($B461,'MOA role matrix'!$B$1:$D$1,0))="If finance","LOA holder 2 (if finance), ","")IF(INDEX('MOA role matrix'!$B$2:$D$13,8,MATCH($B461,'MOA role matrix'!$B$1:$D$1,0))="Auto","LOA holder 2 (auto), ","")IF(INDEX('MOA role matrix'!$B$2:$D$13,9,MATCH($B461,'MOA role matrix'!$B$1:$D$1,0))="Fill","Senior Manager CoSec, ","")IF(INDEX('MOA role matrix'!$B$2:$D$13,9,MATCH($B461,'MOA role matrix'!$B$1:$D$1,0))="If finance","Senior Manager CoSec (if finance), ","")IF(INDEX('MOA role matrix'!$B$2:$D$13,9,MATCH($B461,'MOA role matrix'!$B$1:$D$1,0))="Auto","Senior Manager CoSec (auto), ","")IF(INDEX('MOA role matrix'!$B$2:$D$13,10,MATCH($B461,'MOA role matrix'!$B$1:$D$1,0))="Fill","Division MOI managers, ","")IF(INDEX('MOA role matrix'!$B$2:$D$13,10,MATCH($B461,'MOA role matrix'!$B$1:$D$1,0))="If finance","Division MOI managers (if finance), ","")IF(INDEX('MOA role matrix'!$B$2:$D$13,10,MATCH($B461,'MOA role matrix'!$B$1:$D$1,0))="Auto","Division MOI managers (auto), ","")IF(INDEX('MOA role matrix'!$B$2:$D$13,11,MATCH($B461,'MOA role matrix'!$B$1:$D$1,0))="Fill","Ms Teh (bank), ","")IF(INDEX('MOA role matrix'!$B$2:$D$13,11,MATCH($B461,'MOA role matrix'!$B$1:$D$1,0))="If finance","Ms Teh (bank) (if finance), ","")IF(INDEX('MOA role matrix'!$B$2:$D$13,11,MATCH($B461,'MOA role matrix'!$B$1:$D$1,0))="Auto","Ms Teh (bank) (auto), ","")IF(INDEX('MOA role matrix'!$B$2:$D$13,12,MATCH($B461,'MOA role matrix'!$B$1:$D$1,0))="Fill","DLCM, ","")IF(INDEX('MOA role matrix'!$B$2:$D$13,12,MATCH($B461,'MOA role matrix'!$B$1:$D$1,0))="If finance","DLCM (if finance), ","")IF(INDEX('MOA role matrix'!$B$2:$D$13,12,MATCH($B461,'MOA role matrix'!$B$1:$D$1,0))="Auto","DLCM (auto), ","")))</f>
        <v/>
      </c>
      <c r="D461" s="5">
        <f>IF($A461="","",IFERROR(INDEX(FILTER('Client contacts'!$B$2:$B$500,('Client contacts'!$A$2:$A$500=$A461)*('Client contacts'!$H$2:$H$500="Y"),""),1),""))</f>
        <v/>
      </c>
      <c r="E461" s="5">
        <f>IF($A461="","",IFERROR(INDEX(FILTER('Client contacts'!$C$2:$C$500,('Client contacts'!$A$2:$A$500=$A461)*('Client contacts'!$H$2:$H$500="Y"),""),1),""))</f>
        <v/>
      </c>
      <c r="F461" s="5">
        <f>IF($A461="","",IFERROR(INDEX(FILTER('Client contacts'!$B$2:$B$500,('Client contacts'!$A$2:$A$500=$A461)*('Client contacts'!$G$2:$G$500="Y"),""),1),""))</f>
        <v/>
      </c>
      <c r="G461" s="5">
        <f>IF($A461="","",IFERROR(INDEX(FILTER('Client contacts'!$C$2:$C$500,('Client contacts'!$A$2:$A$500=$A461)*('Client contacts'!$G$2:$G$500="Y"),""),1),""))</f>
        <v/>
      </c>
      <c r="H461" s="5">
        <f>IF($A461="","",IFERROR(INDEX(FILTER('Client contacts'!$B$2:$B$500,('Client contacts'!$A$2:$A$500=$A461)*('Client contacts'!$G$2:$G$500="Y"),""),2),""))</f>
        <v/>
      </c>
      <c r="I461" s="5">
        <f>IF($A461="","",IFERROR(INDEX(FILTER('Client contacts'!$C$2:$C$500,('Client contacts'!$A$2:$A$500=$A461)*('Client contacts'!$G$2:$G$500="Y"),""),2),""))</f>
        <v/>
      </c>
      <c r="J461" s="8" t="n"/>
      <c r="K461" s="8" t="n"/>
      <c r="L461" s="8" t="n"/>
      <c r="M461" s="8" t="n"/>
      <c r="N461" s="8" t="n"/>
      <c r="O461" s="8" t="n"/>
      <c r="P461" s="8" t="n"/>
      <c r="Q461" s="8" t="n"/>
      <c r="R461" s="5">
        <f>IF($A461="","",IFERROR(INDEX(Companies!$I$2:$I$500,MATCH($A461,Companies!$A$2:$A$500,0)),""))</f>
        <v/>
      </c>
      <c r="S461" s="8" t="n"/>
      <c r="T461" s="8" t="n"/>
      <c r="U461" s="8" t="n"/>
      <c r="V461" s="8" t="n"/>
      <c r="W461" s="8" t="n"/>
    </row>
    <row r="462">
      <c r="C462" s="5">
        <f>IF($B462="","",TRIM(IF(INDEX('MOA role matrix'!$B$2:$D$13,1,MATCH($B462,'MOA role matrix'!$B$1:$D$1,0))="Fill","Project initiator, ","")IF(INDEX('MOA role matrix'!$B$2:$D$13,1,MATCH($B462,'MOA role matrix'!$B$1:$D$1,0))="If finance","Project initiator (if finance), ","")IF(INDEX('MOA role matrix'!$B$2:$D$13,1,MATCH($B462,'MOA role matrix'!$B$1:$D$1,0))="Auto","Project initiator (auto), ","")IF(INDEX('MOA role matrix'!$B$2:$D$13,2,MATCH($B462,'MOA role matrix'!$B$1:$D$1,0))="Fill","MOA signers (client), ","")IF(INDEX('MOA role matrix'!$B$2:$D$13,2,MATCH($B462,'MOA role matrix'!$B$1:$D$1,0))="If finance","MOA signers (client) (if finance), ","")IF(INDEX('MOA role matrix'!$B$2:$D$13,2,MATCH($B462,'MOA role matrix'!$B$1:$D$1,0))="Auto","MOA signers (client) (auto), ","")IF(INDEX('MOA role matrix'!$B$2:$D$13,3,MATCH($B462,'MOA role matrix'!$B$1:$D$1,0))="Fill","CFO / Head of Finance, ","")IF(INDEX('MOA role matrix'!$B$2:$D$13,3,MATCH($B462,'MOA role matrix'!$B$1:$D$1,0))="If finance","CFO / Head of Finance (if finance), ","")IF(INDEX('MOA role matrix'!$B$2:$D$13,3,MATCH($B462,'MOA role matrix'!$B$1:$D$1,0))="Auto","CFO / Head of Finance (auto), ","")IF(INDEX('MOA role matrix'!$B$2:$D$13,4,MATCH($B462,'MOA role matrix'!$B$1:$D$1,0))="Fill","CEO / COO / GM, ","")IF(INDEX('MOA role matrix'!$B$2:$D$13,4,MATCH($B462,'MOA role matrix'!$B$1:$D$1,0))="If finance","CEO / COO / GM (if finance), ","")IF(INDEX('MOA role matrix'!$B$2:$D$13,4,MATCH($B462,'MOA role matrix'!$B$1:$D$1,0))="Auto","CEO / COO / GM (auto), ","")IF(INDEX('MOA role matrix'!$B$2:$D$13,5,MATCH($B462,'MOA role matrix'!$B$1:$D$1,0))="Fill","Board member 1, ","")IF(INDEX('MOA role matrix'!$B$2:$D$13,5,MATCH($B462,'MOA role matrix'!$B$1:$D$1,0))="If finance","Board member 1 (if finance), ","")IF(INDEX('MOA role matrix'!$B$2:$D$13,5,MATCH($B462,'MOA role matrix'!$B$1:$D$1,0))="Auto","Board member 1 (auto), ","")IF(INDEX('MOA role matrix'!$B$2:$D$13,6,MATCH($B462,'MOA role matrix'!$B$1:$D$1,0))="Fill","Board member 2, ","")IF(INDEX('MOA role matrix'!$B$2:$D$13,6,MATCH($B462,'MOA role matrix'!$B$1:$D$1,0))="If finance","Board member 2 (if finance), ","")IF(INDEX('MOA role matrix'!$B$2:$D$13,6,MATCH($B462,'MOA role matrix'!$B$1:$D$1,0))="Auto","Board member 2 (auto), ","")IF(INDEX('MOA role matrix'!$B$2:$D$13,7,MATCH($B462,'MOA role matrix'!$B$1:$D$1,0))="Fill","LOA holder 1, ","")IF(INDEX('MOA role matrix'!$B$2:$D$13,7,MATCH($B462,'MOA role matrix'!$B$1:$D$1,0))="If finance","LOA holder 1 (if finance), ","")IF(INDEX('MOA role matrix'!$B$2:$D$13,7,MATCH($B462,'MOA role matrix'!$B$1:$D$1,0))="Auto","LOA holder 1 (auto), ","")IF(INDEX('MOA role matrix'!$B$2:$D$13,8,MATCH($B462,'MOA role matrix'!$B$1:$D$1,0))="Fill","LOA holder 2, ","")IF(INDEX('MOA role matrix'!$B$2:$D$13,8,MATCH($B462,'MOA role matrix'!$B$1:$D$1,0))="If finance","LOA holder 2 (if finance), ","")IF(INDEX('MOA role matrix'!$B$2:$D$13,8,MATCH($B462,'MOA role matrix'!$B$1:$D$1,0))="Auto","LOA holder 2 (auto), ","")IF(INDEX('MOA role matrix'!$B$2:$D$13,9,MATCH($B462,'MOA role matrix'!$B$1:$D$1,0))="Fill","Senior Manager CoSec, ","")IF(INDEX('MOA role matrix'!$B$2:$D$13,9,MATCH($B462,'MOA role matrix'!$B$1:$D$1,0))="If finance","Senior Manager CoSec (if finance), ","")IF(INDEX('MOA role matrix'!$B$2:$D$13,9,MATCH($B462,'MOA role matrix'!$B$1:$D$1,0))="Auto","Senior Manager CoSec (auto), ","")IF(INDEX('MOA role matrix'!$B$2:$D$13,10,MATCH($B462,'MOA role matrix'!$B$1:$D$1,0))="Fill","Division MOI managers, ","")IF(INDEX('MOA role matrix'!$B$2:$D$13,10,MATCH($B462,'MOA role matrix'!$B$1:$D$1,0))="If finance","Division MOI managers (if finance), ","")IF(INDEX('MOA role matrix'!$B$2:$D$13,10,MATCH($B462,'MOA role matrix'!$B$1:$D$1,0))="Auto","Division MOI managers (auto), ","")IF(INDEX('MOA role matrix'!$B$2:$D$13,11,MATCH($B462,'MOA role matrix'!$B$1:$D$1,0))="Fill","Ms Teh (bank), ","")IF(INDEX('MOA role matrix'!$B$2:$D$13,11,MATCH($B462,'MOA role matrix'!$B$1:$D$1,0))="If finance","Ms Teh (bank) (if finance), ","")IF(INDEX('MOA role matrix'!$B$2:$D$13,11,MATCH($B462,'MOA role matrix'!$B$1:$D$1,0))="Auto","Ms Teh (bank) (auto), ","")IF(INDEX('MOA role matrix'!$B$2:$D$13,12,MATCH($B462,'MOA role matrix'!$B$1:$D$1,0))="Fill","DLCM, ","")IF(INDEX('MOA role matrix'!$B$2:$D$13,12,MATCH($B462,'MOA role matrix'!$B$1:$D$1,0))="If finance","DLCM (if finance), ","")IF(INDEX('MOA role matrix'!$B$2:$D$13,12,MATCH($B462,'MOA role matrix'!$B$1:$D$1,0))="Auto","DLCM (auto), ","")))</f>
        <v/>
      </c>
      <c r="D462" s="5">
        <f>IF($A462="","",IFERROR(INDEX(FILTER('Client contacts'!$B$2:$B$500,('Client contacts'!$A$2:$A$500=$A462)*('Client contacts'!$H$2:$H$500="Y"),""),1),""))</f>
        <v/>
      </c>
      <c r="E462" s="5">
        <f>IF($A462="","",IFERROR(INDEX(FILTER('Client contacts'!$C$2:$C$500,('Client contacts'!$A$2:$A$500=$A462)*('Client contacts'!$H$2:$H$500="Y"),""),1),""))</f>
        <v/>
      </c>
      <c r="F462" s="5">
        <f>IF($A462="","",IFERROR(INDEX(FILTER('Client contacts'!$B$2:$B$500,('Client contacts'!$A$2:$A$500=$A462)*('Client contacts'!$G$2:$G$500="Y"),""),1),""))</f>
        <v/>
      </c>
      <c r="G462" s="5">
        <f>IF($A462="","",IFERROR(INDEX(FILTER('Client contacts'!$C$2:$C$500,('Client contacts'!$A$2:$A$500=$A462)*('Client contacts'!$G$2:$G$500="Y"),""),1),""))</f>
        <v/>
      </c>
      <c r="H462" s="5">
        <f>IF($A462="","",IFERROR(INDEX(FILTER('Client contacts'!$B$2:$B$500,('Client contacts'!$A$2:$A$500=$A462)*('Client contacts'!$G$2:$G$500="Y"),""),2),""))</f>
        <v/>
      </c>
      <c r="I462" s="5">
        <f>IF($A462="","",IFERROR(INDEX(FILTER('Client contacts'!$C$2:$C$500,('Client contacts'!$A$2:$A$500=$A462)*('Client contacts'!$G$2:$G$500="Y"),""),2),""))</f>
        <v/>
      </c>
      <c r="J462" s="8" t="n"/>
      <c r="K462" s="8" t="n"/>
      <c r="L462" s="8" t="n"/>
      <c r="M462" s="8" t="n"/>
      <c r="N462" s="8" t="n"/>
      <c r="O462" s="8" t="n"/>
      <c r="P462" s="8" t="n"/>
      <c r="Q462" s="8" t="n"/>
      <c r="R462" s="5">
        <f>IF($A462="","",IFERROR(INDEX(Companies!$I$2:$I$500,MATCH($A462,Companies!$A$2:$A$500,0)),""))</f>
        <v/>
      </c>
      <c r="S462" s="8" t="n"/>
      <c r="T462" s="8" t="n"/>
      <c r="U462" s="8" t="n"/>
      <c r="V462" s="8" t="n"/>
      <c r="W462" s="8" t="n"/>
    </row>
    <row r="463">
      <c r="C463" s="5">
        <f>IF($B463="","",TRIM(IF(INDEX('MOA role matrix'!$B$2:$D$13,1,MATCH($B463,'MOA role matrix'!$B$1:$D$1,0))="Fill","Project initiator, ","")IF(INDEX('MOA role matrix'!$B$2:$D$13,1,MATCH($B463,'MOA role matrix'!$B$1:$D$1,0))="If finance","Project initiator (if finance), ","")IF(INDEX('MOA role matrix'!$B$2:$D$13,1,MATCH($B463,'MOA role matrix'!$B$1:$D$1,0))="Auto","Project initiator (auto), ","")IF(INDEX('MOA role matrix'!$B$2:$D$13,2,MATCH($B463,'MOA role matrix'!$B$1:$D$1,0))="Fill","MOA signers (client), ","")IF(INDEX('MOA role matrix'!$B$2:$D$13,2,MATCH($B463,'MOA role matrix'!$B$1:$D$1,0))="If finance","MOA signers (client) (if finance), ","")IF(INDEX('MOA role matrix'!$B$2:$D$13,2,MATCH($B463,'MOA role matrix'!$B$1:$D$1,0))="Auto","MOA signers (client) (auto), ","")IF(INDEX('MOA role matrix'!$B$2:$D$13,3,MATCH($B463,'MOA role matrix'!$B$1:$D$1,0))="Fill","CFO / Head of Finance, ","")IF(INDEX('MOA role matrix'!$B$2:$D$13,3,MATCH($B463,'MOA role matrix'!$B$1:$D$1,0))="If finance","CFO / Head of Finance (if finance), ","")IF(INDEX('MOA role matrix'!$B$2:$D$13,3,MATCH($B463,'MOA role matrix'!$B$1:$D$1,0))="Auto","CFO / Head of Finance (auto), ","")IF(INDEX('MOA role matrix'!$B$2:$D$13,4,MATCH($B463,'MOA role matrix'!$B$1:$D$1,0))="Fill","CEO / COO / GM, ","")IF(INDEX('MOA role matrix'!$B$2:$D$13,4,MATCH($B463,'MOA role matrix'!$B$1:$D$1,0))="If finance","CEO / COO / GM (if finance), ","")IF(INDEX('MOA role matrix'!$B$2:$D$13,4,MATCH($B463,'MOA role matrix'!$B$1:$D$1,0))="Auto","CEO / COO / GM (auto), ","")IF(INDEX('MOA role matrix'!$B$2:$D$13,5,MATCH($B463,'MOA role matrix'!$B$1:$D$1,0))="Fill","Board member 1, ","")IF(INDEX('MOA role matrix'!$B$2:$D$13,5,MATCH($B463,'MOA role matrix'!$B$1:$D$1,0))="If finance","Board member 1 (if finance), ","")IF(INDEX('MOA role matrix'!$B$2:$D$13,5,MATCH($B463,'MOA role matrix'!$B$1:$D$1,0))="Auto","Board member 1 (auto), ","")IF(INDEX('MOA role matrix'!$B$2:$D$13,6,MATCH($B463,'MOA role matrix'!$B$1:$D$1,0))="Fill","Board member 2, ","")IF(INDEX('MOA role matrix'!$B$2:$D$13,6,MATCH($B463,'MOA role matrix'!$B$1:$D$1,0))="If finance","Board member 2 (if finance), ","")IF(INDEX('MOA role matrix'!$B$2:$D$13,6,MATCH($B463,'MOA role matrix'!$B$1:$D$1,0))="Auto","Board member 2 (auto), ","")IF(INDEX('MOA role matrix'!$B$2:$D$13,7,MATCH($B463,'MOA role matrix'!$B$1:$D$1,0))="Fill","LOA holder 1, ","")IF(INDEX('MOA role matrix'!$B$2:$D$13,7,MATCH($B463,'MOA role matrix'!$B$1:$D$1,0))="If finance","LOA holder 1 (if finance), ","")IF(INDEX('MOA role matrix'!$B$2:$D$13,7,MATCH($B463,'MOA role matrix'!$B$1:$D$1,0))="Auto","LOA holder 1 (auto), ","")IF(INDEX('MOA role matrix'!$B$2:$D$13,8,MATCH($B463,'MOA role matrix'!$B$1:$D$1,0))="Fill","LOA holder 2, ","")IF(INDEX('MOA role matrix'!$B$2:$D$13,8,MATCH($B463,'MOA role matrix'!$B$1:$D$1,0))="If finance","LOA holder 2 (if finance), ","")IF(INDEX('MOA role matrix'!$B$2:$D$13,8,MATCH($B463,'MOA role matrix'!$B$1:$D$1,0))="Auto","LOA holder 2 (auto), ","")IF(INDEX('MOA role matrix'!$B$2:$D$13,9,MATCH($B463,'MOA role matrix'!$B$1:$D$1,0))="Fill","Senior Manager CoSec, ","")IF(INDEX('MOA role matrix'!$B$2:$D$13,9,MATCH($B463,'MOA role matrix'!$B$1:$D$1,0))="If finance","Senior Manager CoSec (if finance), ","")IF(INDEX('MOA role matrix'!$B$2:$D$13,9,MATCH($B463,'MOA role matrix'!$B$1:$D$1,0))="Auto","Senior Manager CoSec (auto), ","")IF(INDEX('MOA role matrix'!$B$2:$D$13,10,MATCH($B463,'MOA role matrix'!$B$1:$D$1,0))="Fill","Division MOI managers, ","")IF(INDEX('MOA role matrix'!$B$2:$D$13,10,MATCH($B463,'MOA role matrix'!$B$1:$D$1,0))="If finance","Division MOI managers (if finance), ","")IF(INDEX('MOA role matrix'!$B$2:$D$13,10,MATCH($B463,'MOA role matrix'!$B$1:$D$1,0))="Auto","Division MOI managers (auto), ","")IF(INDEX('MOA role matrix'!$B$2:$D$13,11,MATCH($B463,'MOA role matrix'!$B$1:$D$1,0))="Fill","Ms Teh (bank), ","")IF(INDEX('MOA role matrix'!$B$2:$D$13,11,MATCH($B463,'MOA role matrix'!$B$1:$D$1,0))="If finance","Ms Teh (bank) (if finance), ","")IF(INDEX('MOA role matrix'!$B$2:$D$13,11,MATCH($B463,'MOA role matrix'!$B$1:$D$1,0))="Auto","Ms Teh (bank) (auto), ","")IF(INDEX('MOA role matrix'!$B$2:$D$13,12,MATCH($B463,'MOA role matrix'!$B$1:$D$1,0))="Fill","DLCM, ","")IF(INDEX('MOA role matrix'!$B$2:$D$13,12,MATCH($B463,'MOA role matrix'!$B$1:$D$1,0))="If finance","DLCM (if finance), ","")IF(INDEX('MOA role matrix'!$B$2:$D$13,12,MATCH($B463,'MOA role matrix'!$B$1:$D$1,0))="Auto","DLCM (auto), ","")))</f>
        <v/>
      </c>
      <c r="D463" s="5">
        <f>IF($A463="","",IFERROR(INDEX(FILTER('Client contacts'!$B$2:$B$500,('Client contacts'!$A$2:$A$500=$A463)*('Client contacts'!$H$2:$H$500="Y"),""),1),""))</f>
        <v/>
      </c>
      <c r="E463" s="5">
        <f>IF($A463="","",IFERROR(INDEX(FILTER('Client contacts'!$C$2:$C$500,('Client contacts'!$A$2:$A$500=$A463)*('Client contacts'!$H$2:$H$500="Y"),""),1),""))</f>
        <v/>
      </c>
      <c r="F463" s="5">
        <f>IF($A463="","",IFERROR(INDEX(FILTER('Client contacts'!$B$2:$B$500,('Client contacts'!$A$2:$A$500=$A463)*('Client contacts'!$G$2:$G$500="Y"),""),1),""))</f>
        <v/>
      </c>
      <c r="G463" s="5">
        <f>IF($A463="","",IFERROR(INDEX(FILTER('Client contacts'!$C$2:$C$500,('Client contacts'!$A$2:$A$500=$A463)*('Client contacts'!$G$2:$G$500="Y"),""),1),""))</f>
        <v/>
      </c>
      <c r="H463" s="5">
        <f>IF($A463="","",IFERROR(INDEX(FILTER('Client contacts'!$B$2:$B$500,('Client contacts'!$A$2:$A$500=$A463)*('Client contacts'!$G$2:$G$500="Y"),""),2),""))</f>
        <v/>
      </c>
      <c r="I463" s="5">
        <f>IF($A463="","",IFERROR(INDEX(FILTER('Client contacts'!$C$2:$C$500,('Client contacts'!$A$2:$A$500=$A463)*('Client contacts'!$G$2:$G$500="Y"),""),2),""))</f>
        <v/>
      </c>
      <c r="J463" s="8" t="n"/>
      <c r="K463" s="8" t="n"/>
      <c r="L463" s="8" t="n"/>
      <c r="M463" s="8" t="n"/>
      <c r="N463" s="8" t="n"/>
      <c r="O463" s="8" t="n"/>
      <c r="P463" s="8" t="n"/>
      <c r="Q463" s="8" t="n"/>
      <c r="R463" s="5">
        <f>IF($A463="","",IFERROR(INDEX(Companies!$I$2:$I$500,MATCH($A463,Companies!$A$2:$A$500,0)),""))</f>
        <v/>
      </c>
      <c r="S463" s="8" t="n"/>
      <c r="T463" s="8" t="n"/>
      <c r="U463" s="8" t="n"/>
      <c r="V463" s="8" t="n"/>
      <c r="W463" s="8" t="n"/>
    </row>
    <row r="464">
      <c r="C464" s="5">
        <f>IF($B464="","",TRIM(IF(INDEX('MOA role matrix'!$B$2:$D$13,1,MATCH($B464,'MOA role matrix'!$B$1:$D$1,0))="Fill","Project initiator, ","")IF(INDEX('MOA role matrix'!$B$2:$D$13,1,MATCH($B464,'MOA role matrix'!$B$1:$D$1,0))="If finance","Project initiator (if finance), ","")IF(INDEX('MOA role matrix'!$B$2:$D$13,1,MATCH($B464,'MOA role matrix'!$B$1:$D$1,0))="Auto","Project initiator (auto), ","")IF(INDEX('MOA role matrix'!$B$2:$D$13,2,MATCH($B464,'MOA role matrix'!$B$1:$D$1,0))="Fill","MOA signers (client), ","")IF(INDEX('MOA role matrix'!$B$2:$D$13,2,MATCH($B464,'MOA role matrix'!$B$1:$D$1,0))="If finance","MOA signers (client) (if finance), ","")IF(INDEX('MOA role matrix'!$B$2:$D$13,2,MATCH($B464,'MOA role matrix'!$B$1:$D$1,0))="Auto","MOA signers (client) (auto), ","")IF(INDEX('MOA role matrix'!$B$2:$D$13,3,MATCH($B464,'MOA role matrix'!$B$1:$D$1,0))="Fill","CFO / Head of Finance, ","")IF(INDEX('MOA role matrix'!$B$2:$D$13,3,MATCH($B464,'MOA role matrix'!$B$1:$D$1,0))="If finance","CFO / Head of Finance (if finance), ","")IF(INDEX('MOA role matrix'!$B$2:$D$13,3,MATCH($B464,'MOA role matrix'!$B$1:$D$1,0))="Auto","CFO / Head of Finance (auto), ","")IF(INDEX('MOA role matrix'!$B$2:$D$13,4,MATCH($B464,'MOA role matrix'!$B$1:$D$1,0))="Fill","CEO / COO / GM, ","")IF(INDEX('MOA role matrix'!$B$2:$D$13,4,MATCH($B464,'MOA role matrix'!$B$1:$D$1,0))="If finance","CEO / COO / GM (if finance), ","")IF(INDEX('MOA role matrix'!$B$2:$D$13,4,MATCH($B464,'MOA role matrix'!$B$1:$D$1,0))="Auto","CEO / COO / GM (auto), ","")IF(INDEX('MOA role matrix'!$B$2:$D$13,5,MATCH($B464,'MOA role matrix'!$B$1:$D$1,0))="Fill","Board member 1, ","")IF(INDEX('MOA role matrix'!$B$2:$D$13,5,MATCH($B464,'MOA role matrix'!$B$1:$D$1,0))="If finance","Board member 1 (if finance), ","")IF(INDEX('MOA role matrix'!$B$2:$D$13,5,MATCH($B464,'MOA role matrix'!$B$1:$D$1,0))="Auto","Board member 1 (auto), ","")IF(INDEX('MOA role matrix'!$B$2:$D$13,6,MATCH($B464,'MOA role matrix'!$B$1:$D$1,0))="Fill","Board member 2, ","")IF(INDEX('MOA role matrix'!$B$2:$D$13,6,MATCH($B464,'MOA role matrix'!$B$1:$D$1,0))="If finance","Board member 2 (if finance), ","")IF(INDEX('MOA role matrix'!$B$2:$D$13,6,MATCH($B464,'MOA role matrix'!$B$1:$D$1,0))="Auto","Board member 2 (auto), ","")IF(INDEX('MOA role matrix'!$B$2:$D$13,7,MATCH($B464,'MOA role matrix'!$B$1:$D$1,0))="Fill","LOA holder 1, ","")IF(INDEX('MOA role matrix'!$B$2:$D$13,7,MATCH($B464,'MOA role matrix'!$B$1:$D$1,0))="If finance","LOA holder 1 (if finance), ","")IF(INDEX('MOA role matrix'!$B$2:$D$13,7,MATCH($B464,'MOA role matrix'!$B$1:$D$1,0))="Auto","LOA holder 1 (auto), ","")IF(INDEX('MOA role matrix'!$B$2:$D$13,8,MATCH($B464,'MOA role matrix'!$B$1:$D$1,0))="Fill","LOA holder 2, ","")IF(INDEX('MOA role matrix'!$B$2:$D$13,8,MATCH($B464,'MOA role matrix'!$B$1:$D$1,0))="If finance","LOA holder 2 (if finance), ","")IF(INDEX('MOA role matrix'!$B$2:$D$13,8,MATCH($B464,'MOA role matrix'!$B$1:$D$1,0))="Auto","LOA holder 2 (auto), ","")IF(INDEX('MOA role matrix'!$B$2:$D$13,9,MATCH($B464,'MOA role matrix'!$B$1:$D$1,0))="Fill","Senior Manager CoSec, ","")IF(INDEX('MOA role matrix'!$B$2:$D$13,9,MATCH($B464,'MOA role matrix'!$B$1:$D$1,0))="If finance","Senior Manager CoSec (if finance), ","")IF(INDEX('MOA role matrix'!$B$2:$D$13,9,MATCH($B464,'MOA role matrix'!$B$1:$D$1,0))="Auto","Senior Manager CoSec (auto), ","")IF(INDEX('MOA role matrix'!$B$2:$D$13,10,MATCH($B464,'MOA role matrix'!$B$1:$D$1,0))="Fill","Division MOI managers, ","")IF(INDEX('MOA role matrix'!$B$2:$D$13,10,MATCH($B464,'MOA role matrix'!$B$1:$D$1,0))="If finance","Division MOI managers (if finance), ","")IF(INDEX('MOA role matrix'!$B$2:$D$13,10,MATCH($B464,'MOA role matrix'!$B$1:$D$1,0))="Auto","Division MOI managers (auto), ","")IF(INDEX('MOA role matrix'!$B$2:$D$13,11,MATCH($B464,'MOA role matrix'!$B$1:$D$1,0))="Fill","Ms Teh (bank), ","")IF(INDEX('MOA role matrix'!$B$2:$D$13,11,MATCH($B464,'MOA role matrix'!$B$1:$D$1,0))="If finance","Ms Teh (bank) (if finance), ","")IF(INDEX('MOA role matrix'!$B$2:$D$13,11,MATCH($B464,'MOA role matrix'!$B$1:$D$1,0))="Auto","Ms Teh (bank) (auto), ","")IF(INDEX('MOA role matrix'!$B$2:$D$13,12,MATCH($B464,'MOA role matrix'!$B$1:$D$1,0))="Fill","DLCM, ","")IF(INDEX('MOA role matrix'!$B$2:$D$13,12,MATCH($B464,'MOA role matrix'!$B$1:$D$1,0))="If finance","DLCM (if finance), ","")IF(INDEX('MOA role matrix'!$B$2:$D$13,12,MATCH($B464,'MOA role matrix'!$B$1:$D$1,0))="Auto","DLCM (auto), ","")))</f>
        <v/>
      </c>
      <c r="D464" s="5">
        <f>IF($A464="","",IFERROR(INDEX(FILTER('Client contacts'!$B$2:$B$500,('Client contacts'!$A$2:$A$500=$A464)*('Client contacts'!$H$2:$H$500="Y"),""),1),""))</f>
        <v/>
      </c>
      <c r="E464" s="5">
        <f>IF($A464="","",IFERROR(INDEX(FILTER('Client contacts'!$C$2:$C$500,('Client contacts'!$A$2:$A$500=$A464)*('Client contacts'!$H$2:$H$500="Y"),""),1),""))</f>
        <v/>
      </c>
      <c r="F464" s="5">
        <f>IF($A464="","",IFERROR(INDEX(FILTER('Client contacts'!$B$2:$B$500,('Client contacts'!$A$2:$A$500=$A464)*('Client contacts'!$G$2:$G$500="Y"),""),1),""))</f>
        <v/>
      </c>
      <c r="G464" s="5">
        <f>IF($A464="","",IFERROR(INDEX(FILTER('Client contacts'!$C$2:$C$500,('Client contacts'!$A$2:$A$500=$A464)*('Client contacts'!$G$2:$G$500="Y"),""),1),""))</f>
        <v/>
      </c>
      <c r="H464" s="5">
        <f>IF($A464="","",IFERROR(INDEX(FILTER('Client contacts'!$B$2:$B$500,('Client contacts'!$A$2:$A$500=$A464)*('Client contacts'!$G$2:$G$500="Y"),""),2),""))</f>
        <v/>
      </c>
      <c r="I464" s="5">
        <f>IF($A464="","",IFERROR(INDEX(FILTER('Client contacts'!$C$2:$C$500,('Client contacts'!$A$2:$A$500=$A464)*('Client contacts'!$G$2:$G$500="Y"),""),2),""))</f>
        <v/>
      </c>
      <c r="J464" s="8" t="n"/>
      <c r="K464" s="8" t="n"/>
      <c r="L464" s="8" t="n"/>
      <c r="M464" s="8" t="n"/>
      <c r="N464" s="8" t="n"/>
      <c r="O464" s="8" t="n"/>
      <c r="P464" s="8" t="n"/>
      <c r="Q464" s="8" t="n"/>
      <c r="R464" s="5">
        <f>IF($A464="","",IFERROR(INDEX(Companies!$I$2:$I$500,MATCH($A464,Companies!$A$2:$A$500,0)),""))</f>
        <v/>
      </c>
      <c r="S464" s="8" t="n"/>
      <c r="T464" s="8" t="n"/>
      <c r="U464" s="8" t="n"/>
      <c r="V464" s="8" t="n"/>
      <c r="W464" s="8" t="n"/>
    </row>
    <row r="465">
      <c r="C465" s="5">
        <f>IF($B465="","",TRIM(IF(INDEX('MOA role matrix'!$B$2:$D$13,1,MATCH($B465,'MOA role matrix'!$B$1:$D$1,0))="Fill","Project initiator, ","")IF(INDEX('MOA role matrix'!$B$2:$D$13,1,MATCH($B465,'MOA role matrix'!$B$1:$D$1,0))="If finance","Project initiator (if finance), ","")IF(INDEX('MOA role matrix'!$B$2:$D$13,1,MATCH($B465,'MOA role matrix'!$B$1:$D$1,0))="Auto","Project initiator (auto), ","")IF(INDEX('MOA role matrix'!$B$2:$D$13,2,MATCH($B465,'MOA role matrix'!$B$1:$D$1,0))="Fill","MOA signers (client), ","")IF(INDEX('MOA role matrix'!$B$2:$D$13,2,MATCH($B465,'MOA role matrix'!$B$1:$D$1,0))="If finance","MOA signers (client) (if finance), ","")IF(INDEX('MOA role matrix'!$B$2:$D$13,2,MATCH($B465,'MOA role matrix'!$B$1:$D$1,0))="Auto","MOA signers (client) (auto), ","")IF(INDEX('MOA role matrix'!$B$2:$D$13,3,MATCH($B465,'MOA role matrix'!$B$1:$D$1,0))="Fill","CFO / Head of Finance, ","")IF(INDEX('MOA role matrix'!$B$2:$D$13,3,MATCH($B465,'MOA role matrix'!$B$1:$D$1,0))="If finance","CFO / Head of Finance (if finance), ","")IF(INDEX('MOA role matrix'!$B$2:$D$13,3,MATCH($B465,'MOA role matrix'!$B$1:$D$1,0))="Auto","CFO / Head of Finance (auto), ","")IF(INDEX('MOA role matrix'!$B$2:$D$13,4,MATCH($B465,'MOA role matrix'!$B$1:$D$1,0))="Fill","CEO / COO / GM, ","")IF(INDEX('MOA role matrix'!$B$2:$D$13,4,MATCH($B465,'MOA role matrix'!$B$1:$D$1,0))="If finance","CEO / COO / GM (if finance), ","")IF(INDEX('MOA role matrix'!$B$2:$D$13,4,MATCH($B465,'MOA role matrix'!$B$1:$D$1,0))="Auto","CEO / COO / GM (auto), ","")IF(INDEX('MOA role matrix'!$B$2:$D$13,5,MATCH($B465,'MOA role matrix'!$B$1:$D$1,0))="Fill","Board member 1, ","")IF(INDEX('MOA role matrix'!$B$2:$D$13,5,MATCH($B465,'MOA role matrix'!$B$1:$D$1,0))="If finance","Board member 1 (if finance), ","")IF(INDEX('MOA role matrix'!$B$2:$D$13,5,MATCH($B465,'MOA role matrix'!$B$1:$D$1,0))="Auto","Board member 1 (auto), ","")IF(INDEX('MOA role matrix'!$B$2:$D$13,6,MATCH($B465,'MOA role matrix'!$B$1:$D$1,0))="Fill","Board member 2, ","")IF(INDEX('MOA role matrix'!$B$2:$D$13,6,MATCH($B465,'MOA role matrix'!$B$1:$D$1,0))="If finance","Board member 2 (if finance), ","")IF(INDEX('MOA role matrix'!$B$2:$D$13,6,MATCH($B465,'MOA role matrix'!$B$1:$D$1,0))="Auto","Board member 2 (auto), ","")IF(INDEX('MOA role matrix'!$B$2:$D$13,7,MATCH($B465,'MOA role matrix'!$B$1:$D$1,0))="Fill","LOA holder 1, ","")IF(INDEX('MOA role matrix'!$B$2:$D$13,7,MATCH($B465,'MOA role matrix'!$B$1:$D$1,0))="If finance","LOA holder 1 (if finance), ","")IF(INDEX('MOA role matrix'!$B$2:$D$13,7,MATCH($B465,'MOA role matrix'!$B$1:$D$1,0))="Auto","LOA holder 1 (auto), ","")IF(INDEX('MOA role matrix'!$B$2:$D$13,8,MATCH($B465,'MOA role matrix'!$B$1:$D$1,0))="Fill","LOA holder 2, ","")IF(INDEX('MOA role matrix'!$B$2:$D$13,8,MATCH($B465,'MOA role matrix'!$B$1:$D$1,0))="If finance","LOA holder 2 (if finance), ","")IF(INDEX('MOA role matrix'!$B$2:$D$13,8,MATCH($B465,'MOA role matrix'!$B$1:$D$1,0))="Auto","LOA holder 2 (auto), ","")IF(INDEX('MOA role matrix'!$B$2:$D$13,9,MATCH($B465,'MOA role matrix'!$B$1:$D$1,0))="Fill","Senior Manager CoSec, ","")IF(INDEX('MOA role matrix'!$B$2:$D$13,9,MATCH($B465,'MOA role matrix'!$B$1:$D$1,0))="If finance","Senior Manager CoSec (if finance), ","")IF(INDEX('MOA role matrix'!$B$2:$D$13,9,MATCH($B465,'MOA role matrix'!$B$1:$D$1,0))="Auto","Senior Manager CoSec (auto), ","")IF(INDEX('MOA role matrix'!$B$2:$D$13,10,MATCH($B465,'MOA role matrix'!$B$1:$D$1,0))="Fill","Division MOI managers, ","")IF(INDEX('MOA role matrix'!$B$2:$D$13,10,MATCH($B465,'MOA role matrix'!$B$1:$D$1,0))="If finance","Division MOI managers (if finance), ","")IF(INDEX('MOA role matrix'!$B$2:$D$13,10,MATCH($B465,'MOA role matrix'!$B$1:$D$1,0))="Auto","Division MOI managers (auto), ","")IF(INDEX('MOA role matrix'!$B$2:$D$13,11,MATCH($B465,'MOA role matrix'!$B$1:$D$1,0))="Fill","Ms Teh (bank), ","")IF(INDEX('MOA role matrix'!$B$2:$D$13,11,MATCH($B465,'MOA role matrix'!$B$1:$D$1,0))="If finance","Ms Teh (bank) (if finance), ","")IF(INDEX('MOA role matrix'!$B$2:$D$13,11,MATCH($B465,'MOA role matrix'!$B$1:$D$1,0))="Auto","Ms Teh (bank) (auto), ","")IF(INDEX('MOA role matrix'!$B$2:$D$13,12,MATCH($B465,'MOA role matrix'!$B$1:$D$1,0))="Fill","DLCM, ","")IF(INDEX('MOA role matrix'!$B$2:$D$13,12,MATCH($B465,'MOA role matrix'!$B$1:$D$1,0))="If finance","DLCM (if finance), ","")IF(INDEX('MOA role matrix'!$B$2:$D$13,12,MATCH($B465,'MOA role matrix'!$B$1:$D$1,0))="Auto","DLCM (auto), ","")))</f>
        <v/>
      </c>
      <c r="D465" s="5">
        <f>IF($A465="","",IFERROR(INDEX(FILTER('Client contacts'!$B$2:$B$500,('Client contacts'!$A$2:$A$500=$A465)*('Client contacts'!$H$2:$H$500="Y"),""),1),""))</f>
        <v/>
      </c>
      <c r="E465" s="5">
        <f>IF($A465="","",IFERROR(INDEX(FILTER('Client contacts'!$C$2:$C$500,('Client contacts'!$A$2:$A$500=$A465)*('Client contacts'!$H$2:$H$500="Y"),""),1),""))</f>
        <v/>
      </c>
      <c r="F465" s="5">
        <f>IF($A465="","",IFERROR(INDEX(FILTER('Client contacts'!$B$2:$B$500,('Client contacts'!$A$2:$A$500=$A465)*('Client contacts'!$G$2:$G$500="Y"),""),1),""))</f>
        <v/>
      </c>
      <c r="G465" s="5">
        <f>IF($A465="","",IFERROR(INDEX(FILTER('Client contacts'!$C$2:$C$500,('Client contacts'!$A$2:$A$500=$A465)*('Client contacts'!$G$2:$G$500="Y"),""),1),""))</f>
        <v/>
      </c>
      <c r="H465" s="5">
        <f>IF($A465="","",IFERROR(INDEX(FILTER('Client contacts'!$B$2:$B$500,('Client contacts'!$A$2:$A$500=$A465)*('Client contacts'!$G$2:$G$500="Y"),""),2),""))</f>
        <v/>
      </c>
      <c r="I465" s="5">
        <f>IF($A465="","",IFERROR(INDEX(FILTER('Client contacts'!$C$2:$C$500,('Client contacts'!$A$2:$A$500=$A465)*('Client contacts'!$G$2:$G$500="Y"),""),2),""))</f>
        <v/>
      </c>
      <c r="J465" s="8" t="n"/>
      <c r="K465" s="8" t="n"/>
      <c r="L465" s="8" t="n"/>
      <c r="M465" s="8" t="n"/>
      <c r="N465" s="8" t="n"/>
      <c r="O465" s="8" t="n"/>
      <c r="P465" s="8" t="n"/>
      <c r="Q465" s="8" t="n"/>
      <c r="R465" s="5">
        <f>IF($A465="","",IFERROR(INDEX(Companies!$I$2:$I$500,MATCH($A465,Companies!$A$2:$A$500,0)),""))</f>
        <v/>
      </c>
      <c r="S465" s="8" t="n"/>
      <c r="T465" s="8" t="n"/>
      <c r="U465" s="8" t="n"/>
      <c r="V465" s="8" t="n"/>
      <c r="W465" s="8" t="n"/>
    </row>
    <row r="466">
      <c r="C466" s="5">
        <f>IF($B466="","",TRIM(IF(INDEX('MOA role matrix'!$B$2:$D$13,1,MATCH($B466,'MOA role matrix'!$B$1:$D$1,0))="Fill","Project initiator, ","")IF(INDEX('MOA role matrix'!$B$2:$D$13,1,MATCH($B466,'MOA role matrix'!$B$1:$D$1,0))="If finance","Project initiator (if finance), ","")IF(INDEX('MOA role matrix'!$B$2:$D$13,1,MATCH($B466,'MOA role matrix'!$B$1:$D$1,0))="Auto","Project initiator (auto), ","")IF(INDEX('MOA role matrix'!$B$2:$D$13,2,MATCH($B466,'MOA role matrix'!$B$1:$D$1,0))="Fill","MOA signers (client), ","")IF(INDEX('MOA role matrix'!$B$2:$D$13,2,MATCH($B466,'MOA role matrix'!$B$1:$D$1,0))="If finance","MOA signers (client) (if finance), ","")IF(INDEX('MOA role matrix'!$B$2:$D$13,2,MATCH($B466,'MOA role matrix'!$B$1:$D$1,0))="Auto","MOA signers (client) (auto), ","")IF(INDEX('MOA role matrix'!$B$2:$D$13,3,MATCH($B466,'MOA role matrix'!$B$1:$D$1,0))="Fill","CFO / Head of Finance, ","")IF(INDEX('MOA role matrix'!$B$2:$D$13,3,MATCH($B466,'MOA role matrix'!$B$1:$D$1,0))="If finance","CFO / Head of Finance (if finance), ","")IF(INDEX('MOA role matrix'!$B$2:$D$13,3,MATCH($B466,'MOA role matrix'!$B$1:$D$1,0))="Auto","CFO / Head of Finance (auto), ","")IF(INDEX('MOA role matrix'!$B$2:$D$13,4,MATCH($B466,'MOA role matrix'!$B$1:$D$1,0))="Fill","CEO / COO / GM, ","")IF(INDEX('MOA role matrix'!$B$2:$D$13,4,MATCH($B466,'MOA role matrix'!$B$1:$D$1,0))="If finance","CEO / COO / GM (if finance), ","")IF(INDEX('MOA role matrix'!$B$2:$D$13,4,MATCH($B466,'MOA role matrix'!$B$1:$D$1,0))="Auto","CEO / COO / GM (auto), ","")IF(INDEX('MOA role matrix'!$B$2:$D$13,5,MATCH($B466,'MOA role matrix'!$B$1:$D$1,0))="Fill","Board member 1, ","")IF(INDEX('MOA role matrix'!$B$2:$D$13,5,MATCH($B466,'MOA role matrix'!$B$1:$D$1,0))="If finance","Board member 1 (if finance), ","")IF(INDEX('MOA role matrix'!$B$2:$D$13,5,MATCH($B466,'MOA role matrix'!$B$1:$D$1,0))="Auto","Board member 1 (auto), ","")IF(INDEX('MOA role matrix'!$B$2:$D$13,6,MATCH($B466,'MOA role matrix'!$B$1:$D$1,0))="Fill","Board member 2, ","")IF(INDEX('MOA role matrix'!$B$2:$D$13,6,MATCH($B466,'MOA role matrix'!$B$1:$D$1,0))="If finance","Board member 2 (if finance), ","")IF(INDEX('MOA role matrix'!$B$2:$D$13,6,MATCH($B466,'MOA role matrix'!$B$1:$D$1,0))="Auto","Board member 2 (auto), ","")IF(INDEX('MOA role matrix'!$B$2:$D$13,7,MATCH($B466,'MOA role matrix'!$B$1:$D$1,0))="Fill","LOA holder 1, ","")IF(INDEX('MOA role matrix'!$B$2:$D$13,7,MATCH($B466,'MOA role matrix'!$B$1:$D$1,0))="If finance","LOA holder 1 (if finance), ","")IF(INDEX('MOA role matrix'!$B$2:$D$13,7,MATCH($B466,'MOA role matrix'!$B$1:$D$1,0))="Auto","LOA holder 1 (auto), ","")IF(INDEX('MOA role matrix'!$B$2:$D$13,8,MATCH($B466,'MOA role matrix'!$B$1:$D$1,0))="Fill","LOA holder 2, ","")IF(INDEX('MOA role matrix'!$B$2:$D$13,8,MATCH($B466,'MOA role matrix'!$B$1:$D$1,0))="If finance","LOA holder 2 (if finance), ","")IF(INDEX('MOA role matrix'!$B$2:$D$13,8,MATCH($B466,'MOA role matrix'!$B$1:$D$1,0))="Auto","LOA holder 2 (auto), ","")IF(INDEX('MOA role matrix'!$B$2:$D$13,9,MATCH($B466,'MOA role matrix'!$B$1:$D$1,0))="Fill","Senior Manager CoSec, ","")IF(INDEX('MOA role matrix'!$B$2:$D$13,9,MATCH($B466,'MOA role matrix'!$B$1:$D$1,0))="If finance","Senior Manager CoSec (if finance), ","")IF(INDEX('MOA role matrix'!$B$2:$D$13,9,MATCH($B466,'MOA role matrix'!$B$1:$D$1,0))="Auto","Senior Manager CoSec (auto), ","")IF(INDEX('MOA role matrix'!$B$2:$D$13,10,MATCH($B466,'MOA role matrix'!$B$1:$D$1,0))="Fill","Division MOI managers, ","")IF(INDEX('MOA role matrix'!$B$2:$D$13,10,MATCH($B466,'MOA role matrix'!$B$1:$D$1,0))="If finance","Division MOI managers (if finance), ","")IF(INDEX('MOA role matrix'!$B$2:$D$13,10,MATCH($B466,'MOA role matrix'!$B$1:$D$1,0))="Auto","Division MOI managers (auto), ","")IF(INDEX('MOA role matrix'!$B$2:$D$13,11,MATCH($B466,'MOA role matrix'!$B$1:$D$1,0))="Fill","Ms Teh (bank), ","")IF(INDEX('MOA role matrix'!$B$2:$D$13,11,MATCH($B466,'MOA role matrix'!$B$1:$D$1,0))="If finance","Ms Teh (bank) (if finance), ","")IF(INDEX('MOA role matrix'!$B$2:$D$13,11,MATCH($B466,'MOA role matrix'!$B$1:$D$1,0))="Auto","Ms Teh (bank) (auto), ","")IF(INDEX('MOA role matrix'!$B$2:$D$13,12,MATCH($B466,'MOA role matrix'!$B$1:$D$1,0))="Fill","DLCM, ","")IF(INDEX('MOA role matrix'!$B$2:$D$13,12,MATCH($B466,'MOA role matrix'!$B$1:$D$1,0))="If finance","DLCM (if finance), ","")IF(INDEX('MOA role matrix'!$B$2:$D$13,12,MATCH($B466,'MOA role matrix'!$B$1:$D$1,0))="Auto","DLCM (auto), ","")))</f>
        <v/>
      </c>
      <c r="D466" s="5">
        <f>IF($A466="","",IFERROR(INDEX(FILTER('Client contacts'!$B$2:$B$500,('Client contacts'!$A$2:$A$500=$A466)*('Client contacts'!$H$2:$H$500="Y"),""),1),""))</f>
        <v/>
      </c>
      <c r="E466" s="5">
        <f>IF($A466="","",IFERROR(INDEX(FILTER('Client contacts'!$C$2:$C$500,('Client contacts'!$A$2:$A$500=$A466)*('Client contacts'!$H$2:$H$500="Y"),""),1),""))</f>
        <v/>
      </c>
      <c r="F466" s="5">
        <f>IF($A466="","",IFERROR(INDEX(FILTER('Client contacts'!$B$2:$B$500,('Client contacts'!$A$2:$A$500=$A466)*('Client contacts'!$G$2:$G$500="Y"),""),1),""))</f>
        <v/>
      </c>
      <c r="G466" s="5">
        <f>IF($A466="","",IFERROR(INDEX(FILTER('Client contacts'!$C$2:$C$500,('Client contacts'!$A$2:$A$500=$A466)*('Client contacts'!$G$2:$G$500="Y"),""),1),""))</f>
        <v/>
      </c>
      <c r="H466" s="5">
        <f>IF($A466="","",IFERROR(INDEX(FILTER('Client contacts'!$B$2:$B$500,('Client contacts'!$A$2:$A$500=$A466)*('Client contacts'!$G$2:$G$500="Y"),""),2),""))</f>
        <v/>
      </c>
      <c r="I466" s="5">
        <f>IF($A466="","",IFERROR(INDEX(FILTER('Client contacts'!$C$2:$C$500,('Client contacts'!$A$2:$A$500=$A466)*('Client contacts'!$G$2:$G$500="Y"),""),2),""))</f>
        <v/>
      </c>
      <c r="J466" s="8" t="n"/>
      <c r="K466" s="8" t="n"/>
      <c r="L466" s="8" t="n"/>
      <c r="M466" s="8" t="n"/>
      <c r="N466" s="8" t="n"/>
      <c r="O466" s="8" t="n"/>
      <c r="P466" s="8" t="n"/>
      <c r="Q466" s="8" t="n"/>
      <c r="R466" s="5">
        <f>IF($A466="","",IFERROR(INDEX(Companies!$I$2:$I$500,MATCH($A466,Companies!$A$2:$A$500,0)),""))</f>
        <v/>
      </c>
      <c r="S466" s="8" t="n"/>
      <c r="T466" s="8" t="n"/>
      <c r="U466" s="8" t="n"/>
      <c r="V466" s="8" t="n"/>
      <c r="W466" s="8" t="n"/>
    </row>
    <row r="467">
      <c r="C467" s="5">
        <f>IF($B467="","",TRIM(IF(INDEX('MOA role matrix'!$B$2:$D$13,1,MATCH($B467,'MOA role matrix'!$B$1:$D$1,0))="Fill","Project initiator, ","")IF(INDEX('MOA role matrix'!$B$2:$D$13,1,MATCH($B467,'MOA role matrix'!$B$1:$D$1,0))="If finance","Project initiator (if finance), ","")IF(INDEX('MOA role matrix'!$B$2:$D$13,1,MATCH($B467,'MOA role matrix'!$B$1:$D$1,0))="Auto","Project initiator (auto), ","")IF(INDEX('MOA role matrix'!$B$2:$D$13,2,MATCH($B467,'MOA role matrix'!$B$1:$D$1,0))="Fill","MOA signers (client), ","")IF(INDEX('MOA role matrix'!$B$2:$D$13,2,MATCH($B467,'MOA role matrix'!$B$1:$D$1,0))="If finance","MOA signers (client) (if finance), ","")IF(INDEX('MOA role matrix'!$B$2:$D$13,2,MATCH($B467,'MOA role matrix'!$B$1:$D$1,0))="Auto","MOA signers (client) (auto), ","")IF(INDEX('MOA role matrix'!$B$2:$D$13,3,MATCH($B467,'MOA role matrix'!$B$1:$D$1,0))="Fill","CFO / Head of Finance, ","")IF(INDEX('MOA role matrix'!$B$2:$D$13,3,MATCH($B467,'MOA role matrix'!$B$1:$D$1,0))="If finance","CFO / Head of Finance (if finance), ","")IF(INDEX('MOA role matrix'!$B$2:$D$13,3,MATCH($B467,'MOA role matrix'!$B$1:$D$1,0))="Auto","CFO / Head of Finance (auto), ","")IF(INDEX('MOA role matrix'!$B$2:$D$13,4,MATCH($B467,'MOA role matrix'!$B$1:$D$1,0))="Fill","CEO / COO / GM, ","")IF(INDEX('MOA role matrix'!$B$2:$D$13,4,MATCH($B467,'MOA role matrix'!$B$1:$D$1,0))="If finance","CEO / COO / GM (if finance), ","")IF(INDEX('MOA role matrix'!$B$2:$D$13,4,MATCH($B467,'MOA role matrix'!$B$1:$D$1,0))="Auto","CEO / COO / GM (auto), ","")IF(INDEX('MOA role matrix'!$B$2:$D$13,5,MATCH($B467,'MOA role matrix'!$B$1:$D$1,0))="Fill","Board member 1, ","")IF(INDEX('MOA role matrix'!$B$2:$D$13,5,MATCH($B467,'MOA role matrix'!$B$1:$D$1,0))="If finance","Board member 1 (if finance), ","")IF(INDEX('MOA role matrix'!$B$2:$D$13,5,MATCH($B467,'MOA role matrix'!$B$1:$D$1,0))="Auto","Board member 1 (auto), ","")IF(INDEX('MOA role matrix'!$B$2:$D$13,6,MATCH($B467,'MOA role matrix'!$B$1:$D$1,0))="Fill","Board member 2, ","")IF(INDEX('MOA role matrix'!$B$2:$D$13,6,MATCH($B467,'MOA role matrix'!$B$1:$D$1,0))="If finance","Board member 2 (if finance), ","")IF(INDEX('MOA role matrix'!$B$2:$D$13,6,MATCH($B467,'MOA role matrix'!$B$1:$D$1,0))="Auto","Board member 2 (auto), ","")IF(INDEX('MOA role matrix'!$B$2:$D$13,7,MATCH($B467,'MOA role matrix'!$B$1:$D$1,0))="Fill","LOA holder 1, ","")IF(INDEX('MOA role matrix'!$B$2:$D$13,7,MATCH($B467,'MOA role matrix'!$B$1:$D$1,0))="If finance","LOA holder 1 (if finance), ","")IF(INDEX('MOA role matrix'!$B$2:$D$13,7,MATCH($B467,'MOA role matrix'!$B$1:$D$1,0))="Auto","LOA holder 1 (auto), ","")IF(INDEX('MOA role matrix'!$B$2:$D$13,8,MATCH($B467,'MOA role matrix'!$B$1:$D$1,0))="Fill","LOA holder 2, ","")IF(INDEX('MOA role matrix'!$B$2:$D$13,8,MATCH($B467,'MOA role matrix'!$B$1:$D$1,0))="If finance","LOA holder 2 (if finance), ","")IF(INDEX('MOA role matrix'!$B$2:$D$13,8,MATCH($B467,'MOA role matrix'!$B$1:$D$1,0))="Auto","LOA holder 2 (auto), ","")IF(INDEX('MOA role matrix'!$B$2:$D$13,9,MATCH($B467,'MOA role matrix'!$B$1:$D$1,0))="Fill","Senior Manager CoSec, ","")IF(INDEX('MOA role matrix'!$B$2:$D$13,9,MATCH($B467,'MOA role matrix'!$B$1:$D$1,0))="If finance","Senior Manager CoSec (if finance), ","")IF(INDEX('MOA role matrix'!$B$2:$D$13,9,MATCH($B467,'MOA role matrix'!$B$1:$D$1,0))="Auto","Senior Manager CoSec (auto), ","")IF(INDEX('MOA role matrix'!$B$2:$D$13,10,MATCH($B467,'MOA role matrix'!$B$1:$D$1,0))="Fill","Division MOI managers, ","")IF(INDEX('MOA role matrix'!$B$2:$D$13,10,MATCH($B467,'MOA role matrix'!$B$1:$D$1,0))="If finance","Division MOI managers (if finance), ","")IF(INDEX('MOA role matrix'!$B$2:$D$13,10,MATCH($B467,'MOA role matrix'!$B$1:$D$1,0))="Auto","Division MOI managers (auto), ","")IF(INDEX('MOA role matrix'!$B$2:$D$13,11,MATCH($B467,'MOA role matrix'!$B$1:$D$1,0))="Fill","Ms Teh (bank), ","")IF(INDEX('MOA role matrix'!$B$2:$D$13,11,MATCH($B467,'MOA role matrix'!$B$1:$D$1,0))="If finance","Ms Teh (bank) (if finance), ","")IF(INDEX('MOA role matrix'!$B$2:$D$13,11,MATCH($B467,'MOA role matrix'!$B$1:$D$1,0))="Auto","Ms Teh (bank) (auto), ","")IF(INDEX('MOA role matrix'!$B$2:$D$13,12,MATCH($B467,'MOA role matrix'!$B$1:$D$1,0))="Fill","DLCM, ","")IF(INDEX('MOA role matrix'!$B$2:$D$13,12,MATCH($B467,'MOA role matrix'!$B$1:$D$1,0))="If finance","DLCM (if finance), ","")IF(INDEX('MOA role matrix'!$B$2:$D$13,12,MATCH($B467,'MOA role matrix'!$B$1:$D$1,0))="Auto","DLCM (auto), ","")))</f>
        <v/>
      </c>
      <c r="D467" s="5">
        <f>IF($A467="","",IFERROR(INDEX(FILTER('Client contacts'!$B$2:$B$500,('Client contacts'!$A$2:$A$500=$A467)*('Client contacts'!$H$2:$H$500="Y"),""),1),""))</f>
        <v/>
      </c>
      <c r="E467" s="5">
        <f>IF($A467="","",IFERROR(INDEX(FILTER('Client contacts'!$C$2:$C$500,('Client contacts'!$A$2:$A$500=$A467)*('Client contacts'!$H$2:$H$500="Y"),""),1),""))</f>
        <v/>
      </c>
      <c r="F467" s="5">
        <f>IF($A467="","",IFERROR(INDEX(FILTER('Client contacts'!$B$2:$B$500,('Client contacts'!$A$2:$A$500=$A467)*('Client contacts'!$G$2:$G$500="Y"),""),1),""))</f>
        <v/>
      </c>
      <c r="G467" s="5">
        <f>IF($A467="","",IFERROR(INDEX(FILTER('Client contacts'!$C$2:$C$500,('Client contacts'!$A$2:$A$500=$A467)*('Client contacts'!$G$2:$G$500="Y"),""),1),""))</f>
        <v/>
      </c>
      <c r="H467" s="5">
        <f>IF($A467="","",IFERROR(INDEX(FILTER('Client contacts'!$B$2:$B$500,('Client contacts'!$A$2:$A$500=$A467)*('Client contacts'!$G$2:$G$500="Y"),""),2),""))</f>
        <v/>
      </c>
      <c r="I467" s="5">
        <f>IF($A467="","",IFERROR(INDEX(FILTER('Client contacts'!$C$2:$C$500,('Client contacts'!$A$2:$A$500=$A467)*('Client contacts'!$G$2:$G$500="Y"),""),2),""))</f>
        <v/>
      </c>
      <c r="J467" s="8" t="n"/>
      <c r="K467" s="8" t="n"/>
      <c r="L467" s="8" t="n"/>
      <c r="M467" s="8" t="n"/>
      <c r="N467" s="8" t="n"/>
      <c r="O467" s="8" t="n"/>
      <c r="P467" s="8" t="n"/>
      <c r="Q467" s="8" t="n"/>
      <c r="R467" s="5">
        <f>IF($A467="","",IFERROR(INDEX(Companies!$I$2:$I$500,MATCH($A467,Companies!$A$2:$A$500,0)),""))</f>
        <v/>
      </c>
      <c r="S467" s="8" t="n"/>
      <c r="T467" s="8" t="n"/>
      <c r="U467" s="8" t="n"/>
      <c r="V467" s="8" t="n"/>
      <c r="W467" s="8" t="n"/>
    </row>
    <row r="468">
      <c r="C468" s="5">
        <f>IF($B468="","",TRIM(IF(INDEX('MOA role matrix'!$B$2:$D$13,1,MATCH($B468,'MOA role matrix'!$B$1:$D$1,0))="Fill","Project initiator, ","")IF(INDEX('MOA role matrix'!$B$2:$D$13,1,MATCH($B468,'MOA role matrix'!$B$1:$D$1,0))="If finance","Project initiator (if finance), ","")IF(INDEX('MOA role matrix'!$B$2:$D$13,1,MATCH($B468,'MOA role matrix'!$B$1:$D$1,0))="Auto","Project initiator (auto), ","")IF(INDEX('MOA role matrix'!$B$2:$D$13,2,MATCH($B468,'MOA role matrix'!$B$1:$D$1,0))="Fill","MOA signers (client), ","")IF(INDEX('MOA role matrix'!$B$2:$D$13,2,MATCH($B468,'MOA role matrix'!$B$1:$D$1,0))="If finance","MOA signers (client) (if finance), ","")IF(INDEX('MOA role matrix'!$B$2:$D$13,2,MATCH($B468,'MOA role matrix'!$B$1:$D$1,0))="Auto","MOA signers (client) (auto), ","")IF(INDEX('MOA role matrix'!$B$2:$D$13,3,MATCH($B468,'MOA role matrix'!$B$1:$D$1,0))="Fill","CFO / Head of Finance, ","")IF(INDEX('MOA role matrix'!$B$2:$D$13,3,MATCH($B468,'MOA role matrix'!$B$1:$D$1,0))="If finance","CFO / Head of Finance (if finance), ","")IF(INDEX('MOA role matrix'!$B$2:$D$13,3,MATCH($B468,'MOA role matrix'!$B$1:$D$1,0))="Auto","CFO / Head of Finance (auto), ","")IF(INDEX('MOA role matrix'!$B$2:$D$13,4,MATCH($B468,'MOA role matrix'!$B$1:$D$1,0))="Fill","CEO / COO / GM, ","")IF(INDEX('MOA role matrix'!$B$2:$D$13,4,MATCH($B468,'MOA role matrix'!$B$1:$D$1,0))="If finance","CEO / COO / GM (if finance), ","")IF(INDEX('MOA role matrix'!$B$2:$D$13,4,MATCH($B468,'MOA role matrix'!$B$1:$D$1,0))="Auto","CEO / COO / GM (auto), ","")IF(INDEX('MOA role matrix'!$B$2:$D$13,5,MATCH($B468,'MOA role matrix'!$B$1:$D$1,0))="Fill","Board member 1, ","")IF(INDEX('MOA role matrix'!$B$2:$D$13,5,MATCH($B468,'MOA role matrix'!$B$1:$D$1,0))="If finance","Board member 1 (if finance), ","")IF(INDEX('MOA role matrix'!$B$2:$D$13,5,MATCH($B468,'MOA role matrix'!$B$1:$D$1,0))="Auto","Board member 1 (auto), ","")IF(INDEX('MOA role matrix'!$B$2:$D$13,6,MATCH($B468,'MOA role matrix'!$B$1:$D$1,0))="Fill","Board member 2, ","")IF(INDEX('MOA role matrix'!$B$2:$D$13,6,MATCH($B468,'MOA role matrix'!$B$1:$D$1,0))="If finance","Board member 2 (if finance), ","")IF(INDEX('MOA role matrix'!$B$2:$D$13,6,MATCH($B468,'MOA role matrix'!$B$1:$D$1,0))="Auto","Board member 2 (auto), ","")IF(INDEX('MOA role matrix'!$B$2:$D$13,7,MATCH($B468,'MOA role matrix'!$B$1:$D$1,0))="Fill","LOA holder 1, ","")IF(INDEX('MOA role matrix'!$B$2:$D$13,7,MATCH($B468,'MOA role matrix'!$B$1:$D$1,0))="If finance","LOA holder 1 (if finance), ","")IF(INDEX('MOA role matrix'!$B$2:$D$13,7,MATCH($B468,'MOA role matrix'!$B$1:$D$1,0))="Auto","LOA holder 1 (auto), ","")IF(INDEX('MOA role matrix'!$B$2:$D$13,8,MATCH($B468,'MOA role matrix'!$B$1:$D$1,0))="Fill","LOA holder 2, ","")IF(INDEX('MOA role matrix'!$B$2:$D$13,8,MATCH($B468,'MOA role matrix'!$B$1:$D$1,0))="If finance","LOA holder 2 (if finance), ","")IF(INDEX('MOA role matrix'!$B$2:$D$13,8,MATCH($B468,'MOA role matrix'!$B$1:$D$1,0))="Auto","LOA holder 2 (auto), ","")IF(INDEX('MOA role matrix'!$B$2:$D$13,9,MATCH($B468,'MOA role matrix'!$B$1:$D$1,0))="Fill","Senior Manager CoSec, ","")IF(INDEX('MOA role matrix'!$B$2:$D$13,9,MATCH($B468,'MOA role matrix'!$B$1:$D$1,0))="If finance","Senior Manager CoSec (if finance), ","")IF(INDEX('MOA role matrix'!$B$2:$D$13,9,MATCH($B468,'MOA role matrix'!$B$1:$D$1,0))="Auto","Senior Manager CoSec (auto), ","")IF(INDEX('MOA role matrix'!$B$2:$D$13,10,MATCH($B468,'MOA role matrix'!$B$1:$D$1,0))="Fill","Division MOI managers, ","")IF(INDEX('MOA role matrix'!$B$2:$D$13,10,MATCH($B468,'MOA role matrix'!$B$1:$D$1,0))="If finance","Division MOI managers (if finance), ","")IF(INDEX('MOA role matrix'!$B$2:$D$13,10,MATCH($B468,'MOA role matrix'!$B$1:$D$1,0))="Auto","Division MOI managers (auto), ","")IF(INDEX('MOA role matrix'!$B$2:$D$13,11,MATCH($B468,'MOA role matrix'!$B$1:$D$1,0))="Fill","Ms Teh (bank), ","")IF(INDEX('MOA role matrix'!$B$2:$D$13,11,MATCH($B468,'MOA role matrix'!$B$1:$D$1,0))="If finance","Ms Teh (bank) (if finance), ","")IF(INDEX('MOA role matrix'!$B$2:$D$13,11,MATCH($B468,'MOA role matrix'!$B$1:$D$1,0))="Auto","Ms Teh (bank) (auto), ","")IF(INDEX('MOA role matrix'!$B$2:$D$13,12,MATCH($B468,'MOA role matrix'!$B$1:$D$1,0))="Fill","DLCM, ","")IF(INDEX('MOA role matrix'!$B$2:$D$13,12,MATCH($B468,'MOA role matrix'!$B$1:$D$1,0))="If finance","DLCM (if finance), ","")IF(INDEX('MOA role matrix'!$B$2:$D$13,12,MATCH($B468,'MOA role matrix'!$B$1:$D$1,0))="Auto","DLCM (auto), ","")))</f>
        <v/>
      </c>
      <c r="D468" s="5">
        <f>IF($A468="","",IFERROR(INDEX(FILTER('Client contacts'!$B$2:$B$500,('Client contacts'!$A$2:$A$500=$A468)*('Client contacts'!$H$2:$H$500="Y"),""),1),""))</f>
        <v/>
      </c>
      <c r="E468" s="5">
        <f>IF($A468="","",IFERROR(INDEX(FILTER('Client contacts'!$C$2:$C$500,('Client contacts'!$A$2:$A$500=$A468)*('Client contacts'!$H$2:$H$500="Y"),""),1),""))</f>
        <v/>
      </c>
      <c r="F468" s="5">
        <f>IF($A468="","",IFERROR(INDEX(FILTER('Client contacts'!$B$2:$B$500,('Client contacts'!$A$2:$A$500=$A468)*('Client contacts'!$G$2:$G$500="Y"),""),1),""))</f>
        <v/>
      </c>
      <c r="G468" s="5">
        <f>IF($A468="","",IFERROR(INDEX(FILTER('Client contacts'!$C$2:$C$500,('Client contacts'!$A$2:$A$500=$A468)*('Client contacts'!$G$2:$G$500="Y"),""),1),""))</f>
        <v/>
      </c>
      <c r="H468" s="5">
        <f>IF($A468="","",IFERROR(INDEX(FILTER('Client contacts'!$B$2:$B$500,('Client contacts'!$A$2:$A$500=$A468)*('Client contacts'!$G$2:$G$500="Y"),""),2),""))</f>
        <v/>
      </c>
      <c r="I468" s="5">
        <f>IF($A468="","",IFERROR(INDEX(FILTER('Client contacts'!$C$2:$C$500,('Client contacts'!$A$2:$A$500=$A468)*('Client contacts'!$G$2:$G$500="Y"),""),2),""))</f>
        <v/>
      </c>
      <c r="J468" s="8" t="n"/>
      <c r="K468" s="8" t="n"/>
      <c r="L468" s="8" t="n"/>
      <c r="M468" s="8" t="n"/>
      <c r="N468" s="8" t="n"/>
      <c r="O468" s="8" t="n"/>
      <c r="P468" s="8" t="n"/>
      <c r="Q468" s="8" t="n"/>
      <c r="R468" s="5">
        <f>IF($A468="","",IFERROR(INDEX(Companies!$I$2:$I$500,MATCH($A468,Companies!$A$2:$A$500,0)),""))</f>
        <v/>
      </c>
      <c r="S468" s="8" t="n"/>
      <c r="T468" s="8" t="n"/>
      <c r="U468" s="8" t="n"/>
      <c r="V468" s="8" t="n"/>
      <c r="W468" s="8" t="n"/>
    </row>
    <row r="469">
      <c r="C469" s="5">
        <f>IF($B469="","",TRIM(IF(INDEX('MOA role matrix'!$B$2:$D$13,1,MATCH($B469,'MOA role matrix'!$B$1:$D$1,0))="Fill","Project initiator, ","")IF(INDEX('MOA role matrix'!$B$2:$D$13,1,MATCH($B469,'MOA role matrix'!$B$1:$D$1,0))="If finance","Project initiator (if finance), ","")IF(INDEX('MOA role matrix'!$B$2:$D$13,1,MATCH($B469,'MOA role matrix'!$B$1:$D$1,0))="Auto","Project initiator (auto), ","")IF(INDEX('MOA role matrix'!$B$2:$D$13,2,MATCH($B469,'MOA role matrix'!$B$1:$D$1,0))="Fill","MOA signers (client), ","")IF(INDEX('MOA role matrix'!$B$2:$D$13,2,MATCH($B469,'MOA role matrix'!$B$1:$D$1,0))="If finance","MOA signers (client) (if finance), ","")IF(INDEX('MOA role matrix'!$B$2:$D$13,2,MATCH($B469,'MOA role matrix'!$B$1:$D$1,0))="Auto","MOA signers (client) (auto), ","")IF(INDEX('MOA role matrix'!$B$2:$D$13,3,MATCH($B469,'MOA role matrix'!$B$1:$D$1,0))="Fill","CFO / Head of Finance, ","")IF(INDEX('MOA role matrix'!$B$2:$D$13,3,MATCH($B469,'MOA role matrix'!$B$1:$D$1,0))="If finance","CFO / Head of Finance (if finance), ","")IF(INDEX('MOA role matrix'!$B$2:$D$13,3,MATCH($B469,'MOA role matrix'!$B$1:$D$1,0))="Auto","CFO / Head of Finance (auto), ","")IF(INDEX('MOA role matrix'!$B$2:$D$13,4,MATCH($B469,'MOA role matrix'!$B$1:$D$1,0))="Fill","CEO / COO / GM, ","")IF(INDEX('MOA role matrix'!$B$2:$D$13,4,MATCH($B469,'MOA role matrix'!$B$1:$D$1,0))="If finance","CEO / COO / GM (if finance), ","")IF(INDEX('MOA role matrix'!$B$2:$D$13,4,MATCH($B469,'MOA role matrix'!$B$1:$D$1,0))="Auto","CEO / COO / GM (auto), ","")IF(INDEX('MOA role matrix'!$B$2:$D$13,5,MATCH($B469,'MOA role matrix'!$B$1:$D$1,0))="Fill","Board member 1, ","")IF(INDEX('MOA role matrix'!$B$2:$D$13,5,MATCH($B469,'MOA role matrix'!$B$1:$D$1,0))="If finance","Board member 1 (if finance), ","")IF(INDEX('MOA role matrix'!$B$2:$D$13,5,MATCH($B469,'MOA role matrix'!$B$1:$D$1,0))="Auto","Board member 1 (auto), ","")IF(INDEX('MOA role matrix'!$B$2:$D$13,6,MATCH($B469,'MOA role matrix'!$B$1:$D$1,0))="Fill","Board member 2, ","")IF(INDEX('MOA role matrix'!$B$2:$D$13,6,MATCH($B469,'MOA role matrix'!$B$1:$D$1,0))="If finance","Board member 2 (if finance), ","")IF(INDEX('MOA role matrix'!$B$2:$D$13,6,MATCH($B469,'MOA role matrix'!$B$1:$D$1,0))="Auto","Board member 2 (auto), ","")IF(INDEX('MOA role matrix'!$B$2:$D$13,7,MATCH($B469,'MOA role matrix'!$B$1:$D$1,0))="Fill","LOA holder 1, ","")IF(INDEX('MOA role matrix'!$B$2:$D$13,7,MATCH($B469,'MOA role matrix'!$B$1:$D$1,0))="If finance","LOA holder 1 (if finance), ","")IF(INDEX('MOA role matrix'!$B$2:$D$13,7,MATCH($B469,'MOA role matrix'!$B$1:$D$1,0))="Auto","LOA holder 1 (auto), ","")IF(INDEX('MOA role matrix'!$B$2:$D$13,8,MATCH($B469,'MOA role matrix'!$B$1:$D$1,0))="Fill","LOA holder 2, ","")IF(INDEX('MOA role matrix'!$B$2:$D$13,8,MATCH($B469,'MOA role matrix'!$B$1:$D$1,0))="If finance","LOA holder 2 (if finance), ","")IF(INDEX('MOA role matrix'!$B$2:$D$13,8,MATCH($B469,'MOA role matrix'!$B$1:$D$1,0))="Auto","LOA holder 2 (auto), ","")IF(INDEX('MOA role matrix'!$B$2:$D$13,9,MATCH($B469,'MOA role matrix'!$B$1:$D$1,0))="Fill","Senior Manager CoSec, ","")IF(INDEX('MOA role matrix'!$B$2:$D$13,9,MATCH($B469,'MOA role matrix'!$B$1:$D$1,0))="If finance","Senior Manager CoSec (if finance), ","")IF(INDEX('MOA role matrix'!$B$2:$D$13,9,MATCH($B469,'MOA role matrix'!$B$1:$D$1,0))="Auto","Senior Manager CoSec (auto), ","")IF(INDEX('MOA role matrix'!$B$2:$D$13,10,MATCH($B469,'MOA role matrix'!$B$1:$D$1,0))="Fill","Division MOI managers, ","")IF(INDEX('MOA role matrix'!$B$2:$D$13,10,MATCH($B469,'MOA role matrix'!$B$1:$D$1,0))="If finance","Division MOI managers (if finance), ","")IF(INDEX('MOA role matrix'!$B$2:$D$13,10,MATCH($B469,'MOA role matrix'!$B$1:$D$1,0))="Auto","Division MOI managers (auto), ","")IF(INDEX('MOA role matrix'!$B$2:$D$13,11,MATCH($B469,'MOA role matrix'!$B$1:$D$1,0))="Fill","Ms Teh (bank), ","")IF(INDEX('MOA role matrix'!$B$2:$D$13,11,MATCH($B469,'MOA role matrix'!$B$1:$D$1,0))="If finance","Ms Teh (bank) (if finance), ","")IF(INDEX('MOA role matrix'!$B$2:$D$13,11,MATCH($B469,'MOA role matrix'!$B$1:$D$1,0))="Auto","Ms Teh (bank) (auto), ","")IF(INDEX('MOA role matrix'!$B$2:$D$13,12,MATCH($B469,'MOA role matrix'!$B$1:$D$1,0))="Fill","DLCM, ","")IF(INDEX('MOA role matrix'!$B$2:$D$13,12,MATCH($B469,'MOA role matrix'!$B$1:$D$1,0))="If finance","DLCM (if finance), ","")IF(INDEX('MOA role matrix'!$B$2:$D$13,12,MATCH($B469,'MOA role matrix'!$B$1:$D$1,0))="Auto","DLCM (auto), ","")))</f>
        <v/>
      </c>
      <c r="D469" s="5">
        <f>IF($A469="","",IFERROR(INDEX(FILTER('Client contacts'!$B$2:$B$500,('Client contacts'!$A$2:$A$500=$A469)*('Client contacts'!$H$2:$H$500="Y"),""),1),""))</f>
        <v/>
      </c>
      <c r="E469" s="5">
        <f>IF($A469="","",IFERROR(INDEX(FILTER('Client contacts'!$C$2:$C$500,('Client contacts'!$A$2:$A$500=$A469)*('Client contacts'!$H$2:$H$500="Y"),""),1),""))</f>
        <v/>
      </c>
      <c r="F469" s="5">
        <f>IF($A469="","",IFERROR(INDEX(FILTER('Client contacts'!$B$2:$B$500,('Client contacts'!$A$2:$A$500=$A469)*('Client contacts'!$G$2:$G$500="Y"),""),1),""))</f>
        <v/>
      </c>
      <c r="G469" s="5">
        <f>IF($A469="","",IFERROR(INDEX(FILTER('Client contacts'!$C$2:$C$500,('Client contacts'!$A$2:$A$500=$A469)*('Client contacts'!$G$2:$G$500="Y"),""),1),""))</f>
        <v/>
      </c>
      <c r="H469" s="5">
        <f>IF($A469="","",IFERROR(INDEX(FILTER('Client contacts'!$B$2:$B$500,('Client contacts'!$A$2:$A$500=$A469)*('Client contacts'!$G$2:$G$500="Y"),""),2),""))</f>
        <v/>
      </c>
      <c r="I469" s="5">
        <f>IF($A469="","",IFERROR(INDEX(FILTER('Client contacts'!$C$2:$C$500,('Client contacts'!$A$2:$A$500=$A469)*('Client contacts'!$G$2:$G$500="Y"),""),2),""))</f>
        <v/>
      </c>
      <c r="J469" s="8" t="n"/>
      <c r="K469" s="8" t="n"/>
      <c r="L469" s="8" t="n"/>
      <c r="M469" s="8" t="n"/>
      <c r="N469" s="8" t="n"/>
      <c r="O469" s="8" t="n"/>
      <c r="P469" s="8" t="n"/>
      <c r="Q469" s="8" t="n"/>
      <c r="R469" s="5">
        <f>IF($A469="","",IFERROR(INDEX(Companies!$I$2:$I$500,MATCH($A469,Companies!$A$2:$A$500,0)),""))</f>
        <v/>
      </c>
      <c r="S469" s="8" t="n"/>
      <c r="T469" s="8" t="n"/>
      <c r="U469" s="8" t="n"/>
      <c r="V469" s="8" t="n"/>
      <c r="W469" s="8" t="n"/>
    </row>
    <row r="470">
      <c r="C470" s="5">
        <f>IF($B470="","",TRIM(IF(INDEX('MOA role matrix'!$B$2:$D$13,1,MATCH($B470,'MOA role matrix'!$B$1:$D$1,0))="Fill","Project initiator, ","")IF(INDEX('MOA role matrix'!$B$2:$D$13,1,MATCH($B470,'MOA role matrix'!$B$1:$D$1,0))="If finance","Project initiator (if finance), ","")IF(INDEX('MOA role matrix'!$B$2:$D$13,1,MATCH($B470,'MOA role matrix'!$B$1:$D$1,0))="Auto","Project initiator (auto), ","")IF(INDEX('MOA role matrix'!$B$2:$D$13,2,MATCH($B470,'MOA role matrix'!$B$1:$D$1,0))="Fill","MOA signers (client), ","")IF(INDEX('MOA role matrix'!$B$2:$D$13,2,MATCH($B470,'MOA role matrix'!$B$1:$D$1,0))="If finance","MOA signers (client) (if finance), ","")IF(INDEX('MOA role matrix'!$B$2:$D$13,2,MATCH($B470,'MOA role matrix'!$B$1:$D$1,0))="Auto","MOA signers (client) (auto), ","")IF(INDEX('MOA role matrix'!$B$2:$D$13,3,MATCH($B470,'MOA role matrix'!$B$1:$D$1,0))="Fill","CFO / Head of Finance, ","")IF(INDEX('MOA role matrix'!$B$2:$D$13,3,MATCH($B470,'MOA role matrix'!$B$1:$D$1,0))="If finance","CFO / Head of Finance (if finance), ","")IF(INDEX('MOA role matrix'!$B$2:$D$13,3,MATCH($B470,'MOA role matrix'!$B$1:$D$1,0))="Auto","CFO / Head of Finance (auto), ","")IF(INDEX('MOA role matrix'!$B$2:$D$13,4,MATCH($B470,'MOA role matrix'!$B$1:$D$1,0))="Fill","CEO / COO / GM, ","")IF(INDEX('MOA role matrix'!$B$2:$D$13,4,MATCH($B470,'MOA role matrix'!$B$1:$D$1,0))="If finance","CEO / COO / GM (if finance), ","")IF(INDEX('MOA role matrix'!$B$2:$D$13,4,MATCH($B470,'MOA role matrix'!$B$1:$D$1,0))="Auto","CEO / COO / GM (auto), ","")IF(INDEX('MOA role matrix'!$B$2:$D$13,5,MATCH($B470,'MOA role matrix'!$B$1:$D$1,0))="Fill","Board member 1, ","")IF(INDEX('MOA role matrix'!$B$2:$D$13,5,MATCH($B470,'MOA role matrix'!$B$1:$D$1,0))="If finance","Board member 1 (if finance), ","")IF(INDEX('MOA role matrix'!$B$2:$D$13,5,MATCH($B470,'MOA role matrix'!$B$1:$D$1,0))="Auto","Board member 1 (auto), ","")IF(INDEX('MOA role matrix'!$B$2:$D$13,6,MATCH($B470,'MOA role matrix'!$B$1:$D$1,0))="Fill","Board member 2, ","")IF(INDEX('MOA role matrix'!$B$2:$D$13,6,MATCH($B470,'MOA role matrix'!$B$1:$D$1,0))="If finance","Board member 2 (if finance), ","")IF(INDEX('MOA role matrix'!$B$2:$D$13,6,MATCH($B470,'MOA role matrix'!$B$1:$D$1,0))="Auto","Board member 2 (auto), ","")IF(INDEX('MOA role matrix'!$B$2:$D$13,7,MATCH($B470,'MOA role matrix'!$B$1:$D$1,0))="Fill","LOA holder 1, ","")IF(INDEX('MOA role matrix'!$B$2:$D$13,7,MATCH($B470,'MOA role matrix'!$B$1:$D$1,0))="If finance","LOA holder 1 (if finance), ","")IF(INDEX('MOA role matrix'!$B$2:$D$13,7,MATCH($B470,'MOA role matrix'!$B$1:$D$1,0))="Auto","LOA holder 1 (auto), ","")IF(INDEX('MOA role matrix'!$B$2:$D$13,8,MATCH($B470,'MOA role matrix'!$B$1:$D$1,0))="Fill","LOA holder 2, ","")IF(INDEX('MOA role matrix'!$B$2:$D$13,8,MATCH($B470,'MOA role matrix'!$B$1:$D$1,0))="If finance","LOA holder 2 (if finance), ","")IF(INDEX('MOA role matrix'!$B$2:$D$13,8,MATCH($B470,'MOA role matrix'!$B$1:$D$1,0))="Auto","LOA holder 2 (auto), ","")IF(INDEX('MOA role matrix'!$B$2:$D$13,9,MATCH($B470,'MOA role matrix'!$B$1:$D$1,0))="Fill","Senior Manager CoSec, ","")IF(INDEX('MOA role matrix'!$B$2:$D$13,9,MATCH($B470,'MOA role matrix'!$B$1:$D$1,0))="If finance","Senior Manager CoSec (if finance), ","")IF(INDEX('MOA role matrix'!$B$2:$D$13,9,MATCH($B470,'MOA role matrix'!$B$1:$D$1,0))="Auto","Senior Manager CoSec (auto), ","")IF(INDEX('MOA role matrix'!$B$2:$D$13,10,MATCH($B470,'MOA role matrix'!$B$1:$D$1,0))="Fill","Division MOI managers, ","")IF(INDEX('MOA role matrix'!$B$2:$D$13,10,MATCH($B470,'MOA role matrix'!$B$1:$D$1,0))="If finance","Division MOI managers (if finance), ","")IF(INDEX('MOA role matrix'!$B$2:$D$13,10,MATCH($B470,'MOA role matrix'!$B$1:$D$1,0))="Auto","Division MOI managers (auto), ","")IF(INDEX('MOA role matrix'!$B$2:$D$13,11,MATCH($B470,'MOA role matrix'!$B$1:$D$1,0))="Fill","Ms Teh (bank), ","")IF(INDEX('MOA role matrix'!$B$2:$D$13,11,MATCH($B470,'MOA role matrix'!$B$1:$D$1,0))="If finance","Ms Teh (bank) (if finance), ","")IF(INDEX('MOA role matrix'!$B$2:$D$13,11,MATCH($B470,'MOA role matrix'!$B$1:$D$1,0))="Auto","Ms Teh (bank) (auto), ","")IF(INDEX('MOA role matrix'!$B$2:$D$13,12,MATCH($B470,'MOA role matrix'!$B$1:$D$1,0))="Fill","DLCM, ","")IF(INDEX('MOA role matrix'!$B$2:$D$13,12,MATCH($B470,'MOA role matrix'!$B$1:$D$1,0))="If finance","DLCM (if finance), ","")IF(INDEX('MOA role matrix'!$B$2:$D$13,12,MATCH($B470,'MOA role matrix'!$B$1:$D$1,0))="Auto","DLCM (auto), ","")))</f>
        <v/>
      </c>
      <c r="D470" s="5">
        <f>IF($A470="","",IFERROR(INDEX(FILTER('Client contacts'!$B$2:$B$500,('Client contacts'!$A$2:$A$500=$A470)*('Client contacts'!$H$2:$H$500="Y"),""),1),""))</f>
        <v/>
      </c>
      <c r="E470" s="5">
        <f>IF($A470="","",IFERROR(INDEX(FILTER('Client contacts'!$C$2:$C$500,('Client contacts'!$A$2:$A$500=$A470)*('Client contacts'!$H$2:$H$500="Y"),""),1),""))</f>
        <v/>
      </c>
      <c r="F470" s="5">
        <f>IF($A470="","",IFERROR(INDEX(FILTER('Client contacts'!$B$2:$B$500,('Client contacts'!$A$2:$A$500=$A470)*('Client contacts'!$G$2:$G$500="Y"),""),1),""))</f>
        <v/>
      </c>
      <c r="G470" s="5">
        <f>IF($A470="","",IFERROR(INDEX(FILTER('Client contacts'!$C$2:$C$500,('Client contacts'!$A$2:$A$500=$A470)*('Client contacts'!$G$2:$G$500="Y"),""),1),""))</f>
        <v/>
      </c>
      <c r="H470" s="5">
        <f>IF($A470="","",IFERROR(INDEX(FILTER('Client contacts'!$B$2:$B$500,('Client contacts'!$A$2:$A$500=$A470)*('Client contacts'!$G$2:$G$500="Y"),""),2),""))</f>
        <v/>
      </c>
      <c r="I470" s="5">
        <f>IF($A470="","",IFERROR(INDEX(FILTER('Client contacts'!$C$2:$C$500,('Client contacts'!$A$2:$A$500=$A470)*('Client contacts'!$G$2:$G$500="Y"),""),2),""))</f>
        <v/>
      </c>
      <c r="J470" s="8" t="n"/>
      <c r="K470" s="8" t="n"/>
      <c r="L470" s="8" t="n"/>
      <c r="M470" s="8" t="n"/>
      <c r="N470" s="8" t="n"/>
      <c r="O470" s="8" t="n"/>
      <c r="P470" s="8" t="n"/>
      <c r="Q470" s="8" t="n"/>
      <c r="R470" s="5">
        <f>IF($A470="","",IFERROR(INDEX(Companies!$I$2:$I$500,MATCH($A470,Companies!$A$2:$A$500,0)),""))</f>
        <v/>
      </c>
      <c r="S470" s="8" t="n"/>
      <c r="T470" s="8" t="n"/>
      <c r="U470" s="8" t="n"/>
      <c r="V470" s="8" t="n"/>
      <c r="W470" s="8" t="n"/>
    </row>
    <row r="471">
      <c r="C471" s="5">
        <f>IF($B471="","",TRIM(IF(INDEX('MOA role matrix'!$B$2:$D$13,1,MATCH($B471,'MOA role matrix'!$B$1:$D$1,0))="Fill","Project initiator, ","")IF(INDEX('MOA role matrix'!$B$2:$D$13,1,MATCH($B471,'MOA role matrix'!$B$1:$D$1,0))="If finance","Project initiator (if finance), ","")IF(INDEX('MOA role matrix'!$B$2:$D$13,1,MATCH($B471,'MOA role matrix'!$B$1:$D$1,0))="Auto","Project initiator (auto), ","")IF(INDEX('MOA role matrix'!$B$2:$D$13,2,MATCH($B471,'MOA role matrix'!$B$1:$D$1,0))="Fill","MOA signers (client), ","")IF(INDEX('MOA role matrix'!$B$2:$D$13,2,MATCH($B471,'MOA role matrix'!$B$1:$D$1,0))="If finance","MOA signers (client) (if finance), ","")IF(INDEX('MOA role matrix'!$B$2:$D$13,2,MATCH($B471,'MOA role matrix'!$B$1:$D$1,0))="Auto","MOA signers (client) (auto), ","")IF(INDEX('MOA role matrix'!$B$2:$D$13,3,MATCH($B471,'MOA role matrix'!$B$1:$D$1,0))="Fill","CFO / Head of Finance, ","")IF(INDEX('MOA role matrix'!$B$2:$D$13,3,MATCH($B471,'MOA role matrix'!$B$1:$D$1,0))="If finance","CFO / Head of Finance (if finance), ","")IF(INDEX('MOA role matrix'!$B$2:$D$13,3,MATCH($B471,'MOA role matrix'!$B$1:$D$1,0))="Auto","CFO / Head of Finance (auto), ","")IF(INDEX('MOA role matrix'!$B$2:$D$13,4,MATCH($B471,'MOA role matrix'!$B$1:$D$1,0))="Fill","CEO / COO / GM, ","")IF(INDEX('MOA role matrix'!$B$2:$D$13,4,MATCH($B471,'MOA role matrix'!$B$1:$D$1,0))="If finance","CEO / COO / GM (if finance), ","")IF(INDEX('MOA role matrix'!$B$2:$D$13,4,MATCH($B471,'MOA role matrix'!$B$1:$D$1,0))="Auto","CEO / COO / GM (auto), ","")IF(INDEX('MOA role matrix'!$B$2:$D$13,5,MATCH($B471,'MOA role matrix'!$B$1:$D$1,0))="Fill","Board member 1, ","")IF(INDEX('MOA role matrix'!$B$2:$D$13,5,MATCH($B471,'MOA role matrix'!$B$1:$D$1,0))="If finance","Board member 1 (if finance), ","")IF(INDEX('MOA role matrix'!$B$2:$D$13,5,MATCH($B471,'MOA role matrix'!$B$1:$D$1,0))="Auto","Board member 1 (auto), ","")IF(INDEX('MOA role matrix'!$B$2:$D$13,6,MATCH($B471,'MOA role matrix'!$B$1:$D$1,0))="Fill","Board member 2, ","")IF(INDEX('MOA role matrix'!$B$2:$D$13,6,MATCH($B471,'MOA role matrix'!$B$1:$D$1,0))="If finance","Board member 2 (if finance), ","")IF(INDEX('MOA role matrix'!$B$2:$D$13,6,MATCH($B471,'MOA role matrix'!$B$1:$D$1,0))="Auto","Board member 2 (auto), ","")IF(INDEX('MOA role matrix'!$B$2:$D$13,7,MATCH($B471,'MOA role matrix'!$B$1:$D$1,0))="Fill","LOA holder 1, ","")IF(INDEX('MOA role matrix'!$B$2:$D$13,7,MATCH($B471,'MOA role matrix'!$B$1:$D$1,0))="If finance","LOA holder 1 (if finance), ","")IF(INDEX('MOA role matrix'!$B$2:$D$13,7,MATCH($B471,'MOA role matrix'!$B$1:$D$1,0))="Auto","LOA holder 1 (auto), ","")IF(INDEX('MOA role matrix'!$B$2:$D$13,8,MATCH($B471,'MOA role matrix'!$B$1:$D$1,0))="Fill","LOA holder 2, ","")IF(INDEX('MOA role matrix'!$B$2:$D$13,8,MATCH($B471,'MOA role matrix'!$B$1:$D$1,0))="If finance","LOA holder 2 (if finance), ","")IF(INDEX('MOA role matrix'!$B$2:$D$13,8,MATCH($B471,'MOA role matrix'!$B$1:$D$1,0))="Auto","LOA holder 2 (auto), ","")IF(INDEX('MOA role matrix'!$B$2:$D$13,9,MATCH($B471,'MOA role matrix'!$B$1:$D$1,0))="Fill","Senior Manager CoSec, ","")IF(INDEX('MOA role matrix'!$B$2:$D$13,9,MATCH($B471,'MOA role matrix'!$B$1:$D$1,0))="If finance","Senior Manager CoSec (if finance), ","")IF(INDEX('MOA role matrix'!$B$2:$D$13,9,MATCH($B471,'MOA role matrix'!$B$1:$D$1,0))="Auto","Senior Manager CoSec (auto), ","")IF(INDEX('MOA role matrix'!$B$2:$D$13,10,MATCH($B471,'MOA role matrix'!$B$1:$D$1,0))="Fill","Division MOI managers, ","")IF(INDEX('MOA role matrix'!$B$2:$D$13,10,MATCH($B471,'MOA role matrix'!$B$1:$D$1,0))="If finance","Division MOI managers (if finance), ","")IF(INDEX('MOA role matrix'!$B$2:$D$13,10,MATCH($B471,'MOA role matrix'!$B$1:$D$1,0))="Auto","Division MOI managers (auto), ","")IF(INDEX('MOA role matrix'!$B$2:$D$13,11,MATCH($B471,'MOA role matrix'!$B$1:$D$1,0))="Fill","Ms Teh (bank), ","")IF(INDEX('MOA role matrix'!$B$2:$D$13,11,MATCH($B471,'MOA role matrix'!$B$1:$D$1,0))="If finance","Ms Teh (bank) (if finance), ","")IF(INDEX('MOA role matrix'!$B$2:$D$13,11,MATCH($B471,'MOA role matrix'!$B$1:$D$1,0))="Auto","Ms Teh (bank) (auto), ","")IF(INDEX('MOA role matrix'!$B$2:$D$13,12,MATCH($B471,'MOA role matrix'!$B$1:$D$1,0))="Fill","DLCM, ","")IF(INDEX('MOA role matrix'!$B$2:$D$13,12,MATCH($B471,'MOA role matrix'!$B$1:$D$1,0))="If finance","DLCM (if finance), ","")IF(INDEX('MOA role matrix'!$B$2:$D$13,12,MATCH($B471,'MOA role matrix'!$B$1:$D$1,0))="Auto","DLCM (auto), ","")))</f>
        <v/>
      </c>
      <c r="D471" s="5">
        <f>IF($A471="","",IFERROR(INDEX(FILTER('Client contacts'!$B$2:$B$500,('Client contacts'!$A$2:$A$500=$A471)*('Client contacts'!$H$2:$H$500="Y"),""),1),""))</f>
        <v/>
      </c>
      <c r="E471" s="5">
        <f>IF($A471="","",IFERROR(INDEX(FILTER('Client contacts'!$C$2:$C$500,('Client contacts'!$A$2:$A$500=$A471)*('Client contacts'!$H$2:$H$500="Y"),""),1),""))</f>
        <v/>
      </c>
      <c r="F471" s="5">
        <f>IF($A471="","",IFERROR(INDEX(FILTER('Client contacts'!$B$2:$B$500,('Client contacts'!$A$2:$A$500=$A471)*('Client contacts'!$G$2:$G$500="Y"),""),1),""))</f>
        <v/>
      </c>
      <c r="G471" s="5">
        <f>IF($A471="","",IFERROR(INDEX(FILTER('Client contacts'!$C$2:$C$500,('Client contacts'!$A$2:$A$500=$A471)*('Client contacts'!$G$2:$G$500="Y"),""),1),""))</f>
        <v/>
      </c>
      <c r="H471" s="5">
        <f>IF($A471="","",IFERROR(INDEX(FILTER('Client contacts'!$B$2:$B$500,('Client contacts'!$A$2:$A$500=$A471)*('Client contacts'!$G$2:$G$500="Y"),""),2),""))</f>
        <v/>
      </c>
      <c r="I471" s="5">
        <f>IF($A471="","",IFERROR(INDEX(FILTER('Client contacts'!$C$2:$C$500,('Client contacts'!$A$2:$A$500=$A471)*('Client contacts'!$G$2:$G$500="Y"),""),2),""))</f>
        <v/>
      </c>
      <c r="J471" s="8" t="n"/>
      <c r="K471" s="8" t="n"/>
      <c r="L471" s="8" t="n"/>
      <c r="M471" s="8" t="n"/>
      <c r="N471" s="8" t="n"/>
      <c r="O471" s="8" t="n"/>
      <c r="P471" s="8" t="n"/>
      <c r="Q471" s="8" t="n"/>
      <c r="R471" s="5">
        <f>IF($A471="","",IFERROR(INDEX(Companies!$I$2:$I$500,MATCH($A471,Companies!$A$2:$A$500,0)),""))</f>
        <v/>
      </c>
      <c r="S471" s="8" t="n"/>
      <c r="T471" s="8" t="n"/>
      <c r="U471" s="8" t="n"/>
      <c r="V471" s="8" t="n"/>
      <c r="W471" s="8" t="n"/>
    </row>
    <row r="472">
      <c r="C472" s="5">
        <f>IF($B472="","",TRIM(IF(INDEX('MOA role matrix'!$B$2:$D$13,1,MATCH($B472,'MOA role matrix'!$B$1:$D$1,0))="Fill","Project initiator, ","")IF(INDEX('MOA role matrix'!$B$2:$D$13,1,MATCH($B472,'MOA role matrix'!$B$1:$D$1,0))="If finance","Project initiator (if finance), ","")IF(INDEX('MOA role matrix'!$B$2:$D$13,1,MATCH($B472,'MOA role matrix'!$B$1:$D$1,0))="Auto","Project initiator (auto), ","")IF(INDEX('MOA role matrix'!$B$2:$D$13,2,MATCH($B472,'MOA role matrix'!$B$1:$D$1,0))="Fill","MOA signers (client), ","")IF(INDEX('MOA role matrix'!$B$2:$D$13,2,MATCH($B472,'MOA role matrix'!$B$1:$D$1,0))="If finance","MOA signers (client) (if finance), ","")IF(INDEX('MOA role matrix'!$B$2:$D$13,2,MATCH($B472,'MOA role matrix'!$B$1:$D$1,0))="Auto","MOA signers (client) (auto), ","")IF(INDEX('MOA role matrix'!$B$2:$D$13,3,MATCH($B472,'MOA role matrix'!$B$1:$D$1,0))="Fill","CFO / Head of Finance, ","")IF(INDEX('MOA role matrix'!$B$2:$D$13,3,MATCH($B472,'MOA role matrix'!$B$1:$D$1,0))="If finance","CFO / Head of Finance (if finance), ","")IF(INDEX('MOA role matrix'!$B$2:$D$13,3,MATCH($B472,'MOA role matrix'!$B$1:$D$1,0))="Auto","CFO / Head of Finance (auto), ","")IF(INDEX('MOA role matrix'!$B$2:$D$13,4,MATCH($B472,'MOA role matrix'!$B$1:$D$1,0))="Fill","CEO / COO / GM, ","")IF(INDEX('MOA role matrix'!$B$2:$D$13,4,MATCH($B472,'MOA role matrix'!$B$1:$D$1,0))="If finance","CEO / COO / GM (if finance), ","")IF(INDEX('MOA role matrix'!$B$2:$D$13,4,MATCH($B472,'MOA role matrix'!$B$1:$D$1,0))="Auto","CEO / COO / GM (auto), ","")IF(INDEX('MOA role matrix'!$B$2:$D$13,5,MATCH($B472,'MOA role matrix'!$B$1:$D$1,0))="Fill","Board member 1, ","")IF(INDEX('MOA role matrix'!$B$2:$D$13,5,MATCH($B472,'MOA role matrix'!$B$1:$D$1,0))="If finance","Board member 1 (if finance), ","")IF(INDEX('MOA role matrix'!$B$2:$D$13,5,MATCH($B472,'MOA role matrix'!$B$1:$D$1,0))="Auto","Board member 1 (auto), ","")IF(INDEX('MOA role matrix'!$B$2:$D$13,6,MATCH($B472,'MOA role matrix'!$B$1:$D$1,0))="Fill","Board member 2, ","")IF(INDEX('MOA role matrix'!$B$2:$D$13,6,MATCH($B472,'MOA role matrix'!$B$1:$D$1,0))="If finance","Board member 2 (if finance), ","")IF(INDEX('MOA role matrix'!$B$2:$D$13,6,MATCH($B472,'MOA role matrix'!$B$1:$D$1,0))="Auto","Board member 2 (auto), ","")IF(INDEX('MOA role matrix'!$B$2:$D$13,7,MATCH($B472,'MOA role matrix'!$B$1:$D$1,0))="Fill","LOA holder 1, ","")IF(INDEX('MOA role matrix'!$B$2:$D$13,7,MATCH($B472,'MOA role matrix'!$B$1:$D$1,0))="If finance","LOA holder 1 (if finance), ","")IF(INDEX('MOA role matrix'!$B$2:$D$13,7,MATCH($B472,'MOA role matrix'!$B$1:$D$1,0))="Auto","LOA holder 1 (auto), ","")IF(INDEX('MOA role matrix'!$B$2:$D$13,8,MATCH($B472,'MOA role matrix'!$B$1:$D$1,0))="Fill","LOA holder 2, ","")IF(INDEX('MOA role matrix'!$B$2:$D$13,8,MATCH($B472,'MOA role matrix'!$B$1:$D$1,0))="If finance","LOA holder 2 (if finance), ","")IF(INDEX('MOA role matrix'!$B$2:$D$13,8,MATCH($B472,'MOA role matrix'!$B$1:$D$1,0))="Auto","LOA holder 2 (auto), ","")IF(INDEX('MOA role matrix'!$B$2:$D$13,9,MATCH($B472,'MOA role matrix'!$B$1:$D$1,0))="Fill","Senior Manager CoSec, ","")IF(INDEX('MOA role matrix'!$B$2:$D$13,9,MATCH($B472,'MOA role matrix'!$B$1:$D$1,0))="If finance","Senior Manager CoSec (if finance), ","")IF(INDEX('MOA role matrix'!$B$2:$D$13,9,MATCH($B472,'MOA role matrix'!$B$1:$D$1,0))="Auto","Senior Manager CoSec (auto), ","")IF(INDEX('MOA role matrix'!$B$2:$D$13,10,MATCH($B472,'MOA role matrix'!$B$1:$D$1,0))="Fill","Division MOI managers, ","")IF(INDEX('MOA role matrix'!$B$2:$D$13,10,MATCH($B472,'MOA role matrix'!$B$1:$D$1,0))="If finance","Division MOI managers (if finance), ","")IF(INDEX('MOA role matrix'!$B$2:$D$13,10,MATCH($B472,'MOA role matrix'!$B$1:$D$1,0))="Auto","Division MOI managers (auto), ","")IF(INDEX('MOA role matrix'!$B$2:$D$13,11,MATCH($B472,'MOA role matrix'!$B$1:$D$1,0))="Fill","Ms Teh (bank), ","")IF(INDEX('MOA role matrix'!$B$2:$D$13,11,MATCH($B472,'MOA role matrix'!$B$1:$D$1,0))="If finance","Ms Teh (bank) (if finance), ","")IF(INDEX('MOA role matrix'!$B$2:$D$13,11,MATCH($B472,'MOA role matrix'!$B$1:$D$1,0))="Auto","Ms Teh (bank) (auto), ","")IF(INDEX('MOA role matrix'!$B$2:$D$13,12,MATCH($B472,'MOA role matrix'!$B$1:$D$1,0))="Fill","DLCM, ","")IF(INDEX('MOA role matrix'!$B$2:$D$13,12,MATCH($B472,'MOA role matrix'!$B$1:$D$1,0))="If finance","DLCM (if finance), ","")IF(INDEX('MOA role matrix'!$B$2:$D$13,12,MATCH($B472,'MOA role matrix'!$B$1:$D$1,0))="Auto","DLCM (auto), ","")))</f>
        <v/>
      </c>
      <c r="D472" s="5">
        <f>IF($A472="","",IFERROR(INDEX(FILTER('Client contacts'!$B$2:$B$500,('Client contacts'!$A$2:$A$500=$A472)*('Client contacts'!$H$2:$H$500="Y"),""),1),""))</f>
        <v/>
      </c>
      <c r="E472" s="5">
        <f>IF($A472="","",IFERROR(INDEX(FILTER('Client contacts'!$C$2:$C$500,('Client contacts'!$A$2:$A$500=$A472)*('Client contacts'!$H$2:$H$500="Y"),""),1),""))</f>
        <v/>
      </c>
      <c r="F472" s="5">
        <f>IF($A472="","",IFERROR(INDEX(FILTER('Client contacts'!$B$2:$B$500,('Client contacts'!$A$2:$A$500=$A472)*('Client contacts'!$G$2:$G$500="Y"),""),1),""))</f>
        <v/>
      </c>
      <c r="G472" s="5">
        <f>IF($A472="","",IFERROR(INDEX(FILTER('Client contacts'!$C$2:$C$500,('Client contacts'!$A$2:$A$500=$A472)*('Client contacts'!$G$2:$G$500="Y"),""),1),""))</f>
        <v/>
      </c>
      <c r="H472" s="5">
        <f>IF($A472="","",IFERROR(INDEX(FILTER('Client contacts'!$B$2:$B$500,('Client contacts'!$A$2:$A$500=$A472)*('Client contacts'!$G$2:$G$500="Y"),""),2),""))</f>
        <v/>
      </c>
      <c r="I472" s="5">
        <f>IF($A472="","",IFERROR(INDEX(FILTER('Client contacts'!$C$2:$C$500,('Client contacts'!$A$2:$A$500=$A472)*('Client contacts'!$G$2:$G$500="Y"),""),2),""))</f>
        <v/>
      </c>
      <c r="J472" s="8" t="n"/>
      <c r="K472" s="8" t="n"/>
      <c r="L472" s="8" t="n"/>
      <c r="M472" s="8" t="n"/>
      <c r="N472" s="8" t="n"/>
      <c r="O472" s="8" t="n"/>
      <c r="P472" s="8" t="n"/>
      <c r="Q472" s="8" t="n"/>
      <c r="R472" s="5">
        <f>IF($A472="","",IFERROR(INDEX(Companies!$I$2:$I$500,MATCH($A472,Companies!$A$2:$A$500,0)),""))</f>
        <v/>
      </c>
      <c r="S472" s="8" t="n"/>
      <c r="T472" s="8" t="n"/>
      <c r="U472" s="8" t="n"/>
      <c r="V472" s="8" t="n"/>
      <c r="W472" s="8" t="n"/>
    </row>
    <row r="473">
      <c r="C473" s="5">
        <f>IF($B473="","",TRIM(IF(INDEX('MOA role matrix'!$B$2:$D$13,1,MATCH($B473,'MOA role matrix'!$B$1:$D$1,0))="Fill","Project initiator, ","")IF(INDEX('MOA role matrix'!$B$2:$D$13,1,MATCH($B473,'MOA role matrix'!$B$1:$D$1,0))="If finance","Project initiator (if finance), ","")IF(INDEX('MOA role matrix'!$B$2:$D$13,1,MATCH($B473,'MOA role matrix'!$B$1:$D$1,0))="Auto","Project initiator (auto), ","")IF(INDEX('MOA role matrix'!$B$2:$D$13,2,MATCH($B473,'MOA role matrix'!$B$1:$D$1,0))="Fill","MOA signers (client), ","")IF(INDEX('MOA role matrix'!$B$2:$D$13,2,MATCH($B473,'MOA role matrix'!$B$1:$D$1,0))="If finance","MOA signers (client) (if finance), ","")IF(INDEX('MOA role matrix'!$B$2:$D$13,2,MATCH($B473,'MOA role matrix'!$B$1:$D$1,0))="Auto","MOA signers (client) (auto), ","")IF(INDEX('MOA role matrix'!$B$2:$D$13,3,MATCH($B473,'MOA role matrix'!$B$1:$D$1,0))="Fill","CFO / Head of Finance, ","")IF(INDEX('MOA role matrix'!$B$2:$D$13,3,MATCH($B473,'MOA role matrix'!$B$1:$D$1,0))="If finance","CFO / Head of Finance (if finance), ","")IF(INDEX('MOA role matrix'!$B$2:$D$13,3,MATCH($B473,'MOA role matrix'!$B$1:$D$1,0))="Auto","CFO / Head of Finance (auto), ","")IF(INDEX('MOA role matrix'!$B$2:$D$13,4,MATCH($B473,'MOA role matrix'!$B$1:$D$1,0))="Fill","CEO / COO / GM, ","")IF(INDEX('MOA role matrix'!$B$2:$D$13,4,MATCH($B473,'MOA role matrix'!$B$1:$D$1,0))="If finance","CEO / COO / GM (if finance), ","")IF(INDEX('MOA role matrix'!$B$2:$D$13,4,MATCH($B473,'MOA role matrix'!$B$1:$D$1,0))="Auto","CEO / COO / GM (auto), ","")IF(INDEX('MOA role matrix'!$B$2:$D$13,5,MATCH($B473,'MOA role matrix'!$B$1:$D$1,0))="Fill","Board member 1, ","")IF(INDEX('MOA role matrix'!$B$2:$D$13,5,MATCH($B473,'MOA role matrix'!$B$1:$D$1,0))="If finance","Board member 1 (if finance), ","")IF(INDEX('MOA role matrix'!$B$2:$D$13,5,MATCH($B473,'MOA role matrix'!$B$1:$D$1,0))="Auto","Board member 1 (auto), ","")IF(INDEX('MOA role matrix'!$B$2:$D$13,6,MATCH($B473,'MOA role matrix'!$B$1:$D$1,0))="Fill","Board member 2, ","")IF(INDEX('MOA role matrix'!$B$2:$D$13,6,MATCH($B473,'MOA role matrix'!$B$1:$D$1,0))="If finance","Board member 2 (if finance), ","")IF(INDEX('MOA role matrix'!$B$2:$D$13,6,MATCH($B473,'MOA role matrix'!$B$1:$D$1,0))="Auto","Board member 2 (auto), ","")IF(INDEX('MOA role matrix'!$B$2:$D$13,7,MATCH($B473,'MOA role matrix'!$B$1:$D$1,0))="Fill","LOA holder 1, ","")IF(INDEX('MOA role matrix'!$B$2:$D$13,7,MATCH($B473,'MOA role matrix'!$B$1:$D$1,0))="If finance","LOA holder 1 (if finance), ","")IF(INDEX('MOA role matrix'!$B$2:$D$13,7,MATCH($B473,'MOA role matrix'!$B$1:$D$1,0))="Auto","LOA holder 1 (auto), ","")IF(INDEX('MOA role matrix'!$B$2:$D$13,8,MATCH($B473,'MOA role matrix'!$B$1:$D$1,0))="Fill","LOA holder 2, ","")IF(INDEX('MOA role matrix'!$B$2:$D$13,8,MATCH($B473,'MOA role matrix'!$B$1:$D$1,0))="If finance","LOA holder 2 (if finance), ","")IF(INDEX('MOA role matrix'!$B$2:$D$13,8,MATCH($B473,'MOA role matrix'!$B$1:$D$1,0))="Auto","LOA holder 2 (auto), ","")IF(INDEX('MOA role matrix'!$B$2:$D$13,9,MATCH($B473,'MOA role matrix'!$B$1:$D$1,0))="Fill","Senior Manager CoSec, ","")IF(INDEX('MOA role matrix'!$B$2:$D$13,9,MATCH($B473,'MOA role matrix'!$B$1:$D$1,0))="If finance","Senior Manager CoSec (if finance), ","")IF(INDEX('MOA role matrix'!$B$2:$D$13,9,MATCH($B473,'MOA role matrix'!$B$1:$D$1,0))="Auto","Senior Manager CoSec (auto), ","")IF(INDEX('MOA role matrix'!$B$2:$D$13,10,MATCH($B473,'MOA role matrix'!$B$1:$D$1,0))="Fill","Division MOI managers, ","")IF(INDEX('MOA role matrix'!$B$2:$D$13,10,MATCH($B473,'MOA role matrix'!$B$1:$D$1,0))="If finance","Division MOI managers (if finance), ","")IF(INDEX('MOA role matrix'!$B$2:$D$13,10,MATCH($B473,'MOA role matrix'!$B$1:$D$1,0))="Auto","Division MOI managers (auto), ","")IF(INDEX('MOA role matrix'!$B$2:$D$13,11,MATCH($B473,'MOA role matrix'!$B$1:$D$1,0))="Fill","Ms Teh (bank), ","")IF(INDEX('MOA role matrix'!$B$2:$D$13,11,MATCH($B473,'MOA role matrix'!$B$1:$D$1,0))="If finance","Ms Teh (bank) (if finance), ","")IF(INDEX('MOA role matrix'!$B$2:$D$13,11,MATCH($B473,'MOA role matrix'!$B$1:$D$1,0))="Auto","Ms Teh (bank) (auto), ","")IF(INDEX('MOA role matrix'!$B$2:$D$13,12,MATCH($B473,'MOA role matrix'!$B$1:$D$1,0))="Fill","DLCM, ","")IF(INDEX('MOA role matrix'!$B$2:$D$13,12,MATCH($B473,'MOA role matrix'!$B$1:$D$1,0))="If finance","DLCM (if finance), ","")IF(INDEX('MOA role matrix'!$B$2:$D$13,12,MATCH($B473,'MOA role matrix'!$B$1:$D$1,0))="Auto","DLCM (auto), ","")))</f>
        <v/>
      </c>
      <c r="D473" s="5">
        <f>IF($A473="","",IFERROR(INDEX(FILTER('Client contacts'!$B$2:$B$500,('Client contacts'!$A$2:$A$500=$A473)*('Client contacts'!$H$2:$H$500="Y"),""),1),""))</f>
        <v/>
      </c>
      <c r="E473" s="5">
        <f>IF($A473="","",IFERROR(INDEX(FILTER('Client contacts'!$C$2:$C$500,('Client contacts'!$A$2:$A$500=$A473)*('Client contacts'!$H$2:$H$500="Y"),""),1),""))</f>
        <v/>
      </c>
      <c r="F473" s="5">
        <f>IF($A473="","",IFERROR(INDEX(FILTER('Client contacts'!$B$2:$B$500,('Client contacts'!$A$2:$A$500=$A473)*('Client contacts'!$G$2:$G$500="Y"),""),1),""))</f>
        <v/>
      </c>
      <c r="G473" s="5">
        <f>IF($A473="","",IFERROR(INDEX(FILTER('Client contacts'!$C$2:$C$500,('Client contacts'!$A$2:$A$500=$A473)*('Client contacts'!$G$2:$G$500="Y"),""),1),""))</f>
        <v/>
      </c>
      <c r="H473" s="5">
        <f>IF($A473="","",IFERROR(INDEX(FILTER('Client contacts'!$B$2:$B$500,('Client contacts'!$A$2:$A$500=$A473)*('Client contacts'!$G$2:$G$500="Y"),""),2),""))</f>
        <v/>
      </c>
      <c r="I473" s="5">
        <f>IF($A473="","",IFERROR(INDEX(FILTER('Client contacts'!$C$2:$C$500,('Client contacts'!$A$2:$A$500=$A473)*('Client contacts'!$G$2:$G$500="Y"),""),2),""))</f>
        <v/>
      </c>
      <c r="J473" s="8" t="n"/>
      <c r="K473" s="8" t="n"/>
      <c r="L473" s="8" t="n"/>
      <c r="M473" s="8" t="n"/>
      <c r="N473" s="8" t="n"/>
      <c r="O473" s="8" t="n"/>
      <c r="P473" s="8" t="n"/>
      <c r="Q473" s="8" t="n"/>
      <c r="R473" s="5">
        <f>IF($A473="","",IFERROR(INDEX(Companies!$I$2:$I$500,MATCH($A473,Companies!$A$2:$A$500,0)),""))</f>
        <v/>
      </c>
      <c r="S473" s="8" t="n"/>
      <c r="T473" s="8" t="n"/>
      <c r="U473" s="8" t="n"/>
      <c r="V473" s="8" t="n"/>
      <c r="W473" s="8" t="n"/>
    </row>
    <row r="474">
      <c r="C474" s="5">
        <f>IF($B474="","",TRIM(IF(INDEX('MOA role matrix'!$B$2:$D$13,1,MATCH($B474,'MOA role matrix'!$B$1:$D$1,0))="Fill","Project initiator, ","")IF(INDEX('MOA role matrix'!$B$2:$D$13,1,MATCH($B474,'MOA role matrix'!$B$1:$D$1,0))="If finance","Project initiator (if finance), ","")IF(INDEX('MOA role matrix'!$B$2:$D$13,1,MATCH($B474,'MOA role matrix'!$B$1:$D$1,0))="Auto","Project initiator (auto), ","")IF(INDEX('MOA role matrix'!$B$2:$D$13,2,MATCH($B474,'MOA role matrix'!$B$1:$D$1,0))="Fill","MOA signers (client), ","")IF(INDEX('MOA role matrix'!$B$2:$D$13,2,MATCH($B474,'MOA role matrix'!$B$1:$D$1,0))="If finance","MOA signers (client) (if finance), ","")IF(INDEX('MOA role matrix'!$B$2:$D$13,2,MATCH($B474,'MOA role matrix'!$B$1:$D$1,0))="Auto","MOA signers (client) (auto), ","")IF(INDEX('MOA role matrix'!$B$2:$D$13,3,MATCH($B474,'MOA role matrix'!$B$1:$D$1,0))="Fill","CFO / Head of Finance, ","")IF(INDEX('MOA role matrix'!$B$2:$D$13,3,MATCH($B474,'MOA role matrix'!$B$1:$D$1,0))="If finance","CFO / Head of Finance (if finance), ","")IF(INDEX('MOA role matrix'!$B$2:$D$13,3,MATCH($B474,'MOA role matrix'!$B$1:$D$1,0))="Auto","CFO / Head of Finance (auto), ","")IF(INDEX('MOA role matrix'!$B$2:$D$13,4,MATCH($B474,'MOA role matrix'!$B$1:$D$1,0))="Fill","CEO / COO / GM, ","")IF(INDEX('MOA role matrix'!$B$2:$D$13,4,MATCH($B474,'MOA role matrix'!$B$1:$D$1,0))="If finance","CEO / COO / GM (if finance), ","")IF(INDEX('MOA role matrix'!$B$2:$D$13,4,MATCH($B474,'MOA role matrix'!$B$1:$D$1,0))="Auto","CEO / COO / GM (auto), ","")IF(INDEX('MOA role matrix'!$B$2:$D$13,5,MATCH($B474,'MOA role matrix'!$B$1:$D$1,0))="Fill","Board member 1, ","")IF(INDEX('MOA role matrix'!$B$2:$D$13,5,MATCH($B474,'MOA role matrix'!$B$1:$D$1,0))="If finance","Board member 1 (if finance), ","")IF(INDEX('MOA role matrix'!$B$2:$D$13,5,MATCH($B474,'MOA role matrix'!$B$1:$D$1,0))="Auto","Board member 1 (auto), ","")IF(INDEX('MOA role matrix'!$B$2:$D$13,6,MATCH($B474,'MOA role matrix'!$B$1:$D$1,0))="Fill","Board member 2, ","")IF(INDEX('MOA role matrix'!$B$2:$D$13,6,MATCH($B474,'MOA role matrix'!$B$1:$D$1,0))="If finance","Board member 2 (if finance), ","")IF(INDEX('MOA role matrix'!$B$2:$D$13,6,MATCH($B474,'MOA role matrix'!$B$1:$D$1,0))="Auto","Board member 2 (auto), ","")IF(INDEX('MOA role matrix'!$B$2:$D$13,7,MATCH($B474,'MOA role matrix'!$B$1:$D$1,0))="Fill","LOA holder 1, ","")IF(INDEX('MOA role matrix'!$B$2:$D$13,7,MATCH($B474,'MOA role matrix'!$B$1:$D$1,0))="If finance","LOA holder 1 (if finance), ","")IF(INDEX('MOA role matrix'!$B$2:$D$13,7,MATCH($B474,'MOA role matrix'!$B$1:$D$1,0))="Auto","LOA holder 1 (auto), ","")IF(INDEX('MOA role matrix'!$B$2:$D$13,8,MATCH($B474,'MOA role matrix'!$B$1:$D$1,0))="Fill","LOA holder 2, ","")IF(INDEX('MOA role matrix'!$B$2:$D$13,8,MATCH($B474,'MOA role matrix'!$B$1:$D$1,0))="If finance","LOA holder 2 (if finance), ","")IF(INDEX('MOA role matrix'!$B$2:$D$13,8,MATCH($B474,'MOA role matrix'!$B$1:$D$1,0))="Auto","LOA holder 2 (auto), ","")IF(INDEX('MOA role matrix'!$B$2:$D$13,9,MATCH($B474,'MOA role matrix'!$B$1:$D$1,0))="Fill","Senior Manager CoSec, ","")IF(INDEX('MOA role matrix'!$B$2:$D$13,9,MATCH($B474,'MOA role matrix'!$B$1:$D$1,0))="If finance","Senior Manager CoSec (if finance), ","")IF(INDEX('MOA role matrix'!$B$2:$D$13,9,MATCH($B474,'MOA role matrix'!$B$1:$D$1,0))="Auto","Senior Manager CoSec (auto), ","")IF(INDEX('MOA role matrix'!$B$2:$D$13,10,MATCH($B474,'MOA role matrix'!$B$1:$D$1,0))="Fill","Division MOI managers, ","")IF(INDEX('MOA role matrix'!$B$2:$D$13,10,MATCH($B474,'MOA role matrix'!$B$1:$D$1,0))="If finance","Division MOI managers (if finance), ","")IF(INDEX('MOA role matrix'!$B$2:$D$13,10,MATCH($B474,'MOA role matrix'!$B$1:$D$1,0))="Auto","Division MOI managers (auto), ","")IF(INDEX('MOA role matrix'!$B$2:$D$13,11,MATCH($B474,'MOA role matrix'!$B$1:$D$1,0))="Fill","Ms Teh (bank), ","")IF(INDEX('MOA role matrix'!$B$2:$D$13,11,MATCH($B474,'MOA role matrix'!$B$1:$D$1,0))="If finance","Ms Teh (bank) (if finance), ","")IF(INDEX('MOA role matrix'!$B$2:$D$13,11,MATCH($B474,'MOA role matrix'!$B$1:$D$1,0))="Auto","Ms Teh (bank) (auto), ","")IF(INDEX('MOA role matrix'!$B$2:$D$13,12,MATCH($B474,'MOA role matrix'!$B$1:$D$1,0))="Fill","DLCM, ","")IF(INDEX('MOA role matrix'!$B$2:$D$13,12,MATCH($B474,'MOA role matrix'!$B$1:$D$1,0))="If finance","DLCM (if finance), ","")IF(INDEX('MOA role matrix'!$B$2:$D$13,12,MATCH($B474,'MOA role matrix'!$B$1:$D$1,0))="Auto","DLCM (auto), ","")))</f>
        <v/>
      </c>
      <c r="D474" s="5">
        <f>IF($A474="","",IFERROR(INDEX(FILTER('Client contacts'!$B$2:$B$500,('Client contacts'!$A$2:$A$500=$A474)*('Client contacts'!$H$2:$H$500="Y"),""),1),""))</f>
        <v/>
      </c>
      <c r="E474" s="5">
        <f>IF($A474="","",IFERROR(INDEX(FILTER('Client contacts'!$C$2:$C$500,('Client contacts'!$A$2:$A$500=$A474)*('Client contacts'!$H$2:$H$500="Y"),""),1),""))</f>
        <v/>
      </c>
      <c r="F474" s="5">
        <f>IF($A474="","",IFERROR(INDEX(FILTER('Client contacts'!$B$2:$B$500,('Client contacts'!$A$2:$A$500=$A474)*('Client contacts'!$G$2:$G$500="Y"),""),1),""))</f>
        <v/>
      </c>
      <c r="G474" s="5">
        <f>IF($A474="","",IFERROR(INDEX(FILTER('Client contacts'!$C$2:$C$500,('Client contacts'!$A$2:$A$500=$A474)*('Client contacts'!$G$2:$G$500="Y"),""),1),""))</f>
        <v/>
      </c>
      <c r="H474" s="5">
        <f>IF($A474="","",IFERROR(INDEX(FILTER('Client contacts'!$B$2:$B$500,('Client contacts'!$A$2:$A$500=$A474)*('Client contacts'!$G$2:$G$500="Y"),""),2),""))</f>
        <v/>
      </c>
      <c r="I474" s="5">
        <f>IF($A474="","",IFERROR(INDEX(FILTER('Client contacts'!$C$2:$C$500,('Client contacts'!$A$2:$A$500=$A474)*('Client contacts'!$G$2:$G$500="Y"),""),2),""))</f>
        <v/>
      </c>
      <c r="J474" s="8" t="n"/>
      <c r="K474" s="8" t="n"/>
      <c r="L474" s="8" t="n"/>
      <c r="M474" s="8" t="n"/>
      <c r="N474" s="8" t="n"/>
      <c r="O474" s="8" t="n"/>
      <c r="P474" s="8" t="n"/>
      <c r="Q474" s="8" t="n"/>
      <c r="R474" s="5">
        <f>IF($A474="","",IFERROR(INDEX(Companies!$I$2:$I$500,MATCH($A474,Companies!$A$2:$A$500,0)),""))</f>
        <v/>
      </c>
      <c r="S474" s="8" t="n"/>
      <c r="T474" s="8" t="n"/>
      <c r="U474" s="8" t="n"/>
      <c r="V474" s="8" t="n"/>
      <c r="W474" s="8" t="n"/>
    </row>
    <row r="475">
      <c r="C475" s="5">
        <f>IF($B475="","",TRIM(IF(INDEX('MOA role matrix'!$B$2:$D$13,1,MATCH($B475,'MOA role matrix'!$B$1:$D$1,0))="Fill","Project initiator, ","")IF(INDEX('MOA role matrix'!$B$2:$D$13,1,MATCH($B475,'MOA role matrix'!$B$1:$D$1,0))="If finance","Project initiator (if finance), ","")IF(INDEX('MOA role matrix'!$B$2:$D$13,1,MATCH($B475,'MOA role matrix'!$B$1:$D$1,0))="Auto","Project initiator (auto), ","")IF(INDEX('MOA role matrix'!$B$2:$D$13,2,MATCH($B475,'MOA role matrix'!$B$1:$D$1,0))="Fill","MOA signers (client), ","")IF(INDEX('MOA role matrix'!$B$2:$D$13,2,MATCH($B475,'MOA role matrix'!$B$1:$D$1,0))="If finance","MOA signers (client) (if finance), ","")IF(INDEX('MOA role matrix'!$B$2:$D$13,2,MATCH($B475,'MOA role matrix'!$B$1:$D$1,0))="Auto","MOA signers (client) (auto), ","")IF(INDEX('MOA role matrix'!$B$2:$D$13,3,MATCH($B475,'MOA role matrix'!$B$1:$D$1,0))="Fill","CFO / Head of Finance, ","")IF(INDEX('MOA role matrix'!$B$2:$D$13,3,MATCH($B475,'MOA role matrix'!$B$1:$D$1,0))="If finance","CFO / Head of Finance (if finance), ","")IF(INDEX('MOA role matrix'!$B$2:$D$13,3,MATCH($B475,'MOA role matrix'!$B$1:$D$1,0))="Auto","CFO / Head of Finance (auto), ","")IF(INDEX('MOA role matrix'!$B$2:$D$13,4,MATCH($B475,'MOA role matrix'!$B$1:$D$1,0))="Fill","CEO / COO / GM, ","")IF(INDEX('MOA role matrix'!$B$2:$D$13,4,MATCH($B475,'MOA role matrix'!$B$1:$D$1,0))="If finance","CEO / COO / GM (if finance), ","")IF(INDEX('MOA role matrix'!$B$2:$D$13,4,MATCH($B475,'MOA role matrix'!$B$1:$D$1,0))="Auto","CEO / COO / GM (auto), ","")IF(INDEX('MOA role matrix'!$B$2:$D$13,5,MATCH($B475,'MOA role matrix'!$B$1:$D$1,0))="Fill","Board member 1, ","")IF(INDEX('MOA role matrix'!$B$2:$D$13,5,MATCH($B475,'MOA role matrix'!$B$1:$D$1,0))="If finance","Board member 1 (if finance), ","")IF(INDEX('MOA role matrix'!$B$2:$D$13,5,MATCH($B475,'MOA role matrix'!$B$1:$D$1,0))="Auto","Board member 1 (auto), ","")IF(INDEX('MOA role matrix'!$B$2:$D$13,6,MATCH($B475,'MOA role matrix'!$B$1:$D$1,0))="Fill","Board member 2, ","")IF(INDEX('MOA role matrix'!$B$2:$D$13,6,MATCH($B475,'MOA role matrix'!$B$1:$D$1,0))="If finance","Board member 2 (if finance), ","")IF(INDEX('MOA role matrix'!$B$2:$D$13,6,MATCH($B475,'MOA role matrix'!$B$1:$D$1,0))="Auto","Board member 2 (auto), ","")IF(INDEX('MOA role matrix'!$B$2:$D$13,7,MATCH($B475,'MOA role matrix'!$B$1:$D$1,0))="Fill","LOA holder 1, ","")IF(INDEX('MOA role matrix'!$B$2:$D$13,7,MATCH($B475,'MOA role matrix'!$B$1:$D$1,0))="If finance","LOA holder 1 (if finance), ","")IF(INDEX('MOA role matrix'!$B$2:$D$13,7,MATCH($B475,'MOA role matrix'!$B$1:$D$1,0))="Auto","LOA holder 1 (auto), ","")IF(INDEX('MOA role matrix'!$B$2:$D$13,8,MATCH($B475,'MOA role matrix'!$B$1:$D$1,0))="Fill","LOA holder 2, ","")IF(INDEX('MOA role matrix'!$B$2:$D$13,8,MATCH($B475,'MOA role matrix'!$B$1:$D$1,0))="If finance","LOA holder 2 (if finance), ","")IF(INDEX('MOA role matrix'!$B$2:$D$13,8,MATCH($B475,'MOA role matrix'!$B$1:$D$1,0))="Auto","LOA holder 2 (auto), ","")IF(INDEX('MOA role matrix'!$B$2:$D$13,9,MATCH($B475,'MOA role matrix'!$B$1:$D$1,0))="Fill","Senior Manager CoSec, ","")IF(INDEX('MOA role matrix'!$B$2:$D$13,9,MATCH($B475,'MOA role matrix'!$B$1:$D$1,0))="If finance","Senior Manager CoSec (if finance), ","")IF(INDEX('MOA role matrix'!$B$2:$D$13,9,MATCH($B475,'MOA role matrix'!$B$1:$D$1,0))="Auto","Senior Manager CoSec (auto), ","")IF(INDEX('MOA role matrix'!$B$2:$D$13,10,MATCH($B475,'MOA role matrix'!$B$1:$D$1,0))="Fill","Division MOI managers, ","")IF(INDEX('MOA role matrix'!$B$2:$D$13,10,MATCH($B475,'MOA role matrix'!$B$1:$D$1,0))="If finance","Division MOI managers (if finance), ","")IF(INDEX('MOA role matrix'!$B$2:$D$13,10,MATCH($B475,'MOA role matrix'!$B$1:$D$1,0))="Auto","Division MOI managers (auto), ","")IF(INDEX('MOA role matrix'!$B$2:$D$13,11,MATCH($B475,'MOA role matrix'!$B$1:$D$1,0))="Fill","Ms Teh (bank), ","")IF(INDEX('MOA role matrix'!$B$2:$D$13,11,MATCH($B475,'MOA role matrix'!$B$1:$D$1,0))="If finance","Ms Teh (bank) (if finance), ","")IF(INDEX('MOA role matrix'!$B$2:$D$13,11,MATCH($B475,'MOA role matrix'!$B$1:$D$1,0))="Auto","Ms Teh (bank) (auto), ","")IF(INDEX('MOA role matrix'!$B$2:$D$13,12,MATCH($B475,'MOA role matrix'!$B$1:$D$1,0))="Fill","DLCM, ","")IF(INDEX('MOA role matrix'!$B$2:$D$13,12,MATCH($B475,'MOA role matrix'!$B$1:$D$1,0))="If finance","DLCM (if finance), ","")IF(INDEX('MOA role matrix'!$B$2:$D$13,12,MATCH($B475,'MOA role matrix'!$B$1:$D$1,0))="Auto","DLCM (auto), ","")))</f>
        <v/>
      </c>
      <c r="D475" s="5">
        <f>IF($A475="","",IFERROR(INDEX(FILTER('Client contacts'!$B$2:$B$500,('Client contacts'!$A$2:$A$500=$A475)*('Client contacts'!$H$2:$H$500="Y"),""),1),""))</f>
        <v/>
      </c>
      <c r="E475" s="5">
        <f>IF($A475="","",IFERROR(INDEX(FILTER('Client contacts'!$C$2:$C$500,('Client contacts'!$A$2:$A$500=$A475)*('Client contacts'!$H$2:$H$500="Y"),""),1),""))</f>
        <v/>
      </c>
      <c r="F475" s="5">
        <f>IF($A475="","",IFERROR(INDEX(FILTER('Client contacts'!$B$2:$B$500,('Client contacts'!$A$2:$A$500=$A475)*('Client contacts'!$G$2:$G$500="Y"),""),1),""))</f>
        <v/>
      </c>
      <c r="G475" s="5">
        <f>IF($A475="","",IFERROR(INDEX(FILTER('Client contacts'!$C$2:$C$500,('Client contacts'!$A$2:$A$500=$A475)*('Client contacts'!$G$2:$G$500="Y"),""),1),""))</f>
        <v/>
      </c>
      <c r="H475" s="5">
        <f>IF($A475="","",IFERROR(INDEX(FILTER('Client contacts'!$B$2:$B$500,('Client contacts'!$A$2:$A$500=$A475)*('Client contacts'!$G$2:$G$500="Y"),""),2),""))</f>
        <v/>
      </c>
      <c r="I475" s="5">
        <f>IF($A475="","",IFERROR(INDEX(FILTER('Client contacts'!$C$2:$C$500,('Client contacts'!$A$2:$A$500=$A475)*('Client contacts'!$G$2:$G$500="Y"),""),2),""))</f>
        <v/>
      </c>
      <c r="J475" s="8" t="n"/>
      <c r="K475" s="8" t="n"/>
      <c r="L475" s="8" t="n"/>
      <c r="M475" s="8" t="n"/>
      <c r="N475" s="8" t="n"/>
      <c r="O475" s="8" t="n"/>
      <c r="P475" s="8" t="n"/>
      <c r="Q475" s="8" t="n"/>
      <c r="R475" s="5">
        <f>IF($A475="","",IFERROR(INDEX(Companies!$I$2:$I$500,MATCH($A475,Companies!$A$2:$A$500,0)),""))</f>
        <v/>
      </c>
      <c r="S475" s="8" t="n"/>
      <c r="T475" s="8" t="n"/>
      <c r="U475" s="8" t="n"/>
      <c r="V475" s="8" t="n"/>
      <c r="W475" s="8" t="n"/>
    </row>
    <row r="476">
      <c r="C476" s="5">
        <f>IF($B476="","",TRIM(IF(INDEX('MOA role matrix'!$B$2:$D$13,1,MATCH($B476,'MOA role matrix'!$B$1:$D$1,0))="Fill","Project initiator, ","")IF(INDEX('MOA role matrix'!$B$2:$D$13,1,MATCH($B476,'MOA role matrix'!$B$1:$D$1,0))="If finance","Project initiator (if finance), ","")IF(INDEX('MOA role matrix'!$B$2:$D$13,1,MATCH($B476,'MOA role matrix'!$B$1:$D$1,0))="Auto","Project initiator (auto), ","")IF(INDEX('MOA role matrix'!$B$2:$D$13,2,MATCH($B476,'MOA role matrix'!$B$1:$D$1,0))="Fill","MOA signers (client), ","")IF(INDEX('MOA role matrix'!$B$2:$D$13,2,MATCH($B476,'MOA role matrix'!$B$1:$D$1,0))="If finance","MOA signers (client) (if finance), ","")IF(INDEX('MOA role matrix'!$B$2:$D$13,2,MATCH($B476,'MOA role matrix'!$B$1:$D$1,0))="Auto","MOA signers (client) (auto), ","")IF(INDEX('MOA role matrix'!$B$2:$D$13,3,MATCH($B476,'MOA role matrix'!$B$1:$D$1,0))="Fill","CFO / Head of Finance, ","")IF(INDEX('MOA role matrix'!$B$2:$D$13,3,MATCH($B476,'MOA role matrix'!$B$1:$D$1,0))="If finance","CFO / Head of Finance (if finance), ","")IF(INDEX('MOA role matrix'!$B$2:$D$13,3,MATCH($B476,'MOA role matrix'!$B$1:$D$1,0))="Auto","CFO / Head of Finance (auto), ","")IF(INDEX('MOA role matrix'!$B$2:$D$13,4,MATCH($B476,'MOA role matrix'!$B$1:$D$1,0))="Fill","CEO / COO / GM, ","")IF(INDEX('MOA role matrix'!$B$2:$D$13,4,MATCH($B476,'MOA role matrix'!$B$1:$D$1,0))="If finance","CEO / COO / GM (if finance), ","")IF(INDEX('MOA role matrix'!$B$2:$D$13,4,MATCH($B476,'MOA role matrix'!$B$1:$D$1,0))="Auto","CEO / COO / GM (auto), ","")IF(INDEX('MOA role matrix'!$B$2:$D$13,5,MATCH($B476,'MOA role matrix'!$B$1:$D$1,0))="Fill","Board member 1, ","")IF(INDEX('MOA role matrix'!$B$2:$D$13,5,MATCH($B476,'MOA role matrix'!$B$1:$D$1,0))="If finance","Board member 1 (if finance), ","")IF(INDEX('MOA role matrix'!$B$2:$D$13,5,MATCH($B476,'MOA role matrix'!$B$1:$D$1,0))="Auto","Board member 1 (auto), ","")IF(INDEX('MOA role matrix'!$B$2:$D$13,6,MATCH($B476,'MOA role matrix'!$B$1:$D$1,0))="Fill","Board member 2, ","")IF(INDEX('MOA role matrix'!$B$2:$D$13,6,MATCH($B476,'MOA role matrix'!$B$1:$D$1,0))="If finance","Board member 2 (if finance), ","")IF(INDEX('MOA role matrix'!$B$2:$D$13,6,MATCH($B476,'MOA role matrix'!$B$1:$D$1,0))="Auto","Board member 2 (auto), ","")IF(INDEX('MOA role matrix'!$B$2:$D$13,7,MATCH($B476,'MOA role matrix'!$B$1:$D$1,0))="Fill","LOA holder 1, ","")IF(INDEX('MOA role matrix'!$B$2:$D$13,7,MATCH($B476,'MOA role matrix'!$B$1:$D$1,0))="If finance","LOA holder 1 (if finance), ","")IF(INDEX('MOA role matrix'!$B$2:$D$13,7,MATCH($B476,'MOA role matrix'!$B$1:$D$1,0))="Auto","LOA holder 1 (auto), ","")IF(INDEX('MOA role matrix'!$B$2:$D$13,8,MATCH($B476,'MOA role matrix'!$B$1:$D$1,0))="Fill","LOA holder 2, ","")IF(INDEX('MOA role matrix'!$B$2:$D$13,8,MATCH($B476,'MOA role matrix'!$B$1:$D$1,0))="If finance","LOA holder 2 (if finance), ","")IF(INDEX('MOA role matrix'!$B$2:$D$13,8,MATCH($B476,'MOA role matrix'!$B$1:$D$1,0))="Auto","LOA holder 2 (auto), ","")IF(INDEX('MOA role matrix'!$B$2:$D$13,9,MATCH($B476,'MOA role matrix'!$B$1:$D$1,0))="Fill","Senior Manager CoSec, ","")IF(INDEX('MOA role matrix'!$B$2:$D$13,9,MATCH($B476,'MOA role matrix'!$B$1:$D$1,0))="If finance","Senior Manager CoSec (if finance), ","")IF(INDEX('MOA role matrix'!$B$2:$D$13,9,MATCH($B476,'MOA role matrix'!$B$1:$D$1,0))="Auto","Senior Manager CoSec (auto), ","")IF(INDEX('MOA role matrix'!$B$2:$D$13,10,MATCH($B476,'MOA role matrix'!$B$1:$D$1,0))="Fill","Division MOI managers, ","")IF(INDEX('MOA role matrix'!$B$2:$D$13,10,MATCH($B476,'MOA role matrix'!$B$1:$D$1,0))="If finance","Division MOI managers (if finance), ","")IF(INDEX('MOA role matrix'!$B$2:$D$13,10,MATCH($B476,'MOA role matrix'!$B$1:$D$1,0))="Auto","Division MOI managers (auto), ","")IF(INDEX('MOA role matrix'!$B$2:$D$13,11,MATCH($B476,'MOA role matrix'!$B$1:$D$1,0))="Fill","Ms Teh (bank), ","")IF(INDEX('MOA role matrix'!$B$2:$D$13,11,MATCH($B476,'MOA role matrix'!$B$1:$D$1,0))="If finance","Ms Teh (bank) (if finance), ","")IF(INDEX('MOA role matrix'!$B$2:$D$13,11,MATCH($B476,'MOA role matrix'!$B$1:$D$1,0))="Auto","Ms Teh (bank) (auto), ","")IF(INDEX('MOA role matrix'!$B$2:$D$13,12,MATCH($B476,'MOA role matrix'!$B$1:$D$1,0))="Fill","DLCM, ","")IF(INDEX('MOA role matrix'!$B$2:$D$13,12,MATCH($B476,'MOA role matrix'!$B$1:$D$1,0))="If finance","DLCM (if finance), ","")IF(INDEX('MOA role matrix'!$B$2:$D$13,12,MATCH($B476,'MOA role matrix'!$B$1:$D$1,0))="Auto","DLCM (auto), ","")))</f>
        <v/>
      </c>
      <c r="D476" s="5">
        <f>IF($A476="","",IFERROR(INDEX(FILTER('Client contacts'!$B$2:$B$500,('Client contacts'!$A$2:$A$500=$A476)*('Client contacts'!$H$2:$H$500="Y"),""),1),""))</f>
        <v/>
      </c>
      <c r="E476" s="5">
        <f>IF($A476="","",IFERROR(INDEX(FILTER('Client contacts'!$C$2:$C$500,('Client contacts'!$A$2:$A$500=$A476)*('Client contacts'!$H$2:$H$500="Y"),""),1),""))</f>
        <v/>
      </c>
      <c r="F476" s="5">
        <f>IF($A476="","",IFERROR(INDEX(FILTER('Client contacts'!$B$2:$B$500,('Client contacts'!$A$2:$A$500=$A476)*('Client contacts'!$G$2:$G$500="Y"),""),1),""))</f>
        <v/>
      </c>
      <c r="G476" s="5">
        <f>IF($A476="","",IFERROR(INDEX(FILTER('Client contacts'!$C$2:$C$500,('Client contacts'!$A$2:$A$500=$A476)*('Client contacts'!$G$2:$G$500="Y"),""),1),""))</f>
        <v/>
      </c>
      <c r="H476" s="5">
        <f>IF($A476="","",IFERROR(INDEX(FILTER('Client contacts'!$B$2:$B$500,('Client contacts'!$A$2:$A$500=$A476)*('Client contacts'!$G$2:$G$500="Y"),""),2),""))</f>
        <v/>
      </c>
      <c r="I476" s="5">
        <f>IF($A476="","",IFERROR(INDEX(FILTER('Client contacts'!$C$2:$C$500,('Client contacts'!$A$2:$A$500=$A476)*('Client contacts'!$G$2:$G$500="Y"),""),2),""))</f>
        <v/>
      </c>
      <c r="J476" s="8" t="n"/>
      <c r="K476" s="8" t="n"/>
      <c r="L476" s="8" t="n"/>
      <c r="M476" s="8" t="n"/>
      <c r="N476" s="8" t="n"/>
      <c r="O476" s="8" t="n"/>
      <c r="P476" s="8" t="n"/>
      <c r="Q476" s="8" t="n"/>
      <c r="R476" s="5">
        <f>IF($A476="","",IFERROR(INDEX(Companies!$I$2:$I$500,MATCH($A476,Companies!$A$2:$A$500,0)),""))</f>
        <v/>
      </c>
      <c r="S476" s="8" t="n"/>
      <c r="T476" s="8" t="n"/>
      <c r="U476" s="8" t="n"/>
      <c r="V476" s="8" t="n"/>
      <c r="W476" s="8" t="n"/>
    </row>
    <row r="477">
      <c r="C477" s="5">
        <f>IF($B477="","",TRIM(IF(INDEX('MOA role matrix'!$B$2:$D$13,1,MATCH($B477,'MOA role matrix'!$B$1:$D$1,0))="Fill","Project initiator, ","")IF(INDEX('MOA role matrix'!$B$2:$D$13,1,MATCH($B477,'MOA role matrix'!$B$1:$D$1,0))="If finance","Project initiator (if finance), ","")IF(INDEX('MOA role matrix'!$B$2:$D$13,1,MATCH($B477,'MOA role matrix'!$B$1:$D$1,0))="Auto","Project initiator (auto), ","")IF(INDEX('MOA role matrix'!$B$2:$D$13,2,MATCH($B477,'MOA role matrix'!$B$1:$D$1,0))="Fill","MOA signers (client), ","")IF(INDEX('MOA role matrix'!$B$2:$D$13,2,MATCH($B477,'MOA role matrix'!$B$1:$D$1,0))="If finance","MOA signers (client) (if finance), ","")IF(INDEX('MOA role matrix'!$B$2:$D$13,2,MATCH($B477,'MOA role matrix'!$B$1:$D$1,0))="Auto","MOA signers (client) (auto), ","")IF(INDEX('MOA role matrix'!$B$2:$D$13,3,MATCH($B477,'MOA role matrix'!$B$1:$D$1,0))="Fill","CFO / Head of Finance, ","")IF(INDEX('MOA role matrix'!$B$2:$D$13,3,MATCH($B477,'MOA role matrix'!$B$1:$D$1,0))="If finance","CFO / Head of Finance (if finance), ","")IF(INDEX('MOA role matrix'!$B$2:$D$13,3,MATCH($B477,'MOA role matrix'!$B$1:$D$1,0))="Auto","CFO / Head of Finance (auto), ","")IF(INDEX('MOA role matrix'!$B$2:$D$13,4,MATCH($B477,'MOA role matrix'!$B$1:$D$1,0))="Fill","CEO / COO / GM, ","")IF(INDEX('MOA role matrix'!$B$2:$D$13,4,MATCH($B477,'MOA role matrix'!$B$1:$D$1,0))="If finance","CEO / COO / GM (if finance), ","")IF(INDEX('MOA role matrix'!$B$2:$D$13,4,MATCH($B477,'MOA role matrix'!$B$1:$D$1,0))="Auto","CEO / COO / GM (auto), ","")IF(INDEX('MOA role matrix'!$B$2:$D$13,5,MATCH($B477,'MOA role matrix'!$B$1:$D$1,0))="Fill","Board member 1, ","")IF(INDEX('MOA role matrix'!$B$2:$D$13,5,MATCH($B477,'MOA role matrix'!$B$1:$D$1,0))="If finance","Board member 1 (if finance), ","")IF(INDEX('MOA role matrix'!$B$2:$D$13,5,MATCH($B477,'MOA role matrix'!$B$1:$D$1,0))="Auto","Board member 1 (auto), ","")IF(INDEX('MOA role matrix'!$B$2:$D$13,6,MATCH($B477,'MOA role matrix'!$B$1:$D$1,0))="Fill","Board member 2, ","")IF(INDEX('MOA role matrix'!$B$2:$D$13,6,MATCH($B477,'MOA role matrix'!$B$1:$D$1,0))="If finance","Board member 2 (if finance), ","")IF(INDEX('MOA role matrix'!$B$2:$D$13,6,MATCH($B477,'MOA role matrix'!$B$1:$D$1,0))="Auto","Board member 2 (auto), ","")IF(INDEX('MOA role matrix'!$B$2:$D$13,7,MATCH($B477,'MOA role matrix'!$B$1:$D$1,0))="Fill","LOA holder 1, ","")IF(INDEX('MOA role matrix'!$B$2:$D$13,7,MATCH($B477,'MOA role matrix'!$B$1:$D$1,0))="If finance","LOA holder 1 (if finance), ","")IF(INDEX('MOA role matrix'!$B$2:$D$13,7,MATCH($B477,'MOA role matrix'!$B$1:$D$1,0))="Auto","LOA holder 1 (auto), ","")IF(INDEX('MOA role matrix'!$B$2:$D$13,8,MATCH($B477,'MOA role matrix'!$B$1:$D$1,0))="Fill","LOA holder 2, ","")IF(INDEX('MOA role matrix'!$B$2:$D$13,8,MATCH($B477,'MOA role matrix'!$B$1:$D$1,0))="If finance","LOA holder 2 (if finance), ","")IF(INDEX('MOA role matrix'!$B$2:$D$13,8,MATCH($B477,'MOA role matrix'!$B$1:$D$1,0))="Auto","LOA holder 2 (auto), ","")IF(INDEX('MOA role matrix'!$B$2:$D$13,9,MATCH($B477,'MOA role matrix'!$B$1:$D$1,0))="Fill","Senior Manager CoSec, ","")IF(INDEX('MOA role matrix'!$B$2:$D$13,9,MATCH($B477,'MOA role matrix'!$B$1:$D$1,0))="If finance","Senior Manager CoSec (if finance), ","")IF(INDEX('MOA role matrix'!$B$2:$D$13,9,MATCH($B477,'MOA role matrix'!$B$1:$D$1,0))="Auto","Senior Manager CoSec (auto), ","")IF(INDEX('MOA role matrix'!$B$2:$D$13,10,MATCH($B477,'MOA role matrix'!$B$1:$D$1,0))="Fill","Division MOI managers, ","")IF(INDEX('MOA role matrix'!$B$2:$D$13,10,MATCH($B477,'MOA role matrix'!$B$1:$D$1,0))="If finance","Division MOI managers (if finance), ","")IF(INDEX('MOA role matrix'!$B$2:$D$13,10,MATCH($B477,'MOA role matrix'!$B$1:$D$1,0))="Auto","Division MOI managers (auto), ","")IF(INDEX('MOA role matrix'!$B$2:$D$13,11,MATCH($B477,'MOA role matrix'!$B$1:$D$1,0))="Fill","Ms Teh (bank), ","")IF(INDEX('MOA role matrix'!$B$2:$D$13,11,MATCH($B477,'MOA role matrix'!$B$1:$D$1,0))="If finance","Ms Teh (bank) (if finance), ","")IF(INDEX('MOA role matrix'!$B$2:$D$13,11,MATCH($B477,'MOA role matrix'!$B$1:$D$1,0))="Auto","Ms Teh (bank) (auto), ","")IF(INDEX('MOA role matrix'!$B$2:$D$13,12,MATCH($B477,'MOA role matrix'!$B$1:$D$1,0))="Fill","DLCM, ","")IF(INDEX('MOA role matrix'!$B$2:$D$13,12,MATCH($B477,'MOA role matrix'!$B$1:$D$1,0))="If finance","DLCM (if finance), ","")IF(INDEX('MOA role matrix'!$B$2:$D$13,12,MATCH($B477,'MOA role matrix'!$B$1:$D$1,0))="Auto","DLCM (auto), ","")))</f>
        <v/>
      </c>
      <c r="D477" s="5">
        <f>IF($A477="","",IFERROR(INDEX(FILTER('Client contacts'!$B$2:$B$500,('Client contacts'!$A$2:$A$500=$A477)*('Client contacts'!$H$2:$H$500="Y"),""),1),""))</f>
        <v/>
      </c>
      <c r="E477" s="5">
        <f>IF($A477="","",IFERROR(INDEX(FILTER('Client contacts'!$C$2:$C$500,('Client contacts'!$A$2:$A$500=$A477)*('Client contacts'!$H$2:$H$500="Y"),""),1),""))</f>
        <v/>
      </c>
      <c r="F477" s="5">
        <f>IF($A477="","",IFERROR(INDEX(FILTER('Client contacts'!$B$2:$B$500,('Client contacts'!$A$2:$A$500=$A477)*('Client contacts'!$G$2:$G$500="Y"),""),1),""))</f>
        <v/>
      </c>
      <c r="G477" s="5">
        <f>IF($A477="","",IFERROR(INDEX(FILTER('Client contacts'!$C$2:$C$500,('Client contacts'!$A$2:$A$500=$A477)*('Client contacts'!$G$2:$G$500="Y"),""),1),""))</f>
        <v/>
      </c>
      <c r="H477" s="5">
        <f>IF($A477="","",IFERROR(INDEX(FILTER('Client contacts'!$B$2:$B$500,('Client contacts'!$A$2:$A$500=$A477)*('Client contacts'!$G$2:$G$500="Y"),""),2),""))</f>
        <v/>
      </c>
      <c r="I477" s="5">
        <f>IF($A477="","",IFERROR(INDEX(FILTER('Client contacts'!$C$2:$C$500,('Client contacts'!$A$2:$A$500=$A477)*('Client contacts'!$G$2:$G$500="Y"),""),2),""))</f>
        <v/>
      </c>
      <c r="J477" s="8" t="n"/>
      <c r="K477" s="8" t="n"/>
      <c r="L477" s="8" t="n"/>
      <c r="M477" s="8" t="n"/>
      <c r="N477" s="8" t="n"/>
      <c r="O477" s="8" t="n"/>
      <c r="P477" s="8" t="n"/>
      <c r="Q477" s="8" t="n"/>
      <c r="R477" s="5">
        <f>IF($A477="","",IFERROR(INDEX(Companies!$I$2:$I$500,MATCH($A477,Companies!$A$2:$A$500,0)),""))</f>
        <v/>
      </c>
      <c r="S477" s="8" t="n"/>
      <c r="T477" s="8" t="n"/>
      <c r="U477" s="8" t="n"/>
      <c r="V477" s="8" t="n"/>
      <c r="W477" s="8" t="n"/>
    </row>
    <row r="478">
      <c r="C478" s="5">
        <f>IF($B478="","",TRIM(IF(INDEX('MOA role matrix'!$B$2:$D$13,1,MATCH($B478,'MOA role matrix'!$B$1:$D$1,0))="Fill","Project initiator, ","")IF(INDEX('MOA role matrix'!$B$2:$D$13,1,MATCH($B478,'MOA role matrix'!$B$1:$D$1,0))="If finance","Project initiator (if finance), ","")IF(INDEX('MOA role matrix'!$B$2:$D$13,1,MATCH($B478,'MOA role matrix'!$B$1:$D$1,0))="Auto","Project initiator (auto), ","")IF(INDEX('MOA role matrix'!$B$2:$D$13,2,MATCH($B478,'MOA role matrix'!$B$1:$D$1,0))="Fill","MOA signers (client), ","")IF(INDEX('MOA role matrix'!$B$2:$D$13,2,MATCH($B478,'MOA role matrix'!$B$1:$D$1,0))="If finance","MOA signers (client) (if finance), ","")IF(INDEX('MOA role matrix'!$B$2:$D$13,2,MATCH($B478,'MOA role matrix'!$B$1:$D$1,0))="Auto","MOA signers (client) (auto), ","")IF(INDEX('MOA role matrix'!$B$2:$D$13,3,MATCH($B478,'MOA role matrix'!$B$1:$D$1,0))="Fill","CFO / Head of Finance, ","")IF(INDEX('MOA role matrix'!$B$2:$D$13,3,MATCH($B478,'MOA role matrix'!$B$1:$D$1,0))="If finance","CFO / Head of Finance (if finance), ","")IF(INDEX('MOA role matrix'!$B$2:$D$13,3,MATCH($B478,'MOA role matrix'!$B$1:$D$1,0))="Auto","CFO / Head of Finance (auto), ","")IF(INDEX('MOA role matrix'!$B$2:$D$13,4,MATCH($B478,'MOA role matrix'!$B$1:$D$1,0))="Fill","CEO / COO / GM, ","")IF(INDEX('MOA role matrix'!$B$2:$D$13,4,MATCH($B478,'MOA role matrix'!$B$1:$D$1,0))="If finance","CEO / COO / GM (if finance), ","")IF(INDEX('MOA role matrix'!$B$2:$D$13,4,MATCH($B478,'MOA role matrix'!$B$1:$D$1,0))="Auto","CEO / COO / GM (auto), ","")IF(INDEX('MOA role matrix'!$B$2:$D$13,5,MATCH($B478,'MOA role matrix'!$B$1:$D$1,0))="Fill","Board member 1, ","")IF(INDEX('MOA role matrix'!$B$2:$D$13,5,MATCH($B478,'MOA role matrix'!$B$1:$D$1,0))="If finance","Board member 1 (if finance), ","")IF(INDEX('MOA role matrix'!$B$2:$D$13,5,MATCH($B478,'MOA role matrix'!$B$1:$D$1,0))="Auto","Board member 1 (auto), ","")IF(INDEX('MOA role matrix'!$B$2:$D$13,6,MATCH($B478,'MOA role matrix'!$B$1:$D$1,0))="Fill","Board member 2, ","")IF(INDEX('MOA role matrix'!$B$2:$D$13,6,MATCH($B478,'MOA role matrix'!$B$1:$D$1,0))="If finance","Board member 2 (if finance), ","")IF(INDEX('MOA role matrix'!$B$2:$D$13,6,MATCH($B478,'MOA role matrix'!$B$1:$D$1,0))="Auto","Board member 2 (auto), ","")IF(INDEX('MOA role matrix'!$B$2:$D$13,7,MATCH($B478,'MOA role matrix'!$B$1:$D$1,0))="Fill","LOA holder 1, ","")IF(INDEX('MOA role matrix'!$B$2:$D$13,7,MATCH($B478,'MOA role matrix'!$B$1:$D$1,0))="If finance","LOA holder 1 (if finance), ","")IF(INDEX('MOA role matrix'!$B$2:$D$13,7,MATCH($B478,'MOA role matrix'!$B$1:$D$1,0))="Auto","LOA holder 1 (auto), ","")IF(INDEX('MOA role matrix'!$B$2:$D$13,8,MATCH($B478,'MOA role matrix'!$B$1:$D$1,0))="Fill","LOA holder 2, ","")IF(INDEX('MOA role matrix'!$B$2:$D$13,8,MATCH($B478,'MOA role matrix'!$B$1:$D$1,0))="If finance","LOA holder 2 (if finance), ","")IF(INDEX('MOA role matrix'!$B$2:$D$13,8,MATCH($B478,'MOA role matrix'!$B$1:$D$1,0))="Auto","LOA holder 2 (auto), ","")IF(INDEX('MOA role matrix'!$B$2:$D$13,9,MATCH($B478,'MOA role matrix'!$B$1:$D$1,0))="Fill","Senior Manager CoSec, ","")IF(INDEX('MOA role matrix'!$B$2:$D$13,9,MATCH($B478,'MOA role matrix'!$B$1:$D$1,0))="If finance","Senior Manager CoSec (if finance), ","")IF(INDEX('MOA role matrix'!$B$2:$D$13,9,MATCH($B478,'MOA role matrix'!$B$1:$D$1,0))="Auto","Senior Manager CoSec (auto), ","")IF(INDEX('MOA role matrix'!$B$2:$D$13,10,MATCH($B478,'MOA role matrix'!$B$1:$D$1,0))="Fill","Division MOI managers, ","")IF(INDEX('MOA role matrix'!$B$2:$D$13,10,MATCH($B478,'MOA role matrix'!$B$1:$D$1,0))="If finance","Division MOI managers (if finance), ","")IF(INDEX('MOA role matrix'!$B$2:$D$13,10,MATCH($B478,'MOA role matrix'!$B$1:$D$1,0))="Auto","Division MOI managers (auto), ","")IF(INDEX('MOA role matrix'!$B$2:$D$13,11,MATCH($B478,'MOA role matrix'!$B$1:$D$1,0))="Fill","Ms Teh (bank), ","")IF(INDEX('MOA role matrix'!$B$2:$D$13,11,MATCH($B478,'MOA role matrix'!$B$1:$D$1,0))="If finance","Ms Teh (bank) (if finance), ","")IF(INDEX('MOA role matrix'!$B$2:$D$13,11,MATCH($B478,'MOA role matrix'!$B$1:$D$1,0))="Auto","Ms Teh (bank) (auto), ","")IF(INDEX('MOA role matrix'!$B$2:$D$13,12,MATCH($B478,'MOA role matrix'!$B$1:$D$1,0))="Fill","DLCM, ","")IF(INDEX('MOA role matrix'!$B$2:$D$13,12,MATCH($B478,'MOA role matrix'!$B$1:$D$1,0))="If finance","DLCM (if finance), ","")IF(INDEX('MOA role matrix'!$B$2:$D$13,12,MATCH($B478,'MOA role matrix'!$B$1:$D$1,0))="Auto","DLCM (auto), ","")))</f>
        <v/>
      </c>
      <c r="D478" s="5">
        <f>IF($A478="","",IFERROR(INDEX(FILTER('Client contacts'!$B$2:$B$500,('Client contacts'!$A$2:$A$500=$A478)*('Client contacts'!$H$2:$H$500="Y"),""),1),""))</f>
        <v/>
      </c>
      <c r="E478" s="5">
        <f>IF($A478="","",IFERROR(INDEX(FILTER('Client contacts'!$C$2:$C$500,('Client contacts'!$A$2:$A$500=$A478)*('Client contacts'!$H$2:$H$500="Y"),""),1),""))</f>
        <v/>
      </c>
      <c r="F478" s="5">
        <f>IF($A478="","",IFERROR(INDEX(FILTER('Client contacts'!$B$2:$B$500,('Client contacts'!$A$2:$A$500=$A478)*('Client contacts'!$G$2:$G$500="Y"),""),1),""))</f>
        <v/>
      </c>
      <c r="G478" s="5">
        <f>IF($A478="","",IFERROR(INDEX(FILTER('Client contacts'!$C$2:$C$500,('Client contacts'!$A$2:$A$500=$A478)*('Client contacts'!$G$2:$G$500="Y"),""),1),""))</f>
        <v/>
      </c>
      <c r="H478" s="5">
        <f>IF($A478="","",IFERROR(INDEX(FILTER('Client contacts'!$B$2:$B$500,('Client contacts'!$A$2:$A$500=$A478)*('Client contacts'!$G$2:$G$500="Y"),""),2),""))</f>
        <v/>
      </c>
      <c r="I478" s="5">
        <f>IF($A478="","",IFERROR(INDEX(FILTER('Client contacts'!$C$2:$C$500,('Client contacts'!$A$2:$A$500=$A478)*('Client contacts'!$G$2:$G$500="Y"),""),2),""))</f>
        <v/>
      </c>
      <c r="J478" s="8" t="n"/>
      <c r="K478" s="8" t="n"/>
      <c r="L478" s="8" t="n"/>
      <c r="M478" s="8" t="n"/>
      <c r="N478" s="8" t="n"/>
      <c r="O478" s="8" t="n"/>
      <c r="P478" s="8" t="n"/>
      <c r="Q478" s="8" t="n"/>
      <c r="R478" s="5">
        <f>IF($A478="","",IFERROR(INDEX(Companies!$I$2:$I$500,MATCH($A478,Companies!$A$2:$A$500,0)),""))</f>
        <v/>
      </c>
      <c r="S478" s="8" t="n"/>
      <c r="T478" s="8" t="n"/>
      <c r="U478" s="8" t="n"/>
      <c r="V478" s="8" t="n"/>
      <c r="W478" s="8" t="n"/>
    </row>
    <row r="479">
      <c r="C479" s="5">
        <f>IF($B479="","",TRIM(IF(INDEX('MOA role matrix'!$B$2:$D$13,1,MATCH($B479,'MOA role matrix'!$B$1:$D$1,0))="Fill","Project initiator, ","")IF(INDEX('MOA role matrix'!$B$2:$D$13,1,MATCH($B479,'MOA role matrix'!$B$1:$D$1,0))="If finance","Project initiator (if finance), ","")IF(INDEX('MOA role matrix'!$B$2:$D$13,1,MATCH($B479,'MOA role matrix'!$B$1:$D$1,0))="Auto","Project initiator (auto), ","")IF(INDEX('MOA role matrix'!$B$2:$D$13,2,MATCH($B479,'MOA role matrix'!$B$1:$D$1,0))="Fill","MOA signers (client), ","")IF(INDEX('MOA role matrix'!$B$2:$D$13,2,MATCH($B479,'MOA role matrix'!$B$1:$D$1,0))="If finance","MOA signers (client) (if finance), ","")IF(INDEX('MOA role matrix'!$B$2:$D$13,2,MATCH($B479,'MOA role matrix'!$B$1:$D$1,0))="Auto","MOA signers (client) (auto), ","")IF(INDEX('MOA role matrix'!$B$2:$D$13,3,MATCH($B479,'MOA role matrix'!$B$1:$D$1,0))="Fill","CFO / Head of Finance, ","")IF(INDEX('MOA role matrix'!$B$2:$D$13,3,MATCH($B479,'MOA role matrix'!$B$1:$D$1,0))="If finance","CFO / Head of Finance (if finance), ","")IF(INDEX('MOA role matrix'!$B$2:$D$13,3,MATCH($B479,'MOA role matrix'!$B$1:$D$1,0))="Auto","CFO / Head of Finance (auto), ","")IF(INDEX('MOA role matrix'!$B$2:$D$13,4,MATCH($B479,'MOA role matrix'!$B$1:$D$1,0))="Fill","CEO / COO / GM, ","")IF(INDEX('MOA role matrix'!$B$2:$D$13,4,MATCH($B479,'MOA role matrix'!$B$1:$D$1,0))="If finance","CEO / COO / GM (if finance), ","")IF(INDEX('MOA role matrix'!$B$2:$D$13,4,MATCH($B479,'MOA role matrix'!$B$1:$D$1,0))="Auto","CEO / COO / GM (auto), ","")IF(INDEX('MOA role matrix'!$B$2:$D$13,5,MATCH($B479,'MOA role matrix'!$B$1:$D$1,0))="Fill","Board member 1, ","")IF(INDEX('MOA role matrix'!$B$2:$D$13,5,MATCH($B479,'MOA role matrix'!$B$1:$D$1,0))="If finance","Board member 1 (if finance), ","")IF(INDEX('MOA role matrix'!$B$2:$D$13,5,MATCH($B479,'MOA role matrix'!$B$1:$D$1,0))="Auto","Board member 1 (auto), ","")IF(INDEX('MOA role matrix'!$B$2:$D$13,6,MATCH($B479,'MOA role matrix'!$B$1:$D$1,0))="Fill","Board member 2, ","")IF(INDEX('MOA role matrix'!$B$2:$D$13,6,MATCH($B479,'MOA role matrix'!$B$1:$D$1,0))="If finance","Board member 2 (if finance), ","")IF(INDEX('MOA role matrix'!$B$2:$D$13,6,MATCH($B479,'MOA role matrix'!$B$1:$D$1,0))="Auto","Board member 2 (auto), ","")IF(INDEX('MOA role matrix'!$B$2:$D$13,7,MATCH($B479,'MOA role matrix'!$B$1:$D$1,0))="Fill","LOA holder 1, ","")IF(INDEX('MOA role matrix'!$B$2:$D$13,7,MATCH($B479,'MOA role matrix'!$B$1:$D$1,0))="If finance","LOA holder 1 (if finance), ","")IF(INDEX('MOA role matrix'!$B$2:$D$13,7,MATCH($B479,'MOA role matrix'!$B$1:$D$1,0))="Auto","LOA holder 1 (auto), ","")IF(INDEX('MOA role matrix'!$B$2:$D$13,8,MATCH($B479,'MOA role matrix'!$B$1:$D$1,0))="Fill","LOA holder 2, ","")IF(INDEX('MOA role matrix'!$B$2:$D$13,8,MATCH($B479,'MOA role matrix'!$B$1:$D$1,0))="If finance","LOA holder 2 (if finance), ","")IF(INDEX('MOA role matrix'!$B$2:$D$13,8,MATCH($B479,'MOA role matrix'!$B$1:$D$1,0))="Auto","LOA holder 2 (auto), ","")IF(INDEX('MOA role matrix'!$B$2:$D$13,9,MATCH($B479,'MOA role matrix'!$B$1:$D$1,0))="Fill","Senior Manager CoSec, ","")IF(INDEX('MOA role matrix'!$B$2:$D$13,9,MATCH($B479,'MOA role matrix'!$B$1:$D$1,0))="If finance","Senior Manager CoSec (if finance), ","")IF(INDEX('MOA role matrix'!$B$2:$D$13,9,MATCH($B479,'MOA role matrix'!$B$1:$D$1,0))="Auto","Senior Manager CoSec (auto), ","")IF(INDEX('MOA role matrix'!$B$2:$D$13,10,MATCH($B479,'MOA role matrix'!$B$1:$D$1,0))="Fill","Division MOI managers, ","")IF(INDEX('MOA role matrix'!$B$2:$D$13,10,MATCH($B479,'MOA role matrix'!$B$1:$D$1,0))="If finance","Division MOI managers (if finance), ","")IF(INDEX('MOA role matrix'!$B$2:$D$13,10,MATCH($B479,'MOA role matrix'!$B$1:$D$1,0))="Auto","Division MOI managers (auto), ","")IF(INDEX('MOA role matrix'!$B$2:$D$13,11,MATCH($B479,'MOA role matrix'!$B$1:$D$1,0))="Fill","Ms Teh (bank), ","")IF(INDEX('MOA role matrix'!$B$2:$D$13,11,MATCH($B479,'MOA role matrix'!$B$1:$D$1,0))="If finance","Ms Teh (bank) (if finance), ","")IF(INDEX('MOA role matrix'!$B$2:$D$13,11,MATCH($B479,'MOA role matrix'!$B$1:$D$1,0))="Auto","Ms Teh (bank) (auto), ","")IF(INDEX('MOA role matrix'!$B$2:$D$13,12,MATCH($B479,'MOA role matrix'!$B$1:$D$1,0))="Fill","DLCM, ","")IF(INDEX('MOA role matrix'!$B$2:$D$13,12,MATCH($B479,'MOA role matrix'!$B$1:$D$1,0))="If finance","DLCM (if finance), ","")IF(INDEX('MOA role matrix'!$B$2:$D$13,12,MATCH($B479,'MOA role matrix'!$B$1:$D$1,0))="Auto","DLCM (auto), ","")))</f>
        <v/>
      </c>
      <c r="D479" s="5">
        <f>IF($A479="","",IFERROR(INDEX(FILTER('Client contacts'!$B$2:$B$500,('Client contacts'!$A$2:$A$500=$A479)*('Client contacts'!$H$2:$H$500="Y"),""),1),""))</f>
        <v/>
      </c>
      <c r="E479" s="5">
        <f>IF($A479="","",IFERROR(INDEX(FILTER('Client contacts'!$C$2:$C$500,('Client contacts'!$A$2:$A$500=$A479)*('Client contacts'!$H$2:$H$500="Y"),""),1),""))</f>
        <v/>
      </c>
      <c r="F479" s="5">
        <f>IF($A479="","",IFERROR(INDEX(FILTER('Client contacts'!$B$2:$B$500,('Client contacts'!$A$2:$A$500=$A479)*('Client contacts'!$G$2:$G$500="Y"),""),1),""))</f>
        <v/>
      </c>
      <c r="G479" s="5">
        <f>IF($A479="","",IFERROR(INDEX(FILTER('Client contacts'!$C$2:$C$500,('Client contacts'!$A$2:$A$500=$A479)*('Client contacts'!$G$2:$G$500="Y"),""),1),""))</f>
        <v/>
      </c>
      <c r="H479" s="5">
        <f>IF($A479="","",IFERROR(INDEX(FILTER('Client contacts'!$B$2:$B$500,('Client contacts'!$A$2:$A$500=$A479)*('Client contacts'!$G$2:$G$500="Y"),""),2),""))</f>
        <v/>
      </c>
      <c r="I479" s="5">
        <f>IF($A479="","",IFERROR(INDEX(FILTER('Client contacts'!$C$2:$C$500,('Client contacts'!$A$2:$A$500=$A479)*('Client contacts'!$G$2:$G$500="Y"),""),2),""))</f>
        <v/>
      </c>
      <c r="J479" s="8" t="n"/>
      <c r="K479" s="8" t="n"/>
      <c r="L479" s="8" t="n"/>
      <c r="M479" s="8" t="n"/>
      <c r="N479" s="8" t="n"/>
      <c r="O479" s="8" t="n"/>
      <c r="P479" s="8" t="n"/>
      <c r="Q479" s="8" t="n"/>
      <c r="R479" s="5">
        <f>IF($A479="","",IFERROR(INDEX(Companies!$I$2:$I$500,MATCH($A479,Companies!$A$2:$A$500,0)),""))</f>
        <v/>
      </c>
      <c r="S479" s="8" t="n"/>
      <c r="T479" s="8" t="n"/>
      <c r="U479" s="8" t="n"/>
      <c r="V479" s="8" t="n"/>
      <c r="W479" s="8" t="n"/>
    </row>
    <row r="480">
      <c r="C480" s="5">
        <f>IF($B480="","",TRIM(IF(INDEX('MOA role matrix'!$B$2:$D$13,1,MATCH($B480,'MOA role matrix'!$B$1:$D$1,0))="Fill","Project initiator, ","")IF(INDEX('MOA role matrix'!$B$2:$D$13,1,MATCH($B480,'MOA role matrix'!$B$1:$D$1,0))="If finance","Project initiator (if finance), ","")IF(INDEX('MOA role matrix'!$B$2:$D$13,1,MATCH($B480,'MOA role matrix'!$B$1:$D$1,0))="Auto","Project initiator (auto), ","")IF(INDEX('MOA role matrix'!$B$2:$D$13,2,MATCH($B480,'MOA role matrix'!$B$1:$D$1,0))="Fill","MOA signers (client), ","")IF(INDEX('MOA role matrix'!$B$2:$D$13,2,MATCH($B480,'MOA role matrix'!$B$1:$D$1,0))="If finance","MOA signers (client) (if finance), ","")IF(INDEX('MOA role matrix'!$B$2:$D$13,2,MATCH($B480,'MOA role matrix'!$B$1:$D$1,0))="Auto","MOA signers (client) (auto), ","")IF(INDEX('MOA role matrix'!$B$2:$D$13,3,MATCH($B480,'MOA role matrix'!$B$1:$D$1,0))="Fill","CFO / Head of Finance, ","")IF(INDEX('MOA role matrix'!$B$2:$D$13,3,MATCH($B480,'MOA role matrix'!$B$1:$D$1,0))="If finance","CFO / Head of Finance (if finance), ","")IF(INDEX('MOA role matrix'!$B$2:$D$13,3,MATCH($B480,'MOA role matrix'!$B$1:$D$1,0))="Auto","CFO / Head of Finance (auto), ","")IF(INDEX('MOA role matrix'!$B$2:$D$13,4,MATCH($B480,'MOA role matrix'!$B$1:$D$1,0))="Fill","CEO / COO / GM, ","")IF(INDEX('MOA role matrix'!$B$2:$D$13,4,MATCH($B480,'MOA role matrix'!$B$1:$D$1,0))="If finance","CEO / COO / GM (if finance), ","")IF(INDEX('MOA role matrix'!$B$2:$D$13,4,MATCH($B480,'MOA role matrix'!$B$1:$D$1,0))="Auto","CEO / COO / GM (auto), ","")IF(INDEX('MOA role matrix'!$B$2:$D$13,5,MATCH($B480,'MOA role matrix'!$B$1:$D$1,0))="Fill","Board member 1, ","")IF(INDEX('MOA role matrix'!$B$2:$D$13,5,MATCH($B480,'MOA role matrix'!$B$1:$D$1,0))="If finance","Board member 1 (if finance), ","")IF(INDEX('MOA role matrix'!$B$2:$D$13,5,MATCH($B480,'MOA role matrix'!$B$1:$D$1,0))="Auto","Board member 1 (auto), ","")IF(INDEX('MOA role matrix'!$B$2:$D$13,6,MATCH($B480,'MOA role matrix'!$B$1:$D$1,0))="Fill","Board member 2, ","")IF(INDEX('MOA role matrix'!$B$2:$D$13,6,MATCH($B480,'MOA role matrix'!$B$1:$D$1,0))="If finance","Board member 2 (if finance), ","")IF(INDEX('MOA role matrix'!$B$2:$D$13,6,MATCH($B480,'MOA role matrix'!$B$1:$D$1,0))="Auto","Board member 2 (auto), ","")IF(INDEX('MOA role matrix'!$B$2:$D$13,7,MATCH($B480,'MOA role matrix'!$B$1:$D$1,0))="Fill","LOA holder 1, ","")IF(INDEX('MOA role matrix'!$B$2:$D$13,7,MATCH($B480,'MOA role matrix'!$B$1:$D$1,0))="If finance","LOA holder 1 (if finance), ","")IF(INDEX('MOA role matrix'!$B$2:$D$13,7,MATCH($B480,'MOA role matrix'!$B$1:$D$1,0))="Auto","LOA holder 1 (auto), ","")IF(INDEX('MOA role matrix'!$B$2:$D$13,8,MATCH($B480,'MOA role matrix'!$B$1:$D$1,0))="Fill","LOA holder 2, ","")IF(INDEX('MOA role matrix'!$B$2:$D$13,8,MATCH($B480,'MOA role matrix'!$B$1:$D$1,0))="If finance","LOA holder 2 (if finance), ","")IF(INDEX('MOA role matrix'!$B$2:$D$13,8,MATCH($B480,'MOA role matrix'!$B$1:$D$1,0))="Auto","LOA holder 2 (auto), ","")IF(INDEX('MOA role matrix'!$B$2:$D$13,9,MATCH($B480,'MOA role matrix'!$B$1:$D$1,0))="Fill","Senior Manager CoSec, ","")IF(INDEX('MOA role matrix'!$B$2:$D$13,9,MATCH($B480,'MOA role matrix'!$B$1:$D$1,0))="If finance","Senior Manager CoSec (if finance), ","")IF(INDEX('MOA role matrix'!$B$2:$D$13,9,MATCH($B480,'MOA role matrix'!$B$1:$D$1,0))="Auto","Senior Manager CoSec (auto), ","")IF(INDEX('MOA role matrix'!$B$2:$D$13,10,MATCH($B480,'MOA role matrix'!$B$1:$D$1,0))="Fill","Division MOI managers, ","")IF(INDEX('MOA role matrix'!$B$2:$D$13,10,MATCH($B480,'MOA role matrix'!$B$1:$D$1,0))="If finance","Division MOI managers (if finance), ","")IF(INDEX('MOA role matrix'!$B$2:$D$13,10,MATCH($B480,'MOA role matrix'!$B$1:$D$1,0))="Auto","Division MOI managers (auto), ","")IF(INDEX('MOA role matrix'!$B$2:$D$13,11,MATCH($B480,'MOA role matrix'!$B$1:$D$1,0))="Fill","Ms Teh (bank), ","")IF(INDEX('MOA role matrix'!$B$2:$D$13,11,MATCH($B480,'MOA role matrix'!$B$1:$D$1,0))="If finance","Ms Teh (bank) (if finance), ","")IF(INDEX('MOA role matrix'!$B$2:$D$13,11,MATCH($B480,'MOA role matrix'!$B$1:$D$1,0))="Auto","Ms Teh (bank) (auto), ","")IF(INDEX('MOA role matrix'!$B$2:$D$13,12,MATCH($B480,'MOA role matrix'!$B$1:$D$1,0))="Fill","DLCM, ","")IF(INDEX('MOA role matrix'!$B$2:$D$13,12,MATCH($B480,'MOA role matrix'!$B$1:$D$1,0))="If finance","DLCM (if finance), ","")IF(INDEX('MOA role matrix'!$B$2:$D$13,12,MATCH($B480,'MOA role matrix'!$B$1:$D$1,0))="Auto","DLCM (auto), ","")))</f>
        <v/>
      </c>
      <c r="D480" s="5">
        <f>IF($A480="","",IFERROR(INDEX(FILTER('Client contacts'!$B$2:$B$500,('Client contacts'!$A$2:$A$500=$A480)*('Client contacts'!$H$2:$H$500="Y"),""),1),""))</f>
        <v/>
      </c>
      <c r="E480" s="5">
        <f>IF($A480="","",IFERROR(INDEX(FILTER('Client contacts'!$C$2:$C$500,('Client contacts'!$A$2:$A$500=$A480)*('Client contacts'!$H$2:$H$500="Y"),""),1),""))</f>
        <v/>
      </c>
      <c r="F480" s="5">
        <f>IF($A480="","",IFERROR(INDEX(FILTER('Client contacts'!$B$2:$B$500,('Client contacts'!$A$2:$A$500=$A480)*('Client contacts'!$G$2:$G$500="Y"),""),1),""))</f>
        <v/>
      </c>
      <c r="G480" s="5">
        <f>IF($A480="","",IFERROR(INDEX(FILTER('Client contacts'!$C$2:$C$500,('Client contacts'!$A$2:$A$500=$A480)*('Client contacts'!$G$2:$G$500="Y"),""),1),""))</f>
        <v/>
      </c>
      <c r="H480" s="5">
        <f>IF($A480="","",IFERROR(INDEX(FILTER('Client contacts'!$B$2:$B$500,('Client contacts'!$A$2:$A$500=$A480)*('Client contacts'!$G$2:$G$500="Y"),""),2),""))</f>
        <v/>
      </c>
      <c r="I480" s="5">
        <f>IF($A480="","",IFERROR(INDEX(FILTER('Client contacts'!$C$2:$C$500,('Client contacts'!$A$2:$A$500=$A480)*('Client contacts'!$G$2:$G$500="Y"),""),2),""))</f>
        <v/>
      </c>
      <c r="J480" s="8" t="n"/>
      <c r="K480" s="8" t="n"/>
      <c r="L480" s="8" t="n"/>
      <c r="M480" s="8" t="n"/>
      <c r="N480" s="8" t="n"/>
      <c r="O480" s="8" t="n"/>
      <c r="P480" s="8" t="n"/>
      <c r="Q480" s="8" t="n"/>
      <c r="R480" s="5">
        <f>IF($A480="","",IFERROR(INDEX(Companies!$I$2:$I$500,MATCH($A480,Companies!$A$2:$A$500,0)),""))</f>
        <v/>
      </c>
      <c r="S480" s="8" t="n"/>
      <c r="T480" s="8" t="n"/>
      <c r="U480" s="8" t="n"/>
      <c r="V480" s="8" t="n"/>
      <c r="W480" s="8" t="n"/>
    </row>
    <row r="481">
      <c r="C481" s="5">
        <f>IF($B481="","",TRIM(IF(INDEX('MOA role matrix'!$B$2:$D$13,1,MATCH($B481,'MOA role matrix'!$B$1:$D$1,0))="Fill","Project initiator, ","")IF(INDEX('MOA role matrix'!$B$2:$D$13,1,MATCH($B481,'MOA role matrix'!$B$1:$D$1,0))="If finance","Project initiator (if finance), ","")IF(INDEX('MOA role matrix'!$B$2:$D$13,1,MATCH($B481,'MOA role matrix'!$B$1:$D$1,0))="Auto","Project initiator (auto), ","")IF(INDEX('MOA role matrix'!$B$2:$D$13,2,MATCH($B481,'MOA role matrix'!$B$1:$D$1,0))="Fill","MOA signers (client), ","")IF(INDEX('MOA role matrix'!$B$2:$D$13,2,MATCH($B481,'MOA role matrix'!$B$1:$D$1,0))="If finance","MOA signers (client) (if finance), ","")IF(INDEX('MOA role matrix'!$B$2:$D$13,2,MATCH($B481,'MOA role matrix'!$B$1:$D$1,0))="Auto","MOA signers (client) (auto), ","")IF(INDEX('MOA role matrix'!$B$2:$D$13,3,MATCH($B481,'MOA role matrix'!$B$1:$D$1,0))="Fill","CFO / Head of Finance, ","")IF(INDEX('MOA role matrix'!$B$2:$D$13,3,MATCH($B481,'MOA role matrix'!$B$1:$D$1,0))="If finance","CFO / Head of Finance (if finance), ","")IF(INDEX('MOA role matrix'!$B$2:$D$13,3,MATCH($B481,'MOA role matrix'!$B$1:$D$1,0))="Auto","CFO / Head of Finance (auto), ","")IF(INDEX('MOA role matrix'!$B$2:$D$13,4,MATCH($B481,'MOA role matrix'!$B$1:$D$1,0))="Fill","CEO / COO / GM, ","")IF(INDEX('MOA role matrix'!$B$2:$D$13,4,MATCH($B481,'MOA role matrix'!$B$1:$D$1,0))="If finance","CEO / COO / GM (if finance), ","")IF(INDEX('MOA role matrix'!$B$2:$D$13,4,MATCH($B481,'MOA role matrix'!$B$1:$D$1,0))="Auto","CEO / COO / GM (auto), ","")IF(INDEX('MOA role matrix'!$B$2:$D$13,5,MATCH($B481,'MOA role matrix'!$B$1:$D$1,0))="Fill","Board member 1, ","")IF(INDEX('MOA role matrix'!$B$2:$D$13,5,MATCH($B481,'MOA role matrix'!$B$1:$D$1,0))="If finance","Board member 1 (if finance), ","")IF(INDEX('MOA role matrix'!$B$2:$D$13,5,MATCH($B481,'MOA role matrix'!$B$1:$D$1,0))="Auto","Board member 1 (auto), ","")IF(INDEX('MOA role matrix'!$B$2:$D$13,6,MATCH($B481,'MOA role matrix'!$B$1:$D$1,0))="Fill","Board member 2, ","")IF(INDEX('MOA role matrix'!$B$2:$D$13,6,MATCH($B481,'MOA role matrix'!$B$1:$D$1,0))="If finance","Board member 2 (if finance), ","")IF(INDEX('MOA role matrix'!$B$2:$D$13,6,MATCH($B481,'MOA role matrix'!$B$1:$D$1,0))="Auto","Board member 2 (auto), ","")IF(INDEX('MOA role matrix'!$B$2:$D$13,7,MATCH($B481,'MOA role matrix'!$B$1:$D$1,0))="Fill","LOA holder 1, ","")IF(INDEX('MOA role matrix'!$B$2:$D$13,7,MATCH($B481,'MOA role matrix'!$B$1:$D$1,0))="If finance","LOA holder 1 (if finance), ","")IF(INDEX('MOA role matrix'!$B$2:$D$13,7,MATCH($B481,'MOA role matrix'!$B$1:$D$1,0))="Auto","LOA holder 1 (auto), ","")IF(INDEX('MOA role matrix'!$B$2:$D$13,8,MATCH($B481,'MOA role matrix'!$B$1:$D$1,0))="Fill","LOA holder 2, ","")IF(INDEX('MOA role matrix'!$B$2:$D$13,8,MATCH($B481,'MOA role matrix'!$B$1:$D$1,0))="If finance","LOA holder 2 (if finance), ","")IF(INDEX('MOA role matrix'!$B$2:$D$13,8,MATCH($B481,'MOA role matrix'!$B$1:$D$1,0))="Auto","LOA holder 2 (auto), ","")IF(INDEX('MOA role matrix'!$B$2:$D$13,9,MATCH($B481,'MOA role matrix'!$B$1:$D$1,0))="Fill","Senior Manager CoSec, ","")IF(INDEX('MOA role matrix'!$B$2:$D$13,9,MATCH($B481,'MOA role matrix'!$B$1:$D$1,0))="If finance","Senior Manager CoSec (if finance), ","")IF(INDEX('MOA role matrix'!$B$2:$D$13,9,MATCH($B481,'MOA role matrix'!$B$1:$D$1,0))="Auto","Senior Manager CoSec (auto), ","")IF(INDEX('MOA role matrix'!$B$2:$D$13,10,MATCH($B481,'MOA role matrix'!$B$1:$D$1,0))="Fill","Division MOI managers, ","")IF(INDEX('MOA role matrix'!$B$2:$D$13,10,MATCH($B481,'MOA role matrix'!$B$1:$D$1,0))="If finance","Division MOI managers (if finance), ","")IF(INDEX('MOA role matrix'!$B$2:$D$13,10,MATCH($B481,'MOA role matrix'!$B$1:$D$1,0))="Auto","Division MOI managers (auto), ","")IF(INDEX('MOA role matrix'!$B$2:$D$13,11,MATCH($B481,'MOA role matrix'!$B$1:$D$1,0))="Fill","Ms Teh (bank), ","")IF(INDEX('MOA role matrix'!$B$2:$D$13,11,MATCH($B481,'MOA role matrix'!$B$1:$D$1,0))="If finance","Ms Teh (bank) (if finance), ","")IF(INDEX('MOA role matrix'!$B$2:$D$13,11,MATCH($B481,'MOA role matrix'!$B$1:$D$1,0))="Auto","Ms Teh (bank) (auto), ","")IF(INDEX('MOA role matrix'!$B$2:$D$13,12,MATCH($B481,'MOA role matrix'!$B$1:$D$1,0))="Fill","DLCM, ","")IF(INDEX('MOA role matrix'!$B$2:$D$13,12,MATCH($B481,'MOA role matrix'!$B$1:$D$1,0))="If finance","DLCM (if finance), ","")IF(INDEX('MOA role matrix'!$B$2:$D$13,12,MATCH($B481,'MOA role matrix'!$B$1:$D$1,0))="Auto","DLCM (auto), ","")))</f>
        <v/>
      </c>
      <c r="D481" s="5">
        <f>IF($A481="","",IFERROR(INDEX(FILTER('Client contacts'!$B$2:$B$500,('Client contacts'!$A$2:$A$500=$A481)*('Client contacts'!$H$2:$H$500="Y"),""),1),""))</f>
        <v/>
      </c>
      <c r="E481" s="5">
        <f>IF($A481="","",IFERROR(INDEX(FILTER('Client contacts'!$C$2:$C$500,('Client contacts'!$A$2:$A$500=$A481)*('Client contacts'!$H$2:$H$500="Y"),""),1),""))</f>
        <v/>
      </c>
      <c r="F481" s="5">
        <f>IF($A481="","",IFERROR(INDEX(FILTER('Client contacts'!$B$2:$B$500,('Client contacts'!$A$2:$A$500=$A481)*('Client contacts'!$G$2:$G$500="Y"),""),1),""))</f>
        <v/>
      </c>
      <c r="G481" s="5">
        <f>IF($A481="","",IFERROR(INDEX(FILTER('Client contacts'!$C$2:$C$500,('Client contacts'!$A$2:$A$500=$A481)*('Client contacts'!$G$2:$G$500="Y"),""),1),""))</f>
        <v/>
      </c>
      <c r="H481" s="5">
        <f>IF($A481="","",IFERROR(INDEX(FILTER('Client contacts'!$B$2:$B$500,('Client contacts'!$A$2:$A$500=$A481)*('Client contacts'!$G$2:$G$500="Y"),""),2),""))</f>
        <v/>
      </c>
      <c r="I481" s="5">
        <f>IF($A481="","",IFERROR(INDEX(FILTER('Client contacts'!$C$2:$C$500,('Client contacts'!$A$2:$A$500=$A481)*('Client contacts'!$G$2:$G$500="Y"),""),2),""))</f>
        <v/>
      </c>
      <c r="J481" s="8" t="n"/>
      <c r="K481" s="8" t="n"/>
      <c r="L481" s="8" t="n"/>
      <c r="M481" s="8" t="n"/>
      <c r="N481" s="8" t="n"/>
      <c r="O481" s="8" t="n"/>
      <c r="P481" s="8" t="n"/>
      <c r="Q481" s="8" t="n"/>
      <c r="R481" s="5">
        <f>IF($A481="","",IFERROR(INDEX(Companies!$I$2:$I$500,MATCH($A481,Companies!$A$2:$A$500,0)),""))</f>
        <v/>
      </c>
      <c r="S481" s="8" t="n"/>
      <c r="T481" s="8" t="n"/>
      <c r="U481" s="8" t="n"/>
      <c r="V481" s="8" t="n"/>
      <c r="W481" s="8" t="n"/>
    </row>
    <row r="482">
      <c r="C482" s="5">
        <f>IF($B482="","",TRIM(IF(INDEX('MOA role matrix'!$B$2:$D$13,1,MATCH($B482,'MOA role matrix'!$B$1:$D$1,0))="Fill","Project initiator, ","")IF(INDEX('MOA role matrix'!$B$2:$D$13,1,MATCH($B482,'MOA role matrix'!$B$1:$D$1,0))="If finance","Project initiator (if finance), ","")IF(INDEX('MOA role matrix'!$B$2:$D$13,1,MATCH($B482,'MOA role matrix'!$B$1:$D$1,0))="Auto","Project initiator (auto), ","")IF(INDEX('MOA role matrix'!$B$2:$D$13,2,MATCH($B482,'MOA role matrix'!$B$1:$D$1,0))="Fill","MOA signers (client), ","")IF(INDEX('MOA role matrix'!$B$2:$D$13,2,MATCH($B482,'MOA role matrix'!$B$1:$D$1,0))="If finance","MOA signers (client) (if finance), ","")IF(INDEX('MOA role matrix'!$B$2:$D$13,2,MATCH($B482,'MOA role matrix'!$B$1:$D$1,0))="Auto","MOA signers (client) (auto), ","")IF(INDEX('MOA role matrix'!$B$2:$D$13,3,MATCH($B482,'MOA role matrix'!$B$1:$D$1,0))="Fill","CFO / Head of Finance, ","")IF(INDEX('MOA role matrix'!$B$2:$D$13,3,MATCH($B482,'MOA role matrix'!$B$1:$D$1,0))="If finance","CFO / Head of Finance (if finance), ","")IF(INDEX('MOA role matrix'!$B$2:$D$13,3,MATCH($B482,'MOA role matrix'!$B$1:$D$1,0))="Auto","CFO / Head of Finance (auto), ","")IF(INDEX('MOA role matrix'!$B$2:$D$13,4,MATCH($B482,'MOA role matrix'!$B$1:$D$1,0))="Fill","CEO / COO / GM, ","")IF(INDEX('MOA role matrix'!$B$2:$D$13,4,MATCH($B482,'MOA role matrix'!$B$1:$D$1,0))="If finance","CEO / COO / GM (if finance), ","")IF(INDEX('MOA role matrix'!$B$2:$D$13,4,MATCH($B482,'MOA role matrix'!$B$1:$D$1,0))="Auto","CEO / COO / GM (auto), ","")IF(INDEX('MOA role matrix'!$B$2:$D$13,5,MATCH($B482,'MOA role matrix'!$B$1:$D$1,0))="Fill","Board member 1, ","")IF(INDEX('MOA role matrix'!$B$2:$D$13,5,MATCH($B482,'MOA role matrix'!$B$1:$D$1,0))="If finance","Board member 1 (if finance), ","")IF(INDEX('MOA role matrix'!$B$2:$D$13,5,MATCH($B482,'MOA role matrix'!$B$1:$D$1,0))="Auto","Board member 1 (auto), ","")IF(INDEX('MOA role matrix'!$B$2:$D$13,6,MATCH($B482,'MOA role matrix'!$B$1:$D$1,0))="Fill","Board member 2, ","")IF(INDEX('MOA role matrix'!$B$2:$D$13,6,MATCH($B482,'MOA role matrix'!$B$1:$D$1,0))="If finance","Board member 2 (if finance), ","")IF(INDEX('MOA role matrix'!$B$2:$D$13,6,MATCH($B482,'MOA role matrix'!$B$1:$D$1,0))="Auto","Board member 2 (auto), ","")IF(INDEX('MOA role matrix'!$B$2:$D$13,7,MATCH($B482,'MOA role matrix'!$B$1:$D$1,0))="Fill","LOA holder 1, ","")IF(INDEX('MOA role matrix'!$B$2:$D$13,7,MATCH($B482,'MOA role matrix'!$B$1:$D$1,0))="If finance","LOA holder 1 (if finance), ","")IF(INDEX('MOA role matrix'!$B$2:$D$13,7,MATCH($B482,'MOA role matrix'!$B$1:$D$1,0))="Auto","LOA holder 1 (auto), ","")IF(INDEX('MOA role matrix'!$B$2:$D$13,8,MATCH($B482,'MOA role matrix'!$B$1:$D$1,0))="Fill","LOA holder 2, ","")IF(INDEX('MOA role matrix'!$B$2:$D$13,8,MATCH($B482,'MOA role matrix'!$B$1:$D$1,0))="If finance","LOA holder 2 (if finance), ","")IF(INDEX('MOA role matrix'!$B$2:$D$13,8,MATCH($B482,'MOA role matrix'!$B$1:$D$1,0))="Auto","LOA holder 2 (auto), ","")IF(INDEX('MOA role matrix'!$B$2:$D$13,9,MATCH($B482,'MOA role matrix'!$B$1:$D$1,0))="Fill","Senior Manager CoSec, ","")IF(INDEX('MOA role matrix'!$B$2:$D$13,9,MATCH($B482,'MOA role matrix'!$B$1:$D$1,0))="If finance","Senior Manager CoSec (if finance), ","")IF(INDEX('MOA role matrix'!$B$2:$D$13,9,MATCH($B482,'MOA role matrix'!$B$1:$D$1,0))="Auto","Senior Manager CoSec (auto), ","")IF(INDEX('MOA role matrix'!$B$2:$D$13,10,MATCH($B482,'MOA role matrix'!$B$1:$D$1,0))="Fill","Division MOI managers, ","")IF(INDEX('MOA role matrix'!$B$2:$D$13,10,MATCH($B482,'MOA role matrix'!$B$1:$D$1,0))="If finance","Division MOI managers (if finance), ","")IF(INDEX('MOA role matrix'!$B$2:$D$13,10,MATCH($B482,'MOA role matrix'!$B$1:$D$1,0))="Auto","Division MOI managers (auto), ","")IF(INDEX('MOA role matrix'!$B$2:$D$13,11,MATCH($B482,'MOA role matrix'!$B$1:$D$1,0))="Fill","Ms Teh (bank), ","")IF(INDEX('MOA role matrix'!$B$2:$D$13,11,MATCH($B482,'MOA role matrix'!$B$1:$D$1,0))="If finance","Ms Teh (bank) (if finance), ","")IF(INDEX('MOA role matrix'!$B$2:$D$13,11,MATCH($B482,'MOA role matrix'!$B$1:$D$1,0))="Auto","Ms Teh (bank) (auto), ","")IF(INDEX('MOA role matrix'!$B$2:$D$13,12,MATCH($B482,'MOA role matrix'!$B$1:$D$1,0))="Fill","DLCM, ","")IF(INDEX('MOA role matrix'!$B$2:$D$13,12,MATCH($B482,'MOA role matrix'!$B$1:$D$1,0))="If finance","DLCM (if finance), ","")IF(INDEX('MOA role matrix'!$B$2:$D$13,12,MATCH($B482,'MOA role matrix'!$B$1:$D$1,0))="Auto","DLCM (auto), ","")))</f>
        <v/>
      </c>
      <c r="D482" s="5">
        <f>IF($A482="","",IFERROR(INDEX(FILTER('Client contacts'!$B$2:$B$500,('Client contacts'!$A$2:$A$500=$A482)*('Client contacts'!$H$2:$H$500="Y"),""),1),""))</f>
        <v/>
      </c>
      <c r="E482" s="5">
        <f>IF($A482="","",IFERROR(INDEX(FILTER('Client contacts'!$C$2:$C$500,('Client contacts'!$A$2:$A$500=$A482)*('Client contacts'!$H$2:$H$500="Y"),""),1),""))</f>
        <v/>
      </c>
      <c r="F482" s="5">
        <f>IF($A482="","",IFERROR(INDEX(FILTER('Client contacts'!$B$2:$B$500,('Client contacts'!$A$2:$A$500=$A482)*('Client contacts'!$G$2:$G$500="Y"),""),1),""))</f>
        <v/>
      </c>
      <c r="G482" s="5">
        <f>IF($A482="","",IFERROR(INDEX(FILTER('Client contacts'!$C$2:$C$500,('Client contacts'!$A$2:$A$500=$A482)*('Client contacts'!$G$2:$G$500="Y"),""),1),""))</f>
        <v/>
      </c>
      <c r="H482" s="5">
        <f>IF($A482="","",IFERROR(INDEX(FILTER('Client contacts'!$B$2:$B$500,('Client contacts'!$A$2:$A$500=$A482)*('Client contacts'!$G$2:$G$500="Y"),""),2),""))</f>
        <v/>
      </c>
      <c r="I482" s="5">
        <f>IF($A482="","",IFERROR(INDEX(FILTER('Client contacts'!$C$2:$C$500,('Client contacts'!$A$2:$A$500=$A482)*('Client contacts'!$G$2:$G$500="Y"),""),2),""))</f>
        <v/>
      </c>
      <c r="J482" s="8" t="n"/>
      <c r="K482" s="8" t="n"/>
      <c r="L482" s="8" t="n"/>
      <c r="M482" s="8" t="n"/>
      <c r="N482" s="8" t="n"/>
      <c r="O482" s="8" t="n"/>
      <c r="P482" s="8" t="n"/>
      <c r="Q482" s="8" t="n"/>
      <c r="R482" s="5">
        <f>IF($A482="","",IFERROR(INDEX(Companies!$I$2:$I$500,MATCH($A482,Companies!$A$2:$A$500,0)),""))</f>
        <v/>
      </c>
      <c r="S482" s="8" t="n"/>
      <c r="T482" s="8" t="n"/>
      <c r="U482" s="8" t="n"/>
      <c r="V482" s="8" t="n"/>
      <c r="W482" s="8" t="n"/>
    </row>
    <row r="483">
      <c r="C483" s="5">
        <f>IF($B483="","",TRIM(IF(INDEX('MOA role matrix'!$B$2:$D$13,1,MATCH($B483,'MOA role matrix'!$B$1:$D$1,0))="Fill","Project initiator, ","")IF(INDEX('MOA role matrix'!$B$2:$D$13,1,MATCH($B483,'MOA role matrix'!$B$1:$D$1,0))="If finance","Project initiator (if finance), ","")IF(INDEX('MOA role matrix'!$B$2:$D$13,1,MATCH($B483,'MOA role matrix'!$B$1:$D$1,0))="Auto","Project initiator (auto), ","")IF(INDEX('MOA role matrix'!$B$2:$D$13,2,MATCH($B483,'MOA role matrix'!$B$1:$D$1,0))="Fill","MOA signers (client), ","")IF(INDEX('MOA role matrix'!$B$2:$D$13,2,MATCH($B483,'MOA role matrix'!$B$1:$D$1,0))="If finance","MOA signers (client) (if finance), ","")IF(INDEX('MOA role matrix'!$B$2:$D$13,2,MATCH($B483,'MOA role matrix'!$B$1:$D$1,0))="Auto","MOA signers (client) (auto), ","")IF(INDEX('MOA role matrix'!$B$2:$D$13,3,MATCH($B483,'MOA role matrix'!$B$1:$D$1,0))="Fill","CFO / Head of Finance, ","")IF(INDEX('MOA role matrix'!$B$2:$D$13,3,MATCH($B483,'MOA role matrix'!$B$1:$D$1,0))="If finance","CFO / Head of Finance (if finance), ","")IF(INDEX('MOA role matrix'!$B$2:$D$13,3,MATCH($B483,'MOA role matrix'!$B$1:$D$1,0))="Auto","CFO / Head of Finance (auto), ","")IF(INDEX('MOA role matrix'!$B$2:$D$13,4,MATCH($B483,'MOA role matrix'!$B$1:$D$1,0))="Fill","CEO / COO / GM, ","")IF(INDEX('MOA role matrix'!$B$2:$D$13,4,MATCH($B483,'MOA role matrix'!$B$1:$D$1,0))="If finance","CEO / COO / GM (if finance), ","")IF(INDEX('MOA role matrix'!$B$2:$D$13,4,MATCH($B483,'MOA role matrix'!$B$1:$D$1,0))="Auto","CEO / COO / GM (auto), ","")IF(INDEX('MOA role matrix'!$B$2:$D$13,5,MATCH($B483,'MOA role matrix'!$B$1:$D$1,0))="Fill","Board member 1, ","")IF(INDEX('MOA role matrix'!$B$2:$D$13,5,MATCH($B483,'MOA role matrix'!$B$1:$D$1,0))="If finance","Board member 1 (if finance), ","")IF(INDEX('MOA role matrix'!$B$2:$D$13,5,MATCH($B483,'MOA role matrix'!$B$1:$D$1,0))="Auto","Board member 1 (auto), ","")IF(INDEX('MOA role matrix'!$B$2:$D$13,6,MATCH($B483,'MOA role matrix'!$B$1:$D$1,0))="Fill","Board member 2, ","")IF(INDEX('MOA role matrix'!$B$2:$D$13,6,MATCH($B483,'MOA role matrix'!$B$1:$D$1,0))="If finance","Board member 2 (if finance), ","")IF(INDEX('MOA role matrix'!$B$2:$D$13,6,MATCH($B483,'MOA role matrix'!$B$1:$D$1,0))="Auto","Board member 2 (auto), ","")IF(INDEX('MOA role matrix'!$B$2:$D$13,7,MATCH($B483,'MOA role matrix'!$B$1:$D$1,0))="Fill","LOA holder 1, ","")IF(INDEX('MOA role matrix'!$B$2:$D$13,7,MATCH($B483,'MOA role matrix'!$B$1:$D$1,0))="If finance","LOA holder 1 (if finance), ","")IF(INDEX('MOA role matrix'!$B$2:$D$13,7,MATCH($B483,'MOA role matrix'!$B$1:$D$1,0))="Auto","LOA holder 1 (auto), ","")IF(INDEX('MOA role matrix'!$B$2:$D$13,8,MATCH($B483,'MOA role matrix'!$B$1:$D$1,0))="Fill","LOA holder 2, ","")IF(INDEX('MOA role matrix'!$B$2:$D$13,8,MATCH($B483,'MOA role matrix'!$B$1:$D$1,0))="If finance","LOA holder 2 (if finance), ","")IF(INDEX('MOA role matrix'!$B$2:$D$13,8,MATCH($B483,'MOA role matrix'!$B$1:$D$1,0))="Auto","LOA holder 2 (auto), ","")IF(INDEX('MOA role matrix'!$B$2:$D$13,9,MATCH($B483,'MOA role matrix'!$B$1:$D$1,0))="Fill","Senior Manager CoSec, ","")IF(INDEX('MOA role matrix'!$B$2:$D$13,9,MATCH($B483,'MOA role matrix'!$B$1:$D$1,0))="If finance","Senior Manager CoSec (if finance), ","")IF(INDEX('MOA role matrix'!$B$2:$D$13,9,MATCH($B483,'MOA role matrix'!$B$1:$D$1,0))="Auto","Senior Manager CoSec (auto), ","")IF(INDEX('MOA role matrix'!$B$2:$D$13,10,MATCH($B483,'MOA role matrix'!$B$1:$D$1,0))="Fill","Division MOI managers, ","")IF(INDEX('MOA role matrix'!$B$2:$D$13,10,MATCH($B483,'MOA role matrix'!$B$1:$D$1,0))="If finance","Division MOI managers (if finance), ","")IF(INDEX('MOA role matrix'!$B$2:$D$13,10,MATCH($B483,'MOA role matrix'!$B$1:$D$1,0))="Auto","Division MOI managers (auto), ","")IF(INDEX('MOA role matrix'!$B$2:$D$13,11,MATCH($B483,'MOA role matrix'!$B$1:$D$1,0))="Fill","Ms Teh (bank), ","")IF(INDEX('MOA role matrix'!$B$2:$D$13,11,MATCH($B483,'MOA role matrix'!$B$1:$D$1,0))="If finance","Ms Teh (bank) (if finance), ","")IF(INDEX('MOA role matrix'!$B$2:$D$13,11,MATCH($B483,'MOA role matrix'!$B$1:$D$1,0))="Auto","Ms Teh (bank) (auto), ","")IF(INDEX('MOA role matrix'!$B$2:$D$13,12,MATCH($B483,'MOA role matrix'!$B$1:$D$1,0))="Fill","DLCM, ","")IF(INDEX('MOA role matrix'!$B$2:$D$13,12,MATCH($B483,'MOA role matrix'!$B$1:$D$1,0))="If finance","DLCM (if finance), ","")IF(INDEX('MOA role matrix'!$B$2:$D$13,12,MATCH($B483,'MOA role matrix'!$B$1:$D$1,0))="Auto","DLCM (auto), ","")))</f>
        <v/>
      </c>
      <c r="D483" s="5">
        <f>IF($A483="","",IFERROR(INDEX(FILTER('Client contacts'!$B$2:$B$500,('Client contacts'!$A$2:$A$500=$A483)*('Client contacts'!$H$2:$H$500="Y"),""),1),""))</f>
        <v/>
      </c>
      <c r="E483" s="5">
        <f>IF($A483="","",IFERROR(INDEX(FILTER('Client contacts'!$C$2:$C$500,('Client contacts'!$A$2:$A$500=$A483)*('Client contacts'!$H$2:$H$500="Y"),""),1),""))</f>
        <v/>
      </c>
      <c r="F483" s="5">
        <f>IF($A483="","",IFERROR(INDEX(FILTER('Client contacts'!$B$2:$B$500,('Client contacts'!$A$2:$A$500=$A483)*('Client contacts'!$G$2:$G$500="Y"),""),1),""))</f>
        <v/>
      </c>
      <c r="G483" s="5">
        <f>IF($A483="","",IFERROR(INDEX(FILTER('Client contacts'!$C$2:$C$500,('Client contacts'!$A$2:$A$500=$A483)*('Client contacts'!$G$2:$G$500="Y"),""),1),""))</f>
        <v/>
      </c>
      <c r="H483" s="5">
        <f>IF($A483="","",IFERROR(INDEX(FILTER('Client contacts'!$B$2:$B$500,('Client contacts'!$A$2:$A$500=$A483)*('Client contacts'!$G$2:$G$500="Y"),""),2),""))</f>
        <v/>
      </c>
      <c r="I483" s="5">
        <f>IF($A483="","",IFERROR(INDEX(FILTER('Client contacts'!$C$2:$C$500,('Client contacts'!$A$2:$A$500=$A483)*('Client contacts'!$G$2:$G$500="Y"),""),2),""))</f>
        <v/>
      </c>
      <c r="J483" s="8" t="n"/>
      <c r="K483" s="8" t="n"/>
      <c r="L483" s="8" t="n"/>
      <c r="M483" s="8" t="n"/>
      <c r="N483" s="8" t="n"/>
      <c r="O483" s="8" t="n"/>
      <c r="P483" s="8" t="n"/>
      <c r="Q483" s="8" t="n"/>
      <c r="R483" s="5">
        <f>IF($A483="","",IFERROR(INDEX(Companies!$I$2:$I$500,MATCH($A483,Companies!$A$2:$A$500,0)),""))</f>
        <v/>
      </c>
      <c r="S483" s="8" t="n"/>
      <c r="T483" s="8" t="n"/>
      <c r="U483" s="8" t="n"/>
      <c r="V483" s="8" t="n"/>
      <c r="W483" s="8" t="n"/>
    </row>
    <row r="484">
      <c r="C484" s="5">
        <f>IF($B484="","",TRIM(IF(INDEX('MOA role matrix'!$B$2:$D$13,1,MATCH($B484,'MOA role matrix'!$B$1:$D$1,0))="Fill","Project initiator, ","")IF(INDEX('MOA role matrix'!$B$2:$D$13,1,MATCH($B484,'MOA role matrix'!$B$1:$D$1,0))="If finance","Project initiator (if finance), ","")IF(INDEX('MOA role matrix'!$B$2:$D$13,1,MATCH($B484,'MOA role matrix'!$B$1:$D$1,0))="Auto","Project initiator (auto), ","")IF(INDEX('MOA role matrix'!$B$2:$D$13,2,MATCH($B484,'MOA role matrix'!$B$1:$D$1,0))="Fill","MOA signers (client), ","")IF(INDEX('MOA role matrix'!$B$2:$D$13,2,MATCH($B484,'MOA role matrix'!$B$1:$D$1,0))="If finance","MOA signers (client) (if finance), ","")IF(INDEX('MOA role matrix'!$B$2:$D$13,2,MATCH($B484,'MOA role matrix'!$B$1:$D$1,0))="Auto","MOA signers (client) (auto), ","")IF(INDEX('MOA role matrix'!$B$2:$D$13,3,MATCH($B484,'MOA role matrix'!$B$1:$D$1,0))="Fill","CFO / Head of Finance, ","")IF(INDEX('MOA role matrix'!$B$2:$D$13,3,MATCH($B484,'MOA role matrix'!$B$1:$D$1,0))="If finance","CFO / Head of Finance (if finance), ","")IF(INDEX('MOA role matrix'!$B$2:$D$13,3,MATCH($B484,'MOA role matrix'!$B$1:$D$1,0))="Auto","CFO / Head of Finance (auto), ","")IF(INDEX('MOA role matrix'!$B$2:$D$13,4,MATCH($B484,'MOA role matrix'!$B$1:$D$1,0))="Fill","CEO / COO / GM, ","")IF(INDEX('MOA role matrix'!$B$2:$D$13,4,MATCH($B484,'MOA role matrix'!$B$1:$D$1,0))="If finance","CEO / COO / GM (if finance), ","")IF(INDEX('MOA role matrix'!$B$2:$D$13,4,MATCH($B484,'MOA role matrix'!$B$1:$D$1,0))="Auto","CEO / COO / GM (auto), ","")IF(INDEX('MOA role matrix'!$B$2:$D$13,5,MATCH($B484,'MOA role matrix'!$B$1:$D$1,0))="Fill","Board member 1, ","")IF(INDEX('MOA role matrix'!$B$2:$D$13,5,MATCH($B484,'MOA role matrix'!$B$1:$D$1,0))="If finance","Board member 1 (if finance), ","")IF(INDEX('MOA role matrix'!$B$2:$D$13,5,MATCH($B484,'MOA role matrix'!$B$1:$D$1,0))="Auto","Board member 1 (auto), ","")IF(INDEX('MOA role matrix'!$B$2:$D$13,6,MATCH($B484,'MOA role matrix'!$B$1:$D$1,0))="Fill","Board member 2, ","")IF(INDEX('MOA role matrix'!$B$2:$D$13,6,MATCH($B484,'MOA role matrix'!$B$1:$D$1,0))="If finance","Board member 2 (if finance), ","")IF(INDEX('MOA role matrix'!$B$2:$D$13,6,MATCH($B484,'MOA role matrix'!$B$1:$D$1,0))="Auto","Board member 2 (auto), ","")IF(INDEX('MOA role matrix'!$B$2:$D$13,7,MATCH($B484,'MOA role matrix'!$B$1:$D$1,0))="Fill","LOA holder 1, ","")IF(INDEX('MOA role matrix'!$B$2:$D$13,7,MATCH($B484,'MOA role matrix'!$B$1:$D$1,0))="If finance","LOA holder 1 (if finance), ","")IF(INDEX('MOA role matrix'!$B$2:$D$13,7,MATCH($B484,'MOA role matrix'!$B$1:$D$1,0))="Auto","LOA holder 1 (auto), ","")IF(INDEX('MOA role matrix'!$B$2:$D$13,8,MATCH($B484,'MOA role matrix'!$B$1:$D$1,0))="Fill","LOA holder 2, ","")IF(INDEX('MOA role matrix'!$B$2:$D$13,8,MATCH($B484,'MOA role matrix'!$B$1:$D$1,0))="If finance","LOA holder 2 (if finance), ","")IF(INDEX('MOA role matrix'!$B$2:$D$13,8,MATCH($B484,'MOA role matrix'!$B$1:$D$1,0))="Auto","LOA holder 2 (auto), ","")IF(INDEX('MOA role matrix'!$B$2:$D$13,9,MATCH($B484,'MOA role matrix'!$B$1:$D$1,0))="Fill","Senior Manager CoSec, ","")IF(INDEX('MOA role matrix'!$B$2:$D$13,9,MATCH($B484,'MOA role matrix'!$B$1:$D$1,0))="If finance","Senior Manager CoSec (if finance), ","")IF(INDEX('MOA role matrix'!$B$2:$D$13,9,MATCH($B484,'MOA role matrix'!$B$1:$D$1,0))="Auto","Senior Manager CoSec (auto), ","")IF(INDEX('MOA role matrix'!$B$2:$D$13,10,MATCH($B484,'MOA role matrix'!$B$1:$D$1,0))="Fill","Division MOI managers, ","")IF(INDEX('MOA role matrix'!$B$2:$D$13,10,MATCH($B484,'MOA role matrix'!$B$1:$D$1,0))="If finance","Division MOI managers (if finance), ","")IF(INDEX('MOA role matrix'!$B$2:$D$13,10,MATCH($B484,'MOA role matrix'!$B$1:$D$1,0))="Auto","Division MOI managers (auto), ","")IF(INDEX('MOA role matrix'!$B$2:$D$13,11,MATCH($B484,'MOA role matrix'!$B$1:$D$1,0))="Fill","Ms Teh (bank), ","")IF(INDEX('MOA role matrix'!$B$2:$D$13,11,MATCH($B484,'MOA role matrix'!$B$1:$D$1,0))="If finance","Ms Teh (bank) (if finance), ","")IF(INDEX('MOA role matrix'!$B$2:$D$13,11,MATCH($B484,'MOA role matrix'!$B$1:$D$1,0))="Auto","Ms Teh (bank) (auto), ","")IF(INDEX('MOA role matrix'!$B$2:$D$13,12,MATCH($B484,'MOA role matrix'!$B$1:$D$1,0))="Fill","DLCM, ","")IF(INDEX('MOA role matrix'!$B$2:$D$13,12,MATCH($B484,'MOA role matrix'!$B$1:$D$1,0))="If finance","DLCM (if finance), ","")IF(INDEX('MOA role matrix'!$B$2:$D$13,12,MATCH($B484,'MOA role matrix'!$B$1:$D$1,0))="Auto","DLCM (auto), ","")))</f>
        <v/>
      </c>
      <c r="D484" s="5">
        <f>IF($A484="","",IFERROR(INDEX(FILTER('Client contacts'!$B$2:$B$500,('Client contacts'!$A$2:$A$500=$A484)*('Client contacts'!$H$2:$H$500="Y"),""),1),""))</f>
        <v/>
      </c>
      <c r="E484" s="5">
        <f>IF($A484="","",IFERROR(INDEX(FILTER('Client contacts'!$C$2:$C$500,('Client contacts'!$A$2:$A$500=$A484)*('Client contacts'!$H$2:$H$500="Y"),""),1),""))</f>
        <v/>
      </c>
      <c r="F484" s="5">
        <f>IF($A484="","",IFERROR(INDEX(FILTER('Client contacts'!$B$2:$B$500,('Client contacts'!$A$2:$A$500=$A484)*('Client contacts'!$G$2:$G$500="Y"),""),1),""))</f>
        <v/>
      </c>
      <c r="G484" s="5">
        <f>IF($A484="","",IFERROR(INDEX(FILTER('Client contacts'!$C$2:$C$500,('Client contacts'!$A$2:$A$500=$A484)*('Client contacts'!$G$2:$G$500="Y"),""),1),""))</f>
        <v/>
      </c>
      <c r="H484" s="5">
        <f>IF($A484="","",IFERROR(INDEX(FILTER('Client contacts'!$B$2:$B$500,('Client contacts'!$A$2:$A$500=$A484)*('Client contacts'!$G$2:$G$500="Y"),""),2),""))</f>
        <v/>
      </c>
      <c r="I484" s="5">
        <f>IF($A484="","",IFERROR(INDEX(FILTER('Client contacts'!$C$2:$C$500,('Client contacts'!$A$2:$A$500=$A484)*('Client contacts'!$G$2:$G$500="Y"),""),2),""))</f>
        <v/>
      </c>
      <c r="J484" s="8" t="n"/>
      <c r="K484" s="8" t="n"/>
      <c r="L484" s="8" t="n"/>
      <c r="M484" s="8" t="n"/>
      <c r="N484" s="8" t="n"/>
      <c r="O484" s="8" t="n"/>
      <c r="P484" s="8" t="n"/>
      <c r="Q484" s="8" t="n"/>
      <c r="R484" s="5">
        <f>IF($A484="","",IFERROR(INDEX(Companies!$I$2:$I$500,MATCH($A484,Companies!$A$2:$A$500,0)),""))</f>
        <v/>
      </c>
      <c r="S484" s="8" t="n"/>
      <c r="T484" s="8" t="n"/>
      <c r="U484" s="8" t="n"/>
      <c r="V484" s="8" t="n"/>
      <c r="W484" s="8" t="n"/>
    </row>
    <row r="485">
      <c r="C485" s="5">
        <f>IF($B485="","",TRIM(IF(INDEX('MOA role matrix'!$B$2:$D$13,1,MATCH($B485,'MOA role matrix'!$B$1:$D$1,0))="Fill","Project initiator, ","")IF(INDEX('MOA role matrix'!$B$2:$D$13,1,MATCH($B485,'MOA role matrix'!$B$1:$D$1,0))="If finance","Project initiator (if finance), ","")IF(INDEX('MOA role matrix'!$B$2:$D$13,1,MATCH($B485,'MOA role matrix'!$B$1:$D$1,0))="Auto","Project initiator (auto), ","")IF(INDEX('MOA role matrix'!$B$2:$D$13,2,MATCH($B485,'MOA role matrix'!$B$1:$D$1,0))="Fill","MOA signers (client), ","")IF(INDEX('MOA role matrix'!$B$2:$D$13,2,MATCH($B485,'MOA role matrix'!$B$1:$D$1,0))="If finance","MOA signers (client) (if finance), ","")IF(INDEX('MOA role matrix'!$B$2:$D$13,2,MATCH($B485,'MOA role matrix'!$B$1:$D$1,0))="Auto","MOA signers (client) (auto), ","")IF(INDEX('MOA role matrix'!$B$2:$D$13,3,MATCH($B485,'MOA role matrix'!$B$1:$D$1,0))="Fill","CFO / Head of Finance, ","")IF(INDEX('MOA role matrix'!$B$2:$D$13,3,MATCH($B485,'MOA role matrix'!$B$1:$D$1,0))="If finance","CFO / Head of Finance (if finance), ","")IF(INDEX('MOA role matrix'!$B$2:$D$13,3,MATCH($B485,'MOA role matrix'!$B$1:$D$1,0))="Auto","CFO / Head of Finance (auto), ","")IF(INDEX('MOA role matrix'!$B$2:$D$13,4,MATCH($B485,'MOA role matrix'!$B$1:$D$1,0))="Fill","CEO / COO / GM, ","")IF(INDEX('MOA role matrix'!$B$2:$D$13,4,MATCH($B485,'MOA role matrix'!$B$1:$D$1,0))="If finance","CEO / COO / GM (if finance), ","")IF(INDEX('MOA role matrix'!$B$2:$D$13,4,MATCH($B485,'MOA role matrix'!$B$1:$D$1,0))="Auto","CEO / COO / GM (auto), ","")IF(INDEX('MOA role matrix'!$B$2:$D$13,5,MATCH($B485,'MOA role matrix'!$B$1:$D$1,0))="Fill","Board member 1, ","")IF(INDEX('MOA role matrix'!$B$2:$D$13,5,MATCH($B485,'MOA role matrix'!$B$1:$D$1,0))="If finance","Board member 1 (if finance), ","")IF(INDEX('MOA role matrix'!$B$2:$D$13,5,MATCH($B485,'MOA role matrix'!$B$1:$D$1,0))="Auto","Board member 1 (auto), ","")IF(INDEX('MOA role matrix'!$B$2:$D$13,6,MATCH($B485,'MOA role matrix'!$B$1:$D$1,0))="Fill","Board member 2, ","")IF(INDEX('MOA role matrix'!$B$2:$D$13,6,MATCH($B485,'MOA role matrix'!$B$1:$D$1,0))="If finance","Board member 2 (if finance), ","")IF(INDEX('MOA role matrix'!$B$2:$D$13,6,MATCH($B485,'MOA role matrix'!$B$1:$D$1,0))="Auto","Board member 2 (auto), ","")IF(INDEX('MOA role matrix'!$B$2:$D$13,7,MATCH($B485,'MOA role matrix'!$B$1:$D$1,0))="Fill","LOA holder 1, ","")IF(INDEX('MOA role matrix'!$B$2:$D$13,7,MATCH($B485,'MOA role matrix'!$B$1:$D$1,0))="If finance","LOA holder 1 (if finance), ","")IF(INDEX('MOA role matrix'!$B$2:$D$13,7,MATCH($B485,'MOA role matrix'!$B$1:$D$1,0))="Auto","LOA holder 1 (auto), ","")IF(INDEX('MOA role matrix'!$B$2:$D$13,8,MATCH($B485,'MOA role matrix'!$B$1:$D$1,0))="Fill","LOA holder 2, ","")IF(INDEX('MOA role matrix'!$B$2:$D$13,8,MATCH($B485,'MOA role matrix'!$B$1:$D$1,0))="If finance","LOA holder 2 (if finance), ","")IF(INDEX('MOA role matrix'!$B$2:$D$13,8,MATCH($B485,'MOA role matrix'!$B$1:$D$1,0))="Auto","LOA holder 2 (auto), ","")IF(INDEX('MOA role matrix'!$B$2:$D$13,9,MATCH($B485,'MOA role matrix'!$B$1:$D$1,0))="Fill","Senior Manager CoSec, ","")IF(INDEX('MOA role matrix'!$B$2:$D$13,9,MATCH($B485,'MOA role matrix'!$B$1:$D$1,0))="If finance","Senior Manager CoSec (if finance), ","")IF(INDEX('MOA role matrix'!$B$2:$D$13,9,MATCH($B485,'MOA role matrix'!$B$1:$D$1,0))="Auto","Senior Manager CoSec (auto), ","")IF(INDEX('MOA role matrix'!$B$2:$D$13,10,MATCH($B485,'MOA role matrix'!$B$1:$D$1,0))="Fill","Division MOI managers, ","")IF(INDEX('MOA role matrix'!$B$2:$D$13,10,MATCH($B485,'MOA role matrix'!$B$1:$D$1,0))="If finance","Division MOI managers (if finance), ","")IF(INDEX('MOA role matrix'!$B$2:$D$13,10,MATCH($B485,'MOA role matrix'!$B$1:$D$1,0))="Auto","Division MOI managers (auto), ","")IF(INDEX('MOA role matrix'!$B$2:$D$13,11,MATCH($B485,'MOA role matrix'!$B$1:$D$1,0))="Fill","Ms Teh (bank), ","")IF(INDEX('MOA role matrix'!$B$2:$D$13,11,MATCH($B485,'MOA role matrix'!$B$1:$D$1,0))="If finance","Ms Teh (bank) (if finance), ","")IF(INDEX('MOA role matrix'!$B$2:$D$13,11,MATCH($B485,'MOA role matrix'!$B$1:$D$1,0))="Auto","Ms Teh (bank) (auto), ","")IF(INDEX('MOA role matrix'!$B$2:$D$13,12,MATCH($B485,'MOA role matrix'!$B$1:$D$1,0))="Fill","DLCM, ","")IF(INDEX('MOA role matrix'!$B$2:$D$13,12,MATCH($B485,'MOA role matrix'!$B$1:$D$1,0))="If finance","DLCM (if finance), ","")IF(INDEX('MOA role matrix'!$B$2:$D$13,12,MATCH($B485,'MOA role matrix'!$B$1:$D$1,0))="Auto","DLCM (auto), ","")))</f>
        <v/>
      </c>
      <c r="D485" s="5">
        <f>IF($A485="","",IFERROR(INDEX(FILTER('Client contacts'!$B$2:$B$500,('Client contacts'!$A$2:$A$500=$A485)*('Client contacts'!$H$2:$H$500="Y"),""),1),""))</f>
        <v/>
      </c>
      <c r="E485" s="5">
        <f>IF($A485="","",IFERROR(INDEX(FILTER('Client contacts'!$C$2:$C$500,('Client contacts'!$A$2:$A$500=$A485)*('Client contacts'!$H$2:$H$500="Y"),""),1),""))</f>
        <v/>
      </c>
      <c r="F485" s="5">
        <f>IF($A485="","",IFERROR(INDEX(FILTER('Client contacts'!$B$2:$B$500,('Client contacts'!$A$2:$A$500=$A485)*('Client contacts'!$G$2:$G$500="Y"),""),1),""))</f>
        <v/>
      </c>
      <c r="G485" s="5">
        <f>IF($A485="","",IFERROR(INDEX(FILTER('Client contacts'!$C$2:$C$500,('Client contacts'!$A$2:$A$500=$A485)*('Client contacts'!$G$2:$G$500="Y"),""),1),""))</f>
        <v/>
      </c>
      <c r="H485" s="5">
        <f>IF($A485="","",IFERROR(INDEX(FILTER('Client contacts'!$B$2:$B$500,('Client contacts'!$A$2:$A$500=$A485)*('Client contacts'!$G$2:$G$500="Y"),""),2),""))</f>
        <v/>
      </c>
      <c r="I485" s="5">
        <f>IF($A485="","",IFERROR(INDEX(FILTER('Client contacts'!$C$2:$C$500,('Client contacts'!$A$2:$A$500=$A485)*('Client contacts'!$G$2:$G$500="Y"),""),2),""))</f>
        <v/>
      </c>
      <c r="J485" s="8" t="n"/>
      <c r="K485" s="8" t="n"/>
      <c r="L485" s="8" t="n"/>
      <c r="M485" s="8" t="n"/>
      <c r="N485" s="8" t="n"/>
      <c r="O485" s="8" t="n"/>
      <c r="P485" s="8" t="n"/>
      <c r="Q485" s="8" t="n"/>
      <c r="R485" s="5">
        <f>IF($A485="","",IFERROR(INDEX(Companies!$I$2:$I$500,MATCH($A485,Companies!$A$2:$A$500,0)),""))</f>
        <v/>
      </c>
      <c r="S485" s="8" t="n"/>
      <c r="T485" s="8" t="n"/>
      <c r="U485" s="8" t="n"/>
      <c r="V485" s="8" t="n"/>
      <c r="W485" s="8" t="n"/>
    </row>
    <row r="486">
      <c r="C486" s="5">
        <f>IF($B486="","",TRIM(IF(INDEX('MOA role matrix'!$B$2:$D$13,1,MATCH($B486,'MOA role matrix'!$B$1:$D$1,0))="Fill","Project initiator, ","")IF(INDEX('MOA role matrix'!$B$2:$D$13,1,MATCH($B486,'MOA role matrix'!$B$1:$D$1,0))="If finance","Project initiator (if finance), ","")IF(INDEX('MOA role matrix'!$B$2:$D$13,1,MATCH($B486,'MOA role matrix'!$B$1:$D$1,0))="Auto","Project initiator (auto), ","")IF(INDEX('MOA role matrix'!$B$2:$D$13,2,MATCH($B486,'MOA role matrix'!$B$1:$D$1,0))="Fill","MOA signers (client), ","")IF(INDEX('MOA role matrix'!$B$2:$D$13,2,MATCH($B486,'MOA role matrix'!$B$1:$D$1,0))="If finance","MOA signers (client) (if finance), ","")IF(INDEX('MOA role matrix'!$B$2:$D$13,2,MATCH($B486,'MOA role matrix'!$B$1:$D$1,0))="Auto","MOA signers (client) (auto), ","")IF(INDEX('MOA role matrix'!$B$2:$D$13,3,MATCH($B486,'MOA role matrix'!$B$1:$D$1,0))="Fill","CFO / Head of Finance, ","")IF(INDEX('MOA role matrix'!$B$2:$D$13,3,MATCH($B486,'MOA role matrix'!$B$1:$D$1,0))="If finance","CFO / Head of Finance (if finance), ","")IF(INDEX('MOA role matrix'!$B$2:$D$13,3,MATCH($B486,'MOA role matrix'!$B$1:$D$1,0))="Auto","CFO / Head of Finance (auto), ","")IF(INDEX('MOA role matrix'!$B$2:$D$13,4,MATCH($B486,'MOA role matrix'!$B$1:$D$1,0))="Fill","CEO / COO / GM, ","")IF(INDEX('MOA role matrix'!$B$2:$D$13,4,MATCH($B486,'MOA role matrix'!$B$1:$D$1,0))="If finance","CEO / COO / GM (if finance), ","")IF(INDEX('MOA role matrix'!$B$2:$D$13,4,MATCH($B486,'MOA role matrix'!$B$1:$D$1,0))="Auto","CEO / COO / GM (auto), ","")IF(INDEX('MOA role matrix'!$B$2:$D$13,5,MATCH($B486,'MOA role matrix'!$B$1:$D$1,0))="Fill","Board member 1, ","")IF(INDEX('MOA role matrix'!$B$2:$D$13,5,MATCH($B486,'MOA role matrix'!$B$1:$D$1,0))="If finance","Board member 1 (if finance), ","")IF(INDEX('MOA role matrix'!$B$2:$D$13,5,MATCH($B486,'MOA role matrix'!$B$1:$D$1,0))="Auto","Board member 1 (auto), ","")IF(INDEX('MOA role matrix'!$B$2:$D$13,6,MATCH($B486,'MOA role matrix'!$B$1:$D$1,0))="Fill","Board member 2, ","")IF(INDEX('MOA role matrix'!$B$2:$D$13,6,MATCH($B486,'MOA role matrix'!$B$1:$D$1,0))="If finance","Board member 2 (if finance), ","")IF(INDEX('MOA role matrix'!$B$2:$D$13,6,MATCH($B486,'MOA role matrix'!$B$1:$D$1,0))="Auto","Board member 2 (auto), ","")IF(INDEX('MOA role matrix'!$B$2:$D$13,7,MATCH($B486,'MOA role matrix'!$B$1:$D$1,0))="Fill","LOA holder 1, ","")IF(INDEX('MOA role matrix'!$B$2:$D$13,7,MATCH($B486,'MOA role matrix'!$B$1:$D$1,0))="If finance","LOA holder 1 (if finance), ","")IF(INDEX('MOA role matrix'!$B$2:$D$13,7,MATCH($B486,'MOA role matrix'!$B$1:$D$1,0))="Auto","LOA holder 1 (auto), ","")IF(INDEX('MOA role matrix'!$B$2:$D$13,8,MATCH($B486,'MOA role matrix'!$B$1:$D$1,0))="Fill","LOA holder 2, ","")IF(INDEX('MOA role matrix'!$B$2:$D$13,8,MATCH($B486,'MOA role matrix'!$B$1:$D$1,0))="If finance","LOA holder 2 (if finance), ","")IF(INDEX('MOA role matrix'!$B$2:$D$13,8,MATCH($B486,'MOA role matrix'!$B$1:$D$1,0))="Auto","LOA holder 2 (auto), ","")IF(INDEX('MOA role matrix'!$B$2:$D$13,9,MATCH($B486,'MOA role matrix'!$B$1:$D$1,0))="Fill","Senior Manager CoSec, ","")IF(INDEX('MOA role matrix'!$B$2:$D$13,9,MATCH($B486,'MOA role matrix'!$B$1:$D$1,0))="If finance","Senior Manager CoSec (if finance), ","")IF(INDEX('MOA role matrix'!$B$2:$D$13,9,MATCH($B486,'MOA role matrix'!$B$1:$D$1,0))="Auto","Senior Manager CoSec (auto), ","")IF(INDEX('MOA role matrix'!$B$2:$D$13,10,MATCH($B486,'MOA role matrix'!$B$1:$D$1,0))="Fill","Division MOI managers, ","")IF(INDEX('MOA role matrix'!$B$2:$D$13,10,MATCH($B486,'MOA role matrix'!$B$1:$D$1,0))="If finance","Division MOI managers (if finance), ","")IF(INDEX('MOA role matrix'!$B$2:$D$13,10,MATCH($B486,'MOA role matrix'!$B$1:$D$1,0))="Auto","Division MOI managers (auto), ","")IF(INDEX('MOA role matrix'!$B$2:$D$13,11,MATCH($B486,'MOA role matrix'!$B$1:$D$1,0))="Fill","Ms Teh (bank), ","")IF(INDEX('MOA role matrix'!$B$2:$D$13,11,MATCH($B486,'MOA role matrix'!$B$1:$D$1,0))="If finance","Ms Teh (bank) (if finance), ","")IF(INDEX('MOA role matrix'!$B$2:$D$13,11,MATCH($B486,'MOA role matrix'!$B$1:$D$1,0))="Auto","Ms Teh (bank) (auto), ","")IF(INDEX('MOA role matrix'!$B$2:$D$13,12,MATCH($B486,'MOA role matrix'!$B$1:$D$1,0))="Fill","DLCM, ","")IF(INDEX('MOA role matrix'!$B$2:$D$13,12,MATCH($B486,'MOA role matrix'!$B$1:$D$1,0))="If finance","DLCM (if finance), ","")IF(INDEX('MOA role matrix'!$B$2:$D$13,12,MATCH($B486,'MOA role matrix'!$B$1:$D$1,0))="Auto","DLCM (auto), ","")))</f>
        <v/>
      </c>
      <c r="D486" s="5">
        <f>IF($A486="","",IFERROR(INDEX(FILTER('Client contacts'!$B$2:$B$500,('Client contacts'!$A$2:$A$500=$A486)*('Client contacts'!$H$2:$H$500="Y"),""),1),""))</f>
        <v/>
      </c>
      <c r="E486" s="5">
        <f>IF($A486="","",IFERROR(INDEX(FILTER('Client contacts'!$C$2:$C$500,('Client contacts'!$A$2:$A$500=$A486)*('Client contacts'!$H$2:$H$500="Y"),""),1),""))</f>
        <v/>
      </c>
      <c r="F486" s="5">
        <f>IF($A486="","",IFERROR(INDEX(FILTER('Client contacts'!$B$2:$B$500,('Client contacts'!$A$2:$A$500=$A486)*('Client contacts'!$G$2:$G$500="Y"),""),1),""))</f>
        <v/>
      </c>
      <c r="G486" s="5">
        <f>IF($A486="","",IFERROR(INDEX(FILTER('Client contacts'!$C$2:$C$500,('Client contacts'!$A$2:$A$500=$A486)*('Client contacts'!$G$2:$G$500="Y"),""),1),""))</f>
        <v/>
      </c>
      <c r="H486" s="5">
        <f>IF($A486="","",IFERROR(INDEX(FILTER('Client contacts'!$B$2:$B$500,('Client contacts'!$A$2:$A$500=$A486)*('Client contacts'!$G$2:$G$500="Y"),""),2),""))</f>
        <v/>
      </c>
      <c r="I486" s="5">
        <f>IF($A486="","",IFERROR(INDEX(FILTER('Client contacts'!$C$2:$C$500,('Client contacts'!$A$2:$A$500=$A486)*('Client contacts'!$G$2:$G$500="Y"),""),2),""))</f>
        <v/>
      </c>
      <c r="J486" s="8" t="n"/>
      <c r="K486" s="8" t="n"/>
      <c r="L486" s="8" t="n"/>
      <c r="M486" s="8" t="n"/>
      <c r="N486" s="8" t="n"/>
      <c r="O486" s="8" t="n"/>
      <c r="P486" s="8" t="n"/>
      <c r="Q486" s="8" t="n"/>
      <c r="R486" s="5">
        <f>IF($A486="","",IFERROR(INDEX(Companies!$I$2:$I$500,MATCH($A486,Companies!$A$2:$A$500,0)),""))</f>
        <v/>
      </c>
      <c r="S486" s="8" t="n"/>
      <c r="T486" s="8" t="n"/>
      <c r="U486" s="8" t="n"/>
      <c r="V486" s="8" t="n"/>
      <c r="W486" s="8" t="n"/>
    </row>
    <row r="487">
      <c r="C487" s="5">
        <f>IF($B487="","",TRIM(IF(INDEX('MOA role matrix'!$B$2:$D$13,1,MATCH($B487,'MOA role matrix'!$B$1:$D$1,0))="Fill","Project initiator, ","")IF(INDEX('MOA role matrix'!$B$2:$D$13,1,MATCH($B487,'MOA role matrix'!$B$1:$D$1,0))="If finance","Project initiator (if finance), ","")IF(INDEX('MOA role matrix'!$B$2:$D$13,1,MATCH($B487,'MOA role matrix'!$B$1:$D$1,0))="Auto","Project initiator (auto), ","")IF(INDEX('MOA role matrix'!$B$2:$D$13,2,MATCH($B487,'MOA role matrix'!$B$1:$D$1,0))="Fill","MOA signers (client), ","")IF(INDEX('MOA role matrix'!$B$2:$D$13,2,MATCH($B487,'MOA role matrix'!$B$1:$D$1,0))="If finance","MOA signers (client) (if finance), ","")IF(INDEX('MOA role matrix'!$B$2:$D$13,2,MATCH($B487,'MOA role matrix'!$B$1:$D$1,0))="Auto","MOA signers (client) (auto), ","")IF(INDEX('MOA role matrix'!$B$2:$D$13,3,MATCH($B487,'MOA role matrix'!$B$1:$D$1,0))="Fill","CFO / Head of Finance, ","")IF(INDEX('MOA role matrix'!$B$2:$D$13,3,MATCH($B487,'MOA role matrix'!$B$1:$D$1,0))="If finance","CFO / Head of Finance (if finance), ","")IF(INDEX('MOA role matrix'!$B$2:$D$13,3,MATCH($B487,'MOA role matrix'!$B$1:$D$1,0))="Auto","CFO / Head of Finance (auto), ","")IF(INDEX('MOA role matrix'!$B$2:$D$13,4,MATCH($B487,'MOA role matrix'!$B$1:$D$1,0))="Fill","CEO / COO / GM, ","")IF(INDEX('MOA role matrix'!$B$2:$D$13,4,MATCH($B487,'MOA role matrix'!$B$1:$D$1,0))="If finance","CEO / COO / GM (if finance), ","")IF(INDEX('MOA role matrix'!$B$2:$D$13,4,MATCH($B487,'MOA role matrix'!$B$1:$D$1,0))="Auto","CEO / COO / GM (auto), ","")IF(INDEX('MOA role matrix'!$B$2:$D$13,5,MATCH($B487,'MOA role matrix'!$B$1:$D$1,0))="Fill","Board member 1, ","")IF(INDEX('MOA role matrix'!$B$2:$D$13,5,MATCH($B487,'MOA role matrix'!$B$1:$D$1,0))="If finance","Board member 1 (if finance), ","")IF(INDEX('MOA role matrix'!$B$2:$D$13,5,MATCH($B487,'MOA role matrix'!$B$1:$D$1,0))="Auto","Board member 1 (auto), ","")IF(INDEX('MOA role matrix'!$B$2:$D$13,6,MATCH($B487,'MOA role matrix'!$B$1:$D$1,0))="Fill","Board member 2, ","")IF(INDEX('MOA role matrix'!$B$2:$D$13,6,MATCH($B487,'MOA role matrix'!$B$1:$D$1,0))="If finance","Board member 2 (if finance), ","")IF(INDEX('MOA role matrix'!$B$2:$D$13,6,MATCH($B487,'MOA role matrix'!$B$1:$D$1,0))="Auto","Board member 2 (auto), ","")IF(INDEX('MOA role matrix'!$B$2:$D$13,7,MATCH($B487,'MOA role matrix'!$B$1:$D$1,0))="Fill","LOA holder 1, ","")IF(INDEX('MOA role matrix'!$B$2:$D$13,7,MATCH($B487,'MOA role matrix'!$B$1:$D$1,0))="If finance","LOA holder 1 (if finance), ","")IF(INDEX('MOA role matrix'!$B$2:$D$13,7,MATCH($B487,'MOA role matrix'!$B$1:$D$1,0))="Auto","LOA holder 1 (auto), ","")IF(INDEX('MOA role matrix'!$B$2:$D$13,8,MATCH($B487,'MOA role matrix'!$B$1:$D$1,0))="Fill","LOA holder 2, ","")IF(INDEX('MOA role matrix'!$B$2:$D$13,8,MATCH($B487,'MOA role matrix'!$B$1:$D$1,0))="If finance","LOA holder 2 (if finance), ","")IF(INDEX('MOA role matrix'!$B$2:$D$13,8,MATCH($B487,'MOA role matrix'!$B$1:$D$1,0))="Auto","LOA holder 2 (auto), ","")IF(INDEX('MOA role matrix'!$B$2:$D$13,9,MATCH($B487,'MOA role matrix'!$B$1:$D$1,0))="Fill","Senior Manager CoSec, ","")IF(INDEX('MOA role matrix'!$B$2:$D$13,9,MATCH($B487,'MOA role matrix'!$B$1:$D$1,0))="If finance","Senior Manager CoSec (if finance), ","")IF(INDEX('MOA role matrix'!$B$2:$D$13,9,MATCH($B487,'MOA role matrix'!$B$1:$D$1,0))="Auto","Senior Manager CoSec (auto), ","")IF(INDEX('MOA role matrix'!$B$2:$D$13,10,MATCH($B487,'MOA role matrix'!$B$1:$D$1,0))="Fill","Division MOI managers, ","")IF(INDEX('MOA role matrix'!$B$2:$D$13,10,MATCH($B487,'MOA role matrix'!$B$1:$D$1,0))="If finance","Division MOI managers (if finance), ","")IF(INDEX('MOA role matrix'!$B$2:$D$13,10,MATCH($B487,'MOA role matrix'!$B$1:$D$1,0))="Auto","Division MOI managers (auto), ","")IF(INDEX('MOA role matrix'!$B$2:$D$13,11,MATCH($B487,'MOA role matrix'!$B$1:$D$1,0))="Fill","Ms Teh (bank), ","")IF(INDEX('MOA role matrix'!$B$2:$D$13,11,MATCH($B487,'MOA role matrix'!$B$1:$D$1,0))="If finance","Ms Teh (bank) (if finance), ","")IF(INDEX('MOA role matrix'!$B$2:$D$13,11,MATCH($B487,'MOA role matrix'!$B$1:$D$1,0))="Auto","Ms Teh (bank) (auto), ","")IF(INDEX('MOA role matrix'!$B$2:$D$13,12,MATCH($B487,'MOA role matrix'!$B$1:$D$1,0))="Fill","DLCM, ","")IF(INDEX('MOA role matrix'!$B$2:$D$13,12,MATCH($B487,'MOA role matrix'!$B$1:$D$1,0))="If finance","DLCM (if finance), ","")IF(INDEX('MOA role matrix'!$B$2:$D$13,12,MATCH($B487,'MOA role matrix'!$B$1:$D$1,0))="Auto","DLCM (auto), ","")))</f>
        <v/>
      </c>
      <c r="D487" s="5">
        <f>IF($A487="","",IFERROR(INDEX(FILTER('Client contacts'!$B$2:$B$500,('Client contacts'!$A$2:$A$500=$A487)*('Client contacts'!$H$2:$H$500="Y"),""),1),""))</f>
        <v/>
      </c>
      <c r="E487" s="5">
        <f>IF($A487="","",IFERROR(INDEX(FILTER('Client contacts'!$C$2:$C$500,('Client contacts'!$A$2:$A$500=$A487)*('Client contacts'!$H$2:$H$500="Y"),""),1),""))</f>
        <v/>
      </c>
      <c r="F487" s="5">
        <f>IF($A487="","",IFERROR(INDEX(FILTER('Client contacts'!$B$2:$B$500,('Client contacts'!$A$2:$A$500=$A487)*('Client contacts'!$G$2:$G$500="Y"),""),1),""))</f>
        <v/>
      </c>
      <c r="G487" s="5">
        <f>IF($A487="","",IFERROR(INDEX(FILTER('Client contacts'!$C$2:$C$500,('Client contacts'!$A$2:$A$500=$A487)*('Client contacts'!$G$2:$G$500="Y"),""),1),""))</f>
        <v/>
      </c>
      <c r="H487" s="5">
        <f>IF($A487="","",IFERROR(INDEX(FILTER('Client contacts'!$B$2:$B$500,('Client contacts'!$A$2:$A$500=$A487)*('Client contacts'!$G$2:$G$500="Y"),""),2),""))</f>
        <v/>
      </c>
      <c r="I487" s="5">
        <f>IF($A487="","",IFERROR(INDEX(FILTER('Client contacts'!$C$2:$C$500,('Client contacts'!$A$2:$A$500=$A487)*('Client contacts'!$G$2:$G$500="Y"),""),2),""))</f>
        <v/>
      </c>
      <c r="J487" s="8" t="n"/>
      <c r="K487" s="8" t="n"/>
      <c r="L487" s="8" t="n"/>
      <c r="M487" s="8" t="n"/>
      <c r="N487" s="8" t="n"/>
      <c r="O487" s="8" t="n"/>
      <c r="P487" s="8" t="n"/>
      <c r="Q487" s="8" t="n"/>
      <c r="R487" s="5">
        <f>IF($A487="","",IFERROR(INDEX(Companies!$I$2:$I$500,MATCH($A487,Companies!$A$2:$A$500,0)),""))</f>
        <v/>
      </c>
      <c r="S487" s="8" t="n"/>
      <c r="T487" s="8" t="n"/>
      <c r="U487" s="8" t="n"/>
      <c r="V487" s="8" t="n"/>
      <c r="W487" s="8" t="n"/>
    </row>
    <row r="488">
      <c r="C488" s="5">
        <f>IF($B488="","",TRIM(IF(INDEX('MOA role matrix'!$B$2:$D$13,1,MATCH($B488,'MOA role matrix'!$B$1:$D$1,0))="Fill","Project initiator, ","")IF(INDEX('MOA role matrix'!$B$2:$D$13,1,MATCH($B488,'MOA role matrix'!$B$1:$D$1,0))="If finance","Project initiator (if finance), ","")IF(INDEX('MOA role matrix'!$B$2:$D$13,1,MATCH($B488,'MOA role matrix'!$B$1:$D$1,0))="Auto","Project initiator (auto), ","")IF(INDEX('MOA role matrix'!$B$2:$D$13,2,MATCH($B488,'MOA role matrix'!$B$1:$D$1,0))="Fill","MOA signers (client), ","")IF(INDEX('MOA role matrix'!$B$2:$D$13,2,MATCH($B488,'MOA role matrix'!$B$1:$D$1,0))="If finance","MOA signers (client) (if finance), ","")IF(INDEX('MOA role matrix'!$B$2:$D$13,2,MATCH($B488,'MOA role matrix'!$B$1:$D$1,0))="Auto","MOA signers (client) (auto), ","")IF(INDEX('MOA role matrix'!$B$2:$D$13,3,MATCH($B488,'MOA role matrix'!$B$1:$D$1,0))="Fill","CFO / Head of Finance, ","")IF(INDEX('MOA role matrix'!$B$2:$D$13,3,MATCH($B488,'MOA role matrix'!$B$1:$D$1,0))="If finance","CFO / Head of Finance (if finance), ","")IF(INDEX('MOA role matrix'!$B$2:$D$13,3,MATCH($B488,'MOA role matrix'!$B$1:$D$1,0))="Auto","CFO / Head of Finance (auto), ","")IF(INDEX('MOA role matrix'!$B$2:$D$13,4,MATCH($B488,'MOA role matrix'!$B$1:$D$1,0))="Fill","CEO / COO / GM, ","")IF(INDEX('MOA role matrix'!$B$2:$D$13,4,MATCH($B488,'MOA role matrix'!$B$1:$D$1,0))="If finance","CEO / COO / GM (if finance), ","")IF(INDEX('MOA role matrix'!$B$2:$D$13,4,MATCH($B488,'MOA role matrix'!$B$1:$D$1,0))="Auto","CEO / COO / GM (auto), ","")IF(INDEX('MOA role matrix'!$B$2:$D$13,5,MATCH($B488,'MOA role matrix'!$B$1:$D$1,0))="Fill","Board member 1, ","")IF(INDEX('MOA role matrix'!$B$2:$D$13,5,MATCH($B488,'MOA role matrix'!$B$1:$D$1,0))="If finance","Board member 1 (if finance), ","")IF(INDEX('MOA role matrix'!$B$2:$D$13,5,MATCH($B488,'MOA role matrix'!$B$1:$D$1,0))="Auto","Board member 1 (auto), ","")IF(INDEX('MOA role matrix'!$B$2:$D$13,6,MATCH($B488,'MOA role matrix'!$B$1:$D$1,0))="Fill","Board member 2, ","")IF(INDEX('MOA role matrix'!$B$2:$D$13,6,MATCH($B488,'MOA role matrix'!$B$1:$D$1,0))="If finance","Board member 2 (if finance), ","")IF(INDEX('MOA role matrix'!$B$2:$D$13,6,MATCH($B488,'MOA role matrix'!$B$1:$D$1,0))="Auto","Board member 2 (auto), ","")IF(INDEX('MOA role matrix'!$B$2:$D$13,7,MATCH($B488,'MOA role matrix'!$B$1:$D$1,0))="Fill","LOA holder 1, ","")IF(INDEX('MOA role matrix'!$B$2:$D$13,7,MATCH($B488,'MOA role matrix'!$B$1:$D$1,0))="If finance","LOA holder 1 (if finance), ","")IF(INDEX('MOA role matrix'!$B$2:$D$13,7,MATCH($B488,'MOA role matrix'!$B$1:$D$1,0))="Auto","LOA holder 1 (auto), ","")IF(INDEX('MOA role matrix'!$B$2:$D$13,8,MATCH($B488,'MOA role matrix'!$B$1:$D$1,0))="Fill","LOA holder 2, ","")IF(INDEX('MOA role matrix'!$B$2:$D$13,8,MATCH($B488,'MOA role matrix'!$B$1:$D$1,0))="If finance","LOA holder 2 (if finance), ","")IF(INDEX('MOA role matrix'!$B$2:$D$13,8,MATCH($B488,'MOA role matrix'!$B$1:$D$1,0))="Auto","LOA holder 2 (auto), ","")IF(INDEX('MOA role matrix'!$B$2:$D$13,9,MATCH($B488,'MOA role matrix'!$B$1:$D$1,0))="Fill","Senior Manager CoSec, ","")IF(INDEX('MOA role matrix'!$B$2:$D$13,9,MATCH($B488,'MOA role matrix'!$B$1:$D$1,0))="If finance","Senior Manager CoSec (if finance), ","")IF(INDEX('MOA role matrix'!$B$2:$D$13,9,MATCH($B488,'MOA role matrix'!$B$1:$D$1,0))="Auto","Senior Manager CoSec (auto), ","")IF(INDEX('MOA role matrix'!$B$2:$D$13,10,MATCH($B488,'MOA role matrix'!$B$1:$D$1,0))="Fill","Division MOI managers, ","")IF(INDEX('MOA role matrix'!$B$2:$D$13,10,MATCH($B488,'MOA role matrix'!$B$1:$D$1,0))="If finance","Division MOI managers (if finance), ","")IF(INDEX('MOA role matrix'!$B$2:$D$13,10,MATCH($B488,'MOA role matrix'!$B$1:$D$1,0))="Auto","Division MOI managers (auto), ","")IF(INDEX('MOA role matrix'!$B$2:$D$13,11,MATCH($B488,'MOA role matrix'!$B$1:$D$1,0))="Fill","Ms Teh (bank), ","")IF(INDEX('MOA role matrix'!$B$2:$D$13,11,MATCH($B488,'MOA role matrix'!$B$1:$D$1,0))="If finance","Ms Teh (bank) (if finance), ","")IF(INDEX('MOA role matrix'!$B$2:$D$13,11,MATCH($B488,'MOA role matrix'!$B$1:$D$1,0))="Auto","Ms Teh (bank) (auto), ","")IF(INDEX('MOA role matrix'!$B$2:$D$13,12,MATCH($B488,'MOA role matrix'!$B$1:$D$1,0))="Fill","DLCM, ","")IF(INDEX('MOA role matrix'!$B$2:$D$13,12,MATCH($B488,'MOA role matrix'!$B$1:$D$1,0))="If finance","DLCM (if finance), ","")IF(INDEX('MOA role matrix'!$B$2:$D$13,12,MATCH($B488,'MOA role matrix'!$B$1:$D$1,0))="Auto","DLCM (auto), ","")))</f>
        <v/>
      </c>
      <c r="D488" s="5">
        <f>IF($A488="","",IFERROR(INDEX(FILTER('Client contacts'!$B$2:$B$500,('Client contacts'!$A$2:$A$500=$A488)*('Client contacts'!$H$2:$H$500="Y"),""),1),""))</f>
        <v/>
      </c>
      <c r="E488" s="5">
        <f>IF($A488="","",IFERROR(INDEX(FILTER('Client contacts'!$C$2:$C$500,('Client contacts'!$A$2:$A$500=$A488)*('Client contacts'!$H$2:$H$500="Y"),""),1),""))</f>
        <v/>
      </c>
      <c r="F488" s="5">
        <f>IF($A488="","",IFERROR(INDEX(FILTER('Client contacts'!$B$2:$B$500,('Client contacts'!$A$2:$A$500=$A488)*('Client contacts'!$G$2:$G$500="Y"),""),1),""))</f>
        <v/>
      </c>
      <c r="G488" s="5">
        <f>IF($A488="","",IFERROR(INDEX(FILTER('Client contacts'!$C$2:$C$500,('Client contacts'!$A$2:$A$500=$A488)*('Client contacts'!$G$2:$G$500="Y"),""),1),""))</f>
        <v/>
      </c>
      <c r="H488" s="5">
        <f>IF($A488="","",IFERROR(INDEX(FILTER('Client contacts'!$B$2:$B$500,('Client contacts'!$A$2:$A$500=$A488)*('Client contacts'!$G$2:$G$500="Y"),""),2),""))</f>
        <v/>
      </c>
      <c r="I488" s="5">
        <f>IF($A488="","",IFERROR(INDEX(FILTER('Client contacts'!$C$2:$C$500,('Client contacts'!$A$2:$A$500=$A488)*('Client contacts'!$G$2:$G$500="Y"),""),2),""))</f>
        <v/>
      </c>
      <c r="J488" s="8" t="n"/>
      <c r="K488" s="8" t="n"/>
      <c r="L488" s="8" t="n"/>
      <c r="M488" s="8" t="n"/>
      <c r="N488" s="8" t="n"/>
      <c r="O488" s="8" t="n"/>
      <c r="P488" s="8" t="n"/>
      <c r="Q488" s="8" t="n"/>
      <c r="R488" s="5">
        <f>IF($A488="","",IFERROR(INDEX(Companies!$I$2:$I$500,MATCH($A488,Companies!$A$2:$A$500,0)),""))</f>
        <v/>
      </c>
      <c r="S488" s="8" t="n"/>
      <c r="T488" s="8" t="n"/>
      <c r="U488" s="8" t="n"/>
      <c r="V488" s="8" t="n"/>
      <c r="W488" s="8" t="n"/>
    </row>
    <row r="489">
      <c r="C489" s="5">
        <f>IF($B489="","",TRIM(IF(INDEX('MOA role matrix'!$B$2:$D$13,1,MATCH($B489,'MOA role matrix'!$B$1:$D$1,0))="Fill","Project initiator, ","")IF(INDEX('MOA role matrix'!$B$2:$D$13,1,MATCH($B489,'MOA role matrix'!$B$1:$D$1,0))="If finance","Project initiator (if finance), ","")IF(INDEX('MOA role matrix'!$B$2:$D$13,1,MATCH($B489,'MOA role matrix'!$B$1:$D$1,0))="Auto","Project initiator (auto), ","")IF(INDEX('MOA role matrix'!$B$2:$D$13,2,MATCH($B489,'MOA role matrix'!$B$1:$D$1,0))="Fill","MOA signers (client), ","")IF(INDEX('MOA role matrix'!$B$2:$D$13,2,MATCH($B489,'MOA role matrix'!$B$1:$D$1,0))="If finance","MOA signers (client) (if finance), ","")IF(INDEX('MOA role matrix'!$B$2:$D$13,2,MATCH($B489,'MOA role matrix'!$B$1:$D$1,0))="Auto","MOA signers (client) (auto), ","")IF(INDEX('MOA role matrix'!$B$2:$D$13,3,MATCH($B489,'MOA role matrix'!$B$1:$D$1,0))="Fill","CFO / Head of Finance, ","")IF(INDEX('MOA role matrix'!$B$2:$D$13,3,MATCH($B489,'MOA role matrix'!$B$1:$D$1,0))="If finance","CFO / Head of Finance (if finance), ","")IF(INDEX('MOA role matrix'!$B$2:$D$13,3,MATCH($B489,'MOA role matrix'!$B$1:$D$1,0))="Auto","CFO / Head of Finance (auto), ","")IF(INDEX('MOA role matrix'!$B$2:$D$13,4,MATCH($B489,'MOA role matrix'!$B$1:$D$1,0))="Fill","CEO / COO / GM, ","")IF(INDEX('MOA role matrix'!$B$2:$D$13,4,MATCH($B489,'MOA role matrix'!$B$1:$D$1,0))="If finance","CEO / COO / GM (if finance), ","")IF(INDEX('MOA role matrix'!$B$2:$D$13,4,MATCH($B489,'MOA role matrix'!$B$1:$D$1,0))="Auto","CEO / COO / GM (auto), ","")IF(INDEX('MOA role matrix'!$B$2:$D$13,5,MATCH($B489,'MOA role matrix'!$B$1:$D$1,0))="Fill","Board member 1, ","")IF(INDEX('MOA role matrix'!$B$2:$D$13,5,MATCH($B489,'MOA role matrix'!$B$1:$D$1,0))="If finance","Board member 1 (if finance), ","")IF(INDEX('MOA role matrix'!$B$2:$D$13,5,MATCH($B489,'MOA role matrix'!$B$1:$D$1,0))="Auto","Board member 1 (auto), ","")IF(INDEX('MOA role matrix'!$B$2:$D$13,6,MATCH($B489,'MOA role matrix'!$B$1:$D$1,0))="Fill","Board member 2, ","")IF(INDEX('MOA role matrix'!$B$2:$D$13,6,MATCH($B489,'MOA role matrix'!$B$1:$D$1,0))="If finance","Board member 2 (if finance), ","")IF(INDEX('MOA role matrix'!$B$2:$D$13,6,MATCH($B489,'MOA role matrix'!$B$1:$D$1,0))="Auto","Board member 2 (auto), ","")IF(INDEX('MOA role matrix'!$B$2:$D$13,7,MATCH($B489,'MOA role matrix'!$B$1:$D$1,0))="Fill","LOA holder 1, ","")IF(INDEX('MOA role matrix'!$B$2:$D$13,7,MATCH($B489,'MOA role matrix'!$B$1:$D$1,0))="If finance","LOA holder 1 (if finance), ","")IF(INDEX('MOA role matrix'!$B$2:$D$13,7,MATCH($B489,'MOA role matrix'!$B$1:$D$1,0))="Auto","LOA holder 1 (auto), ","")IF(INDEX('MOA role matrix'!$B$2:$D$13,8,MATCH($B489,'MOA role matrix'!$B$1:$D$1,0))="Fill","LOA holder 2, ","")IF(INDEX('MOA role matrix'!$B$2:$D$13,8,MATCH($B489,'MOA role matrix'!$B$1:$D$1,0))="If finance","LOA holder 2 (if finance), ","")IF(INDEX('MOA role matrix'!$B$2:$D$13,8,MATCH($B489,'MOA role matrix'!$B$1:$D$1,0))="Auto","LOA holder 2 (auto), ","")IF(INDEX('MOA role matrix'!$B$2:$D$13,9,MATCH($B489,'MOA role matrix'!$B$1:$D$1,0))="Fill","Senior Manager CoSec, ","")IF(INDEX('MOA role matrix'!$B$2:$D$13,9,MATCH($B489,'MOA role matrix'!$B$1:$D$1,0))="If finance","Senior Manager CoSec (if finance), ","")IF(INDEX('MOA role matrix'!$B$2:$D$13,9,MATCH($B489,'MOA role matrix'!$B$1:$D$1,0))="Auto","Senior Manager CoSec (auto), ","")IF(INDEX('MOA role matrix'!$B$2:$D$13,10,MATCH($B489,'MOA role matrix'!$B$1:$D$1,0))="Fill","Division MOI managers, ","")IF(INDEX('MOA role matrix'!$B$2:$D$13,10,MATCH($B489,'MOA role matrix'!$B$1:$D$1,0))="If finance","Division MOI managers (if finance), ","")IF(INDEX('MOA role matrix'!$B$2:$D$13,10,MATCH($B489,'MOA role matrix'!$B$1:$D$1,0))="Auto","Division MOI managers (auto), ","")IF(INDEX('MOA role matrix'!$B$2:$D$13,11,MATCH($B489,'MOA role matrix'!$B$1:$D$1,0))="Fill","Ms Teh (bank), ","")IF(INDEX('MOA role matrix'!$B$2:$D$13,11,MATCH($B489,'MOA role matrix'!$B$1:$D$1,0))="If finance","Ms Teh (bank) (if finance), ","")IF(INDEX('MOA role matrix'!$B$2:$D$13,11,MATCH($B489,'MOA role matrix'!$B$1:$D$1,0))="Auto","Ms Teh (bank) (auto), ","")IF(INDEX('MOA role matrix'!$B$2:$D$13,12,MATCH($B489,'MOA role matrix'!$B$1:$D$1,0))="Fill","DLCM, ","")IF(INDEX('MOA role matrix'!$B$2:$D$13,12,MATCH($B489,'MOA role matrix'!$B$1:$D$1,0))="If finance","DLCM (if finance), ","")IF(INDEX('MOA role matrix'!$B$2:$D$13,12,MATCH($B489,'MOA role matrix'!$B$1:$D$1,0))="Auto","DLCM (auto), ","")))</f>
        <v/>
      </c>
      <c r="D489" s="5">
        <f>IF($A489="","",IFERROR(INDEX(FILTER('Client contacts'!$B$2:$B$500,('Client contacts'!$A$2:$A$500=$A489)*('Client contacts'!$H$2:$H$500="Y"),""),1),""))</f>
        <v/>
      </c>
      <c r="E489" s="5">
        <f>IF($A489="","",IFERROR(INDEX(FILTER('Client contacts'!$C$2:$C$500,('Client contacts'!$A$2:$A$500=$A489)*('Client contacts'!$H$2:$H$500="Y"),""),1),""))</f>
        <v/>
      </c>
      <c r="F489" s="5">
        <f>IF($A489="","",IFERROR(INDEX(FILTER('Client contacts'!$B$2:$B$500,('Client contacts'!$A$2:$A$500=$A489)*('Client contacts'!$G$2:$G$500="Y"),""),1),""))</f>
        <v/>
      </c>
      <c r="G489" s="5">
        <f>IF($A489="","",IFERROR(INDEX(FILTER('Client contacts'!$C$2:$C$500,('Client contacts'!$A$2:$A$500=$A489)*('Client contacts'!$G$2:$G$500="Y"),""),1),""))</f>
        <v/>
      </c>
      <c r="H489" s="5">
        <f>IF($A489="","",IFERROR(INDEX(FILTER('Client contacts'!$B$2:$B$500,('Client contacts'!$A$2:$A$500=$A489)*('Client contacts'!$G$2:$G$500="Y"),""),2),""))</f>
        <v/>
      </c>
      <c r="I489" s="5">
        <f>IF($A489="","",IFERROR(INDEX(FILTER('Client contacts'!$C$2:$C$500,('Client contacts'!$A$2:$A$500=$A489)*('Client contacts'!$G$2:$G$500="Y"),""),2),""))</f>
        <v/>
      </c>
      <c r="J489" s="8" t="n"/>
      <c r="K489" s="8" t="n"/>
      <c r="L489" s="8" t="n"/>
      <c r="M489" s="8" t="n"/>
      <c r="N489" s="8" t="n"/>
      <c r="O489" s="8" t="n"/>
      <c r="P489" s="8" t="n"/>
      <c r="Q489" s="8" t="n"/>
      <c r="R489" s="5">
        <f>IF($A489="","",IFERROR(INDEX(Companies!$I$2:$I$500,MATCH($A489,Companies!$A$2:$A$500,0)),""))</f>
        <v/>
      </c>
      <c r="S489" s="8" t="n"/>
      <c r="T489" s="8" t="n"/>
      <c r="U489" s="8" t="n"/>
      <c r="V489" s="8" t="n"/>
      <c r="W489" s="8" t="n"/>
    </row>
    <row r="490">
      <c r="C490" s="5">
        <f>IF($B490="","",TRIM(IF(INDEX('MOA role matrix'!$B$2:$D$13,1,MATCH($B490,'MOA role matrix'!$B$1:$D$1,0))="Fill","Project initiator, ","")IF(INDEX('MOA role matrix'!$B$2:$D$13,1,MATCH($B490,'MOA role matrix'!$B$1:$D$1,0))="If finance","Project initiator (if finance), ","")IF(INDEX('MOA role matrix'!$B$2:$D$13,1,MATCH($B490,'MOA role matrix'!$B$1:$D$1,0))="Auto","Project initiator (auto), ","")IF(INDEX('MOA role matrix'!$B$2:$D$13,2,MATCH($B490,'MOA role matrix'!$B$1:$D$1,0))="Fill","MOA signers (client), ","")IF(INDEX('MOA role matrix'!$B$2:$D$13,2,MATCH($B490,'MOA role matrix'!$B$1:$D$1,0))="If finance","MOA signers (client) (if finance), ","")IF(INDEX('MOA role matrix'!$B$2:$D$13,2,MATCH($B490,'MOA role matrix'!$B$1:$D$1,0))="Auto","MOA signers (client) (auto), ","")IF(INDEX('MOA role matrix'!$B$2:$D$13,3,MATCH($B490,'MOA role matrix'!$B$1:$D$1,0))="Fill","CFO / Head of Finance, ","")IF(INDEX('MOA role matrix'!$B$2:$D$13,3,MATCH($B490,'MOA role matrix'!$B$1:$D$1,0))="If finance","CFO / Head of Finance (if finance), ","")IF(INDEX('MOA role matrix'!$B$2:$D$13,3,MATCH($B490,'MOA role matrix'!$B$1:$D$1,0))="Auto","CFO / Head of Finance (auto), ","")IF(INDEX('MOA role matrix'!$B$2:$D$13,4,MATCH($B490,'MOA role matrix'!$B$1:$D$1,0))="Fill","CEO / COO / GM, ","")IF(INDEX('MOA role matrix'!$B$2:$D$13,4,MATCH($B490,'MOA role matrix'!$B$1:$D$1,0))="If finance","CEO / COO / GM (if finance), ","")IF(INDEX('MOA role matrix'!$B$2:$D$13,4,MATCH($B490,'MOA role matrix'!$B$1:$D$1,0))="Auto","CEO / COO / GM (auto), ","")IF(INDEX('MOA role matrix'!$B$2:$D$13,5,MATCH($B490,'MOA role matrix'!$B$1:$D$1,0))="Fill","Board member 1, ","")IF(INDEX('MOA role matrix'!$B$2:$D$13,5,MATCH($B490,'MOA role matrix'!$B$1:$D$1,0))="If finance","Board member 1 (if finance), ","")IF(INDEX('MOA role matrix'!$B$2:$D$13,5,MATCH($B490,'MOA role matrix'!$B$1:$D$1,0))="Auto","Board member 1 (auto), ","")IF(INDEX('MOA role matrix'!$B$2:$D$13,6,MATCH($B490,'MOA role matrix'!$B$1:$D$1,0))="Fill","Board member 2, ","")IF(INDEX('MOA role matrix'!$B$2:$D$13,6,MATCH($B490,'MOA role matrix'!$B$1:$D$1,0))="If finance","Board member 2 (if finance), ","")IF(INDEX('MOA role matrix'!$B$2:$D$13,6,MATCH($B490,'MOA role matrix'!$B$1:$D$1,0))="Auto","Board member 2 (auto), ","")IF(INDEX('MOA role matrix'!$B$2:$D$13,7,MATCH($B490,'MOA role matrix'!$B$1:$D$1,0))="Fill","LOA holder 1, ","")IF(INDEX('MOA role matrix'!$B$2:$D$13,7,MATCH($B490,'MOA role matrix'!$B$1:$D$1,0))="If finance","LOA holder 1 (if finance), ","")IF(INDEX('MOA role matrix'!$B$2:$D$13,7,MATCH($B490,'MOA role matrix'!$B$1:$D$1,0))="Auto","LOA holder 1 (auto), ","")IF(INDEX('MOA role matrix'!$B$2:$D$13,8,MATCH($B490,'MOA role matrix'!$B$1:$D$1,0))="Fill","LOA holder 2, ","")IF(INDEX('MOA role matrix'!$B$2:$D$13,8,MATCH($B490,'MOA role matrix'!$B$1:$D$1,0))="If finance","LOA holder 2 (if finance), ","")IF(INDEX('MOA role matrix'!$B$2:$D$13,8,MATCH($B490,'MOA role matrix'!$B$1:$D$1,0))="Auto","LOA holder 2 (auto), ","")IF(INDEX('MOA role matrix'!$B$2:$D$13,9,MATCH($B490,'MOA role matrix'!$B$1:$D$1,0))="Fill","Senior Manager CoSec, ","")IF(INDEX('MOA role matrix'!$B$2:$D$13,9,MATCH($B490,'MOA role matrix'!$B$1:$D$1,0))="If finance","Senior Manager CoSec (if finance), ","")IF(INDEX('MOA role matrix'!$B$2:$D$13,9,MATCH($B490,'MOA role matrix'!$B$1:$D$1,0))="Auto","Senior Manager CoSec (auto), ","")IF(INDEX('MOA role matrix'!$B$2:$D$13,10,MATCH($B490,'MOA role matrix'!$B$1:$D$1,0))="Fill","Division MOI managers, ","")IF(INDEX('MOA role matrix'!$B$2:$D$13,10,MATCH($B490,'MOA role matrix'!$B$1:$D$1,0))="If finance","Division MOI managers (if finance), ","")IF(INDEX('MOA role matrix'!$B$2:$D$13,10,MATCH($B490,'MOA role matrix'!$B$1:$D$1,0))="Auto","Division MOI managers (auto), ","")IF(INDEX('MOA role matrix'!$B$2:$D$13,11,MATCH($B490,'MOA role matrix'!$B$1:$D$1,0))="Fill","Ms Teh (bank), ","")IF(INDEX('MOA role matrix'!$B$2:$D$13,11,MATCH($B490,'MOA role matrix'!$B$1:$D$1,0))="If finance","Ms Teh (bank) (if finance), ","")IF(INDEX('MOA role matrix'!$B$2:$D$13,11,MATCH($B490,'MOA role matrix'!$B$1:$D$1,0))="Auto","Ms Teh (bank) (auto), ","")IF(INDEX('MOA role matrix'!$B$2:$D$13,12,MATCH($B490,'MOA role matrix'!$B$1:$D$1,0))="Fill","DLCM, ","")IF(INDEX('MOA role matrix'!$B$2:$D$13,12,MATCH($B490,'MOA role matrix'!$B$1:$D$1,0))="If finance","DLCM (if finance), ","")IF(INDEX('MOA role matrix'!$B$2:$D$13,12,MATCH($B490,'MOA role matrix'!$B$1:$D$1,0))="Auto","DLCM (auto), ","")))</f>
        <v/>
      </c>
      <c r="D490" s="5">
        <f>IF($A490="","",IFERROR(INDEX(FILTER('Client contacts'!$B$2:$B$500,('Client contacts'!$A$2:$A$500=$A490)*('Client contacts'!$H$2:$H$500="Y"),""),1),""))</f>
        <v/>
      </c>
      <c r="E490" s="5">
        <f>IF($A490="","",IFERROR(INDEX(FILTER('Client contacts'!$C$2:$C$500,('Client contacts'!$A$2:$A$500=$A490)*('Client contacts'!$H$2:$H$500="Y"),""),1),""))</f>
        <v/>
      </c>
      <c r="F490" s="5">
        <f>IF($A490="","",IFERROR(INDEX(FILTER('Client contacts'!$B$2:$B$500,('Client contacts'!$A$2:$A$500=$A490)*('Client contacts'!$G$2:$G$500="Y"),""),1),""))</f>
        <v/>
      </c>
      <c r="G490" s="5">
        <f>IF($A490="","",IFERROR(INDEX(FILTER('Client contacts'!$C$2:$C$500,('Client contacts'!$A$2:$A$500=$A490)*('Client contacts'!$G$2:$G$500="Y"),""),1),""))</f>
        <v/>
      </c>
      <c r="H490" s="5">
        <f>IF($A490="","",IFERROR(INDEX(FILTER('Client contacts'!$B$2:$B$500,('Client contacts'!$A$2:$A$500=$A490)*('Client contacts'!$G$2:$G$500="Y"),""),2),""))</f>
        <v/>
      </c>
      <c r="I490" s="5">
        <f>IF($A490="","",IFERROR(INDEX(FILTER('Client contacts'!$C$2:$C$500,('Client contacts'!$A$2:$A$500=$A490)*('Client contacts'!$G$2:$G$500="Y"),""),2),""))</f>
        <v/>
      </c>
      <c r="J490" s="8" t="n"/>
      <c r="K490" s="8" t="n"/>
      <c r="L490" s="8" t="n"/>
      <c r="M490" s="8" t="n"/>
      <c r="N490" s="8" t="n"/>
      <c r="O490" s="8" t="n"/>
      <c r="P490" s="8" t="n"/>
      <c r="Q490" s="8" t="n"/>
      <c r="R490" s="5">
        <f>IF($A490="","",IFERROR(INDEX(Companies!$I$2:$I$500,MATCH($A490,Companies!$A$2:$A$500,0)),""))</f>
        <v/>
      </c>
      <c r="S490" s="8" t="n"/>
      <c r="T490" s="8" t="n"/>
      <c r="U490" s="8" t="n"/>
      <c r="V490" s="8" t="n"/>
      <c r="W490" s="8" t="n"/>
    </row>
    <row r="491">
      <c r="C491" s="5">
        <f>IF($B491="","",TRIM(IF(INDEX('MOA role matrix'!$B$2:$D$13,1,MATCH($B491,'MOA role matrix'!$B$1:$D$1,0))="Fill","Project initiator, ","")IF(INDEX('MOA role matrix'!$B$2:$D$13,1,MATCH($B491,'MOA role matrix'!$B$1:$D$1,0))="If finance","Project initiator (if finance), ","")IF(INDEX('MOA role matrix'!$B$2:$D$13,1,MATCH($B491,'MOA role matrix'!$B$1:$D$1,0))="Auto","Project initiator (auto), ","")IF(INDEX('MOA role matrix'!$B$2:$D$13,2,MATCH($B491,'MOA role matrix'!$B$1:$D$1,0))="Fill","MOA signers (client), ","")IF(INDEX('MOA role matrix'!$B$2:$D$13,2,MATCH($B491,'MOA role matrix'!$B$1:$D$1,0))="If finance","MOA signers (client) (if finance), ","")IF(INDEX('MOA role matrix'!$B$2:$D$13,2,MATCH($B491,'MOA role matrix'!$B$1:$D$1,0))="Auto","MOA signers (client) (auto), ","")IF(INDEX('MOA role matrix'!$B$2:$D$13,3,MATCH($B491,'MOA role matrix'!$B$1:$D$1,0))="Fill","CFO / Head of Finance, ","")IF(INDEX('MOA role matrix'!$B$2:$D$13,3,MATCH($B491,'MOA role matrix'!$B$1:$D$1,0))="If finance","CFO / Head of Finance (if finance), ","")IF(INDEX('MOA role matrix'!$B$2:$D$13,3,MATCH($B491,'MOA role matrix'!$B$1:$D$1,0))="Auto","CFO / Head of Finance (auto), ","")IF(INDEX('MOA role matrix'!$B$2:$D$13,4,MATCH($B491,'MOA role matrix'!$B$1:$D$1,0))="Fill","CEO / COO / GM, ","")IF(INDEX('MOA role matrix'!$B$2:$D$13,4,MATCH($B491,'MOA role matrix'!$B$1:$D$1,0))="If finance","CEO / COO / GM (if finance), ","")IF(INDEX('MOA role matrix'!$B$2:$D$13,4,MATCH($B491,'MOA role matrix'!$B$1:$D$1,0))="Auto","CEO / COO / GM (auto), ","")IF(INDEX('MOA role matrix'!$B$2:$D$13,5,MATCH($B491,'MOA role matrix'!$B$1:$D$1,0))="Fill","Board member 1, ","")IF(INDEX('MOA role matrix'!$B$2:$D$13,5,MATCH($B491,'MOA role matrix'!$B$1:$D$1,0))="If finance","Board member 1 (if finance), ","")IF(INDEX('MOA role matrix'!$B$2:$D$13,5,MATCH($B491,'MOA role matrix'!$B$1:$D$1,0))="Auto","Board member 1 (auto), ","")IF(INDEX('MOA role matrix'!$B$2:$D$13,6,MATCH($B491,'MOA role matrix'!$B$1:$D$1,0))="Fill","Board member 2, ","")IF(INDEX('MOA role matrix'!$B$2:$D$13,6,MATCH($B491,'MOA role matrix'!$B$1:$D$1,0))="If finance","Board member 2 (if finance), ","")IF(INDEX('MOA role matrix'!$B$2:$D$13,6,MATCH($B491,'MOA role matrix'!$B$1:$D$1,0))="Auto","Board member 2 (auto), ","")IF(INDEX('MOA role matrix'!$B$2:$D$13,7,MATCH($B491,'MOA role matrix'!$B$1:$D$1,0))="Fill","LOA holder 1, ","")IF(INDEX('MOA role matrix'!$B$2:$D$13,7,MATCH($B491,'MOA role matrix'!$B$1:$D$1,0))="If finance","LOA holder 1 (if finance), ","")IF(INDEX('MOA role matrix'!$B$2:$D$13,7,MATCH($B491,'MOA role matrix'!$B$1:$D$1,0))="Auto","LOA holder 1 (auto), ","")IF(INDEX('MOA role matrix'!$B$2:$D$13,8,MATCH($B491,'MOA role matrix'!$B$1:$D$1,0))="Fill","LOA holder 2, ","")IF(INDEX('MOA role matrix'!$B$2:$D$13,8,MATCH($B491,'MOA role matrix'!$B$1:$D$1,0))="If finance","LOA holder 2 (if finance), ","")IF(INDEX('MOA role matrix'!$B$2:$D$13,8,MATCH($B491,'MOA role matrix'!$B$1:$D$1,0))="Auto","LOA holder 2 (auto), ","")IF(INDEX('MOA role matrix'!$B$2:$D$13,9,MATCH($B491,'MOA role matrix'!$B$1:$D$1,0))="Fill","Senior Manager CoSec, ","")IF(INDEX('MOA role matrix'!$B$2:$D$13,9,MATCH($B491,'MOA role matrix'!$B$1:$D$1,0))="If finance","Senior Manager CoSec (if finance), ","")IF(INDEX('MOA role matrix'!$B$2:$D$13,9,MATCH($B491,'MOA role matrix'!$B$1:$D$1,0))="Auto","Senior Manager CoSec (auto), ","")IF(INDEX('MOA role matrix'!$B$2:$D$13,10,MATCH($B491,'MOA role matrix'!$B$1:$D$1,0))="Fill","Division MOI managers, ","")IF(INDEX('MOA role matrix'!$B$2:$D$13,10,MATCH($B491,'MOA role matrix'!$B$1:$D$1,0))="If finance","Division MOI managers (if finance), ","")IF(INDEX('MOA role matrix'!$B$2:$D$13,10,MATCH($B491,'MOA role matrix'!$B$1:$D$1,0))="Auto","Division MOI managers (auto), ","")IF(INDEX('MOA role matrix'!$B$2:$D$13,11,MATCH($B491,'MOA role matrix'!$B$1:$D$1,0))="Fill","Ms Teh (bank), ","")IF(INDEX('MOA role matrix'!$B$2:$D$13,11,MATCH($B491,'MOA role matrix'!$B$1:$D$1,0))="If finance","Ms Teh (bank) (if finance), ","")IF(INDEX('MOA role matrix'!$B$2:$D$13,11,MATCH($B491,'MOA role matrix'!$B$1:$D$1,0))="Auto","Ms Teh (bank) (auto), ","")IF(INDEX('MOA role matrix'!$B$2:$D$13,12,MATCH($B491,'MOA role matrix'!$B$1:$D$1,0))="Fill","DLCM, ","")IF(INDEX('MOA role matrix'!$B$2:$D$13,12,MATCH($B491,'MOA role matrix'!$B$1:$D$1,0))="If finance","DLCM (if finance), ","")IF(INDEX('MOA role matrix'!$B$2:$D$13,12,MATCH($B491,'MOA role matrix'!$B$1:$D$1,0))="Auto","DLCM (auto), ","")))</f>
        <v/>
      </c>
      <c r="D491" s="5">
        <f>IF($A491="","",IFERROR(INDEX(FILTER('Client contacts'!$B$2:$B$500,('Client contacts'!$A$2:$A$500=$A491)*('Client contacts'!$H$2:$H$500="Y"),""),1),""))</f>
        <v/>
      </c>
      <c r="E491" s="5">
        <f>IF($A491="","",IFERROR(INDEX(FILTER('Client contacts'!$C$2:$C$500,('Client contacts'!$A$2:$A$500=$A491)*('Client contacts'!$H$2:$H$500="Y"),""),1),""))</f>
        <v/>
      </c>
      <c r="F491" s="5">
        <f>IF($A491="","",IFERROR(INDEX(FILTER('Client contacts'!$B$2:$B$500,('Client contacts'!$A$2:$A$500=$A491)*('Client contacts'!$G$2:$G$500="Y"),""),1),""))</f>
        <v/>
      </c>
      <c r="G491" s="5">
        <f>IF($A491="","",IFERROR(INDEX(FILTER('Client contacts'!$C$2:$C$500,('Client contacts'!$A$2:$A$500=$A491)*('Client contacts'!$G$2:$G$500="Y"),""),1),""))</f>
        <v/>
      </c>
      <c r="H491" s="5">
        <f>IF($A491="","",IFERROR(INDEX(FILTER('Client contacts'!$B$2:$B$500,('Client contacts'!$A$2:$A$500=$A491)*('Client contacts'!$G$2:$G$500="Y"),""),2),""))</f>
        <v/>
      </c>
      <c r="I491" s="5">
        <f>IF($A491="","",IFERROR(INDEX(FILTER('Client contacts'!$C$2:$C$500,('Client contacts'!$A$2:$A$500=$A491)*('Client contacts'!$G$2:$G$500="Y"),""),2),""))</f>
        <v/>
      </c>
      <c r="J491" s="8" t="n"/>
      <c r="K491" s="8" t="n"/>
      <c r="L491" s="8" t="n"/>
      <c r="M491" s="8" t="n"/>
      <c r="N491" s="8" t="n"/>
      <c r="O491" s="8" t="n"/>
      <c r="P491" s="8" t="n"/>
      <c r="Q491" s="8" t="n"/>
      <c r="R491" s="5">
        <f>IF($A491="","",IFERROR(INDEX(Companies!$I$2:$I$500,MATCH($A491,Companies!$A$2:$A$500,0)),""))</f>
        <v/>
      </c>
      <c r="S491" s="8" t="n"/>
      <c r="T491" s="8" t="n"/>
      <c r="U491" s="8" t="n"/>
      <c r="V491" s="8" t="n"/>
      <c r="W491" s="8" t="n"/>
    </row>
    <row r="492">
      <c r="C492" s="5">
        <f>IF($B492="","",TRIM(IF(INDEX('MOA role matrix'!$B$2:$D$13,1,MATCH($B492,'MOA role matrix'!$B$1:$D$1,0))="Fill","Project initiator, ","")IF(INDEX('MOA role matrix'!$B$2:$D$13,1,MATCH($B492,'MOA role matrix'!$B$1:$D$1,0))="If finance","Project initiator (if finance), ","")IF(INDEX('MOA role matrix'!$B$2:$D$13,1,MATCH($B492,'MOA role matrix'!$B$1:$D$1,0))="Auto","Project initiator (auto), ","")IF(INDEX('MOA role matrix'!$B$2:$D$13,2,MATCH($B492,'MOA role matrix'!$B$1:$D$1,0))="Fill","MOA signers (client), ","")IF(INDEX('MOA role matrix'!$B$2:$D$13,2,MATCH($B492,'MOA role matrix'!$B$1:$D$1,0))="If finance","MOA signers (client) (if finance), ","")IF(INDEX('MOA role matrix'!$B$2:$D$13,2,MATCH($B492,'MOA role matrix'!$B$1:$D$1,0))="Auto","MOA signers (client) (auto), ","")IF(INDEX('MOA role matrix'!$B$2:$D$13,3,MATCH($B492,'MOA role matrix'!$B$1:$D$1,0))="Fill","CFO / Head of Finance, ","")IF(INDEX('MOA role matrix'!$B$2:$D$13,3,MATCH($B492,'MOA role matrix'!$B$1:$D$1,0))="If finance","CFO / Head of Finance (if finance), ","")IF(INDEX('MOA role matrix'!$B$2:$D$13,3,MATCH($B492,'MOA role matrix'!$B$1:$D$1,0))="Auto","CFO / Head of Finance (auto), ","")IF(INDEX('MOA role matrix'!$B$2:$D$13,4,MATCH($B492,'MOA role matrix'!$B$1:$D$1,0))="Fill","CEO / COO / GM, ","")IF(INDEX('MOA role matrix'!$B$2:$D$13,4,MATCH($B492,'MOA role matrix'!$B$1:$D$1,0))="If finance","CEO / COO / GM (if finance), ","")IF(INDEX('MOA role matrix'!$B$2:$D$13,4,MATCH($B492,'MOA role matrix'!$B$1:$D$1,0))="Auto","CEO / COO / GM (auto), ","")IF(INDEX('MOA role matrix'!$B$2:$D$13,5,MATCH($B492,'MOA role matrix'!$B$1:$D$1,0))="Fill","Board member 1, ","")IF(INDEX('MOA role matrix'!$B$2:$D$13,5,MATCH($B492,'MOA role matrix'!$B$1:$D$1,0))="If finance","Board member 1 (if finance), ","")IF(INDEX('MOA role matrix'!$B$2:$D$13,5,MATCH($B492,'MOA role matrix'!$B$1:$D$1,0))="Auto","Board member 1 (auto), ","")IF(INDEX('MOA role matrix'!$B$2:$D$13,6,MATCH($B492,'MOA role matrix'!$B$1:$D$1,0))="Fill","Board member 2, ","")IF(INDEX('MOA role matrix'!$B$2:$D$13,6,MATCH($B492,'MOA role matrix'!$B$1:$D$1,0))="If finance","Board member 2 (if finance), ","")IF(INDEX('MOA role matrix'!$B$2:$D$13,6,MATCH($B492,'MOA role matrix'!$B$1:$D$1,0))="Auto","Board member 2 (auto), ","")IF(INDEX('MOA role matrix'!$B$2:$D$13,7,MATCH($B492,'MOA role matrix'!$B$1:$D$1,0))="Fill","LOA holder 1, ","")IF(INDEX('MOA role matrix'!$B$2:$D$13,7,MATCH($B492,'MOA role matrix'!$B$1:$D$1,0))="If finance","LOA holder 1 (if finance), ","")IF(INDEX('MOA role matrix'!$B$2:$D$13,7,MATCH($B492,'MOA role matrix'!$B$1:$D$1,0))="Auto","LOA holder 1 (auto), ","")IF(INDEX('MOA role matrix'!$B$2:$D$13,8,MATCH($B492,'MOA role matrix'!$B$1:$D$1,0))="Fill","LOA holder 2, ","")IF(INDEX('MOA role matrix'!$B$2:$D$13,8,MATCH($B492,'MOA role matrix'!$B$1:$D$1,0))="If finance","LOA holder 2 (if finance), ","")IF(INDEX('MOA role matrix'!$B$2:$D$13,8,MATCH($B492,'MOA role matrix'!$B$1:$D$1,0))="Auto","LOA holder 2 (auto), ","")IF(INDEX('MOA role matrix'!$B$2:$D$13,9,MATCH($B492,'MOA role matrix'!$B$1:$D$1,0))="Fill","Senior Manager CoSec, ","")IF(INDEX('MOA role matrix'!$B$2:$D$13,9,MATCH($B492,'MOA role matrix'!$B$1:$D$1,0))="If finance","Senior Manager CoSec (if finance), ","")IF(INDEX('MOA role matrix'!$B$2:$D$13,9,MATCH($B492,'MOA role matrix'!$B$1:$D$1,0))="Auto","Senior Manager CoSec (auto), ","")IF(INDEX('MOA role matrix'!$B$2:$D$13,10,MATCH($B492,'MOA role matrix'!$B$1:$D$1,0))="Fill","Division MOI managers, ","")IF(INDEX('MOA role matrix'!$B$2:$D$13,10,MATCH($B492,'MOA role matrix'!$B$1:$D$1,0))="If finance","Division MOI managers (if finance), ","")IF(INDEX('MOA role matrix'!$B$2:$D$13,10,MATCH($B492,'MOA role matrix'!$B$1:$D$1,0))="Auto","Division MOI managers (auto), ","")IF(INDEX('MOA role matrix'!$B$2:$D$13,11,MATCH($B492,'MOA role matrix'!$B$1:$D$1,0))="Fill","Ms Teh (bank), ","")IF(INDEX('MOA role matrix'!$B$2:$D$13,11,MATCH($B492,'MOA role matrix'!$B$1:$D$1,0))="If finance","Ms Teh (bank) (if finance), ","")IF(INDEX('MOA role matrix'!$B$2:$D$13,11,MATCH($B492,'MOA role matrix'!$B$1:$D$1,0))="Auto","Ms Teh (bank) (auto), ","")IF(INDEX('MOA role matrix'!$B$2:$D$13,12,MATCH($B492,'MOA role matrix'!$B$1:$D$1,0))="Fill","DLCM, ","")IF(INDEX('MOA role matrix'!$B$2:$D$13,12,MATCH($B492,'MOA role matrix'!$B$1:$D$1,0))="If finance","DLCM (if finance), ","")IF(INDEX('MOA role matrix'!$B$2:$D$13,12,MATCH($B492,'MOA role matrix'!$B$1:$D$1,0))="Auto","DLCM (auto), ","")))</f>
        <v/>
      </c>
      <c r="D492" s="5">
        <f>IF($A492="","",IFERROR(INDEX(FILTER('Client contacts'!$B$2:$B$500,('Client contacts'!$A$2:$A$500=$A492)*('Client contacts'!$H$2:$H$500="Y"),""),1),""))</f>
        <v/>
      </c>
      <c r="E492" s="5">
        <f>IF($A492="","",IFERROR(INDEX(FILTER('Client contacts'!$C$2:$C$500,('Client contacts'!$A$2:$A$500=$A492)*('Client contacts'!$H$2:$H$500="Y"),""),1),""))</f>
        <v/>
      </c>
      <c r="F492" s="5">
        <f>IF($A492="","",IFERROR(INDEX(FILTER('Client contacts'!$B$2:$B$500,('Client contacts'!$A$2:$A$500=$A492)*('Client contacts'!$G$2:$G$500="Y"),""),1),""))</f>
        <v/>
      </c>
      <c r="G492" s="5">
        <f>IF($A492="","",IFERROR(INDEX(FILTER('Client contacts'!$C$2:$C$500,('Client contacts'!$A$2:$A$500=$A492)*('Client contacts'!$G$2:$G$500="Y"),""),1),""))</f>
        <v/>
      </c>
      <c r="H492" s="5">
        <f>IF($A492="","",IFERROR(INDEX(FILTER('Client contacts'!$B$2:$B$500,('Client contacts'!$A$2:$A$500=$A492)*('Client contacts'!$G$2:$G$500="Y"),""),2),""))</f>
        <v/>
      </c>
      <c r="I492" s="5">
        <f>IF($A492="","",IFERROR(INDEX(FILTER('Client contacts'!$C$2:$C$500,('Client contacts'!$A$2:$A$500=$A492)*('Client contacts'!$G$2:$G$500="Y"),""),2),""))</f>
        <v/>
      </c>
      <c r="J492" s="8" t="n"/>
      <c r="K492" s="8" t="n"/>
      <c r="L492" s="8" t="n"/>
      <c r="M492" s="8" t="n"/>
      <c r="N492" s="8" t="n"/>
      <c r="O492" s="8" t="n"/>
      <c r="P492" s="8" t="n"/>
      <c r="Q492" s="8" t="n"/>
      <c r="R492" s="5">
        <f>IF($A492="","",IFERROR(INDEX(Companies!$I$2:$I$500,MATCH($A492,Companies!$A$2:$A$500,0)),""))</f>
        <v/>
      </c>
      <c r="S492" s="8" t="n"/>
      <c r="T492" s="8" t="n"/>
      <c r="U492" s="8" t="n"/>
      <c r="V492" s="8" t="n"/>
      <c r="W492" s="8" t="n"/>
    </row>
    <row r="493">
      <c r="C493" s="5">
        <f>IF($B493="","",TRIM(IF(INDEX('MOA role matrix'!$B$2:$D$13,1,MATCH($B493,'MOA role matrix'!$B$1:$D$1,0))="Fill","Project initiator, ","")IF(INDEX('MOA role matrix'!$B$2:$D$13,1,MATCH($B493,'MOA role matrix'!$B$1:$D$1,0))="If finance","Project initiator (if finance), ","")IF(INDEX('MOA role matrix'!$B$2:$D$13,1,MATCH($B493,'MOA role matrix'!$B$1:$D$1,0))="Auto","Project initiator (auto), ","")IF(INDEX('MOA role matrix'!$B$2:$D$13,2,MATCH($B493,'MOA role matrix'!$B$1:$D$1,0))="Fill","MOA signers (client), ","")IF(INDEX('MOA role matrix'!$B$2:$D$13,2,MATCH($B493,'MOA role matrix'!$B$1:$D$1,0))="If finance","MOA signers (client) (if finance), ","")IF(INDEX('MOA role matrix'!$B$2:$D$13,2,MATCH($B493,'MOA role matrix'!$B$1:$D$1,0))="Auto","MOA signers (client) (auto), ","")IF(INDEX('MOA role matrix'!$B$2:$D$13,3,MATCH($B493,'MOA role matrix'!$B$1:$D$1,0))="Fill","CFO / Head of Finance, ","")IF(INDEX('MOA role matrix'!$B$2:$D$13,3,MATCH($B493,'MOA role matrix'!$B$1:$D$1,0))="If finance","CFO / Head of Finance (if finance), ","")IF(INDEX('MOA role matrix'!$B$2:$D$13,3,MATCH($B493,'MOA role matrix'!$B$1:$D$1,0))="Auto","CFO / Head of Finance (auto), ","")IF(INDEX('MOA role matrix'!$B$2:$D$13,4,MATCH($B493,'MOA role matrix'!$B$1:$D$1,0))="Fill","CEO / COO / GM, ","")IF(INDEX('MOA role matrix'!$B$2:$D$13,4,MATCH($B493,'MOA role matrix'!$B$1:$D$1,0))="If finance","CEO / COO / GM (if finance), ","")IF(INDEX('MOA role matrix'!$B$2:$D$13,4,MATCH($B493,'MOA role matrix'!$B$1:$D$1,0))="Auto","CEO / COO / GM (auto), ","")IF(INDEX('MOA role matrix'!$B$2:$D$13,5,MATCH($B493,'MOA role matrix'!$B$1:$D$1,0))="Fill","Board member 1, ","")IF(INDEX('MOA role matrix'!$B$2:$D$13,5,MATCH($B493,'MOA role matrix'!$B$1:$D$1,0))="If finance","Board member 1 (if finance), ","")IF(INDEX('MOA role matrix'!$B$2:$D$13,5,MATCH($B493,'MOA role matrix'!$B$1:$D$1,0))="Auto","Board member 1 (auto), ","")IF(INDEX('MOA role matrix'!$B$2:$D$13,6,MATCH($B493,'MOA role matrix'!$B$1:$D$1,0))="Fill","Board member 2, ","")IF(INDEX('MOA role matrix'!$B$2:$D$13,6,MATCH($B493,'MOA role matrix'!$B$1:$D$1,0))="If finance","Board member 2 (if finance), ","")IF(INDEX('MOA role matrix'!$B$2:$D$13,6,MATCH($B493,'MOA role matrix'!$B$1:$D$1,0))="Auto","Board member 2 (auto), ","")IF(INDEX('MOA role matrix'!$B$2:$D$13,7,MATCH($B493,'MOA role matrix'!$B$1:$D$1,0))="Fill","LOA holder 1, ","")IF(INDEX('MOA role matrix'!$B$2:$D$13,7,MATCH($B493,'MOA role matrix'!$B$1:$D$1,0))="If finance","LOA holder 1 (if finance), ","")IF(INDEX('MOA role matrix'!$B$2:$D$13,7,MATCH($B493,'MOA role matrix'!$B$1:$D$1,0))="Auto","LOA holder 1 (auto), ","")IF(INDEX('MOA role matrix'!$B$2:$D$13,8,MATCH($B493,'MOA role matrix'!$B$1:$D$1,0))="Fill","LOA holder 2, ","")IF(INDEX('MOA role matrix'!$B$2:$D$13,8,MATCH($B493,'MOA role matrix'!$B$1:$D$1,0))="If finance","LOA holder 2 (if finance), ","")IF(INDEX('MOA role matrix'!$B$2:$D$13,8,MATCH($B493,'MOA role matrix'!$B$1:$D$1,0))="Auto","LOA holder 2 (auto), ","")IF(INDEX('MOA role matrix'!$B$2:$D$13,9,MATCH($B493,'MOA role matrix'!$B$1:$D$1,0))="Fill","Senior Manager CoSec, ","")IF(INDEX('MOA role matrix'!$B$2:$D$13,9,MATCH($B493,'MOA role matrix'!$B$1:$D$1,0))="If finance","Senior Manager CoSec (if finance), ","")IF(INDEX('MOA role matrix'!$B$2:$D$13,9,MATCH($B493,'MOA role matrix'!$B$1:$D$1,0))="Auto","Senior Manager CoSec (auto), ","")IF(INDEX('MOA role matrix'!$B$2:$D$13,10,MATCH($B493,'MOA role matrix'!$B$1:$D$1,0))="Fill","Division MOI managers, ","")IF(INDEX('MOA role matrix'!$B$2:$D$13,10,MATCH($B493,'MOA role matrix'!$B$1:$D$1,0))="If finance","Division MOI managers (if finance), ","")IF(INDEX('MOA role matrix'!$B$2:$D$13,10,MATCH($B493,'MOA role matrix'!$B$1:$D$1,0))="Auto","Division MOI managers (auto), ","")IF(INDEX('MOA role matrix'!$B$2:$D$13,11,MATCH($B493,'MOA role matrix'!$B$1:$D$1,0))="Fill","Ms Teh (bank), ","")IF(INDEX('MOA role matrix'!$B$2:$D$13,11,MATCH($B493,'MOA role matrix'!$B$1:$D$1,0))="If finance","Ms Teh (bank) (if finance), ","")IF(INDEX('MOA role matrix'!$B$2:$D$13,11,MATCH($B493,'MOA role matrix'!$B$1:$D$1,0))="Auto","Ms Teh (bank) (auto), ","")IF(INDEX('MOA role matrix'!$B$2:$D$13,12,MATCH($B493,'MOA role matrix'!$B$1:$D$1,0))="Fill","DLCM, ","")IF(INDEX('MOA role matrix'!$B$2:$D$13,12,MATCH($B493,'MOA role matrix'!$B$1:$D$1,0))="If finance","DLCM (if finance), ","")IF(INDEX('MOA role matrix'!$B$2:$D$13,12,MATCH($B493,'MOA role matrix'!$B$1:$D$1,0))="Auto","DLCM (auto), ","")))</f>
        <v/>
      </c>
      <c r="D493" s="5">
        <f>IF($A493="","",IFERROR(INDEX(FILTER('Client contacts'!$B$2:$B$500,('Client contacts'!$A$2:$A$500=$A493)*('Client contacts'!$H$2:$H$500="Y"),""),1),""))</f>
        <v/>
      </c>
      <c r="E493" s="5">
        <f>IF($A493="","",IFERROR(INDEX(FILTER('Client contacts'!$C$2:$C$500,('Client contacts'!$A$2:$A$500=$A493)*('Client contacts'!$H$2:$H$500="Y"),""),1),""))</f>
        <v/>
      </c>
      <c r="F493" s="5">
        <f>IF($A493="","",IFERROR(INDEX(FILTER('Client contacts'!$B$2:$B$500,('Client contacts'!$A$2:$A$500=$A493)*('Client contacts'!$G$2:$G$500="Y"),""),1),""))</f>
        <v/>
      </c>
      <c r="G493" s="5">
        <f>IF($A493="","",IFERROR(INDEX(FILTER('Client contacts'!$C$2:$C$500,('Client contacts'!$A$2:$A$500=$A493)*('Client contacts'!$G$2:$G$500="Y"),""),1),""))</f>
        <v/>
      </c>
      <c r="H493" s="5">
        <f>IF($A493="","",IFERROR(INDEX(FILTER('Client contacts'!$B$2:$B$500,('Client contacts'!$A$2:$A$500=$A493)*('Client contacts'!$G$2:$G$500="Y"),""),2),""))</f>
        <v/>
      </c>
      <c r="I493" s="5">
        <f>IF($A493="","",IFERROR(INDEX(FILTER('Client contacts'!$C$2:$C$500,('Client contacts'!$A$2:$A$500=$A493)*('Client contacts'!$G$2:$G$500="Y"),""),2),""))</f>
        <v/>
      </c>
      <c r="J493" s="8" t="n"/>
      <c r="K493" s="8" t="n"/>
      <c r="L493" s="8" t="n"/>
      <c r="M493" s="8" t="n"/>
      <c r="N493" s="8" t="n"/>
      <c r="O493" s="8" t="n"/>
      <c r="P493" s="8" t="n"/>
      <c r="Q493" s="8" t="n"/>
      <c r="R493" s="5">
        <f>IF($A493="","",IFERROR(INDEX(Companies!$I$2:$I$500,MATCH($A493,Companies!$A$2:$A$500,0)),""))</f>
        <v/>
      </c>
      <c r="S493" s="8" t="n"/>
      <c r="T493" s="8" t="n"/>
      <c r="U493" s="8" t="n"/>
      <c r="V493" s="8" t="n"/>
      <c r="W493" s="8" t="n"/>
    </row>
    <row r="494">
      <c r="C494" s="5">
        <f>IF($B494="","",TRIM(IF(INDEX('MOA role matrix'!$B$2:$D$13,1,MATCH($B494,'MOA role matrix'!$B$1:$D$1,0))="Fill","Project initiator, ","")IF(INDEX('MOA role matrix'!$B$2:$D$13,1,MATCH($B494,'MOA role matrix'!$B$1:$D$1,0))="If finance","Project initiator (if finance), ","")IF(INDEX('MOA role matrix'!$B$2:$D$13,1,MATCH($B494,'MOA role matrix'!$B$1:$D$1,0))="Auto","Project initiator (auto), ","")IF(INDEX('MOA role matrix'!$B$2:$D$13,2,MATCH($B494,'MOA role matrix'!$B$1:$D$1,0))="Fill","MOA signers (client), ","")IF(INDEX('MOA role matrix'!$B$2:$D$13,2,MATCH($B494,'MOA role matrix'!$B$1:$D$1,0))="If finance","MOA signers (client) (if finance), ","")IF(INDEX('MOA role matrix'!$B$2:$D$13,2,MATCH($B494,'MOA role matrix'!$B$1:$D$1,0))="Auto","MOA signers (client) (auto), ","")IF(INDEX('MOA role matrix'!$B$2:$D$13,3,MATCH($B494,'MOA role matrix'!$B$1:$D$1,0))="Fill","CFO / Head of Finance, ","")IF(INDEX('MOA role matrix'!$B$2:$D$13,3,MATCH($B494,'MOA role matrix'!$B$1:$D$1,0))="If finance","CFO / Head of Finance (if finance), ","")IF(INDEX('MOA role matrix'!$B$2:$D$13,3,MATCH($B494,'MOA role matrix'!$B$1:$D$1,0))="Auto","CFO / Head of Finance (auto), ","")IF(INDEX('MOA role matrix'!$B$2:$D$13,4,MATCH($B494,'MOA role matrix'!$B$1:$D$1,0))="Fill","CEO / COO / GM, ","")IF(INDEX('MOA role matrix'!$B$2:$D$13,4,MATCH($B494,'MOA role matrix'!$B$1:$D$1,0))="If finance","CEO / COO / GM (if finance), ","")IF(INDEX('MOA role matrix'!$B$2:$D$13,4,MATCH($B494,'MOA role matrix'!$B$1:$D$1,0))="Auto","CEO / COO / GM (auto), ","")IF(INDEX('MOA role matrix'!$B$2:$D$13,5,MATCH($B494,'MOA role matrix'!$B$1:$D$1,0))="Fill","Board member 1, ","")IF(INDEX('MOA role matrix'!$B$2:$D$13,5,MATCH($B494,'MOA role matrix'!$B$1:$D$1,0))="If finance","Board member 1 (if finance), ","")IF(INDEX('MOA role matrix'!$B$2:$D$13,5,MATCH($B494,'MOA role matrix'!$B$1:$D$1,0))="Auto","Board member 1 (auto), ","")IF(INDEX('MOA role matrix'!$B$2:$D$13,6,MATCH($B494,'MOA role matrix'!$B$1:$D$1,0))="Fill","Board member 2, ","")IF(INDEX('MOA role matrix'!$B$2:$D$13,6,MATCH($B494,'MOA role matrix'!$B$1:$D$1,0))="If finance","Board member 2 (if finance), ","")IF(INDEX('MOA role matrix'!$B$2:$D$13,6,MATCH($B494,'MOA role matrix'!$B$1:$D$1,0))="Auto","Board member 2 (auto), ","")IF(INDEX('MOA role matrix'!$B$2:$D$13,7,MATCH($B494,'MOA role matrix'!$B$1:$D$1,0))="Fill","LOA holder 1, ","")IF(INDEX('MOA role matrix'!$B$2:$D$13,7,MATCH($B494,'MOA role matrix'!$B$1:$D$1,0))="If finance","LOA holder 1 (if finance), ","")IF(INDEX('MOA role matrix'!$B$2:$D$13,7,MATCH($B494,'MOA role matrix'!$B$1:$D$1,0))="Auto","LOA holder 1 (auto), ","")IF(INDEX('MOA role matrix'!$B$2:$D$13,8,MATCH($B494,'MOA role matrix'!$B$1:$D$1,0))="Fill","LOA holder 2, ","")IF(INDEX('MOA role matrix'!$B$2:$D$13,8,MATCH($B494,'MOA role matrix'!$B$1:$D$1,0))="If finance","LOA holder 2 (if finance), ","")IF(INDEX('MOA role matrix'!$B$2:$D$13,8,MATCH($B494,'MOA role matrix'!$B$1:$D$1,0))="Auto","LOA holder 2 (auto), ","")IF(INDEX('MOA role matrix'!$B$2:$D$13,9,MATCH($B494,'MOA role matrix'!$B$1:$D$1,0))="Fill","Senior Manager CoSec, ","")IF(INDEX('MOA role matrix'!$B$2:$D$13,9,MATCH($B494,'MOA role matrix'!$B$1:$D$1,0))="If finance","Senior Manager CoSec (if finance), ","")IF(INDEX('MOA role matrix'!$B$2:$D$13,9,MATCH($B494,'MOA role matrix'!$B$1:$D$1,0))="Auto","Senior Manager CoSec (auto), ","")IF(INDEX('MOA role matrix'!$B$2:$D$13,10,MATCH($B494,'MOA role matrix'!$B$1:$D$1,0))="Fill","Division MOI managers, ","")IF(INDEX('MOA role matrix'!$B$2:$D$13,10,MATCH($B494,'MOA role matrix'!$B$1:$D$1,0))="If finance","Division MOI managers (if finance), ","")IF(INDEX('MOA role matrix'!$B$2:$D$13,10,MATCH($B494,'MOA role matrix'!$B$1:$D$1,0))="Auto","Division MOI managers (auto), ","")IF(INDEX('MOA role matrix'!$B$2:$D$13,11,MATCH($B494,'MOA role matrix'!$B$1:$D$1,0))="Fill","Ms Teh (bank), ","")IF(INDEX('MOA role matrix'!$B$2:$D$13,11,MATCH($B494,'MOA role matrix'!$B$1:$D$1,0))="If finance","Ms Teh (bank) (if finance), ","")IF(INDEX('MOA role matrix'!$B$2:$D$13,11,MATCH($B494,'MOA role matrix'!$B$1:$D$1,0))="Auto","Ms Teh (bank) (auto), ","")IF(INDEX('MOA role matrix'!$B$2:$D$13,12,MATCH($B494,'MOA role matrix'!$B$1:$D$1,0))="Fill","DLCM, ","")IF(INDEX('MOA role matrix'!$B$2:$D$13,12,MATCH($B494,'MOA role matrix'!$B$1:$D$1,0))="If finance","DLCM (if finance), ","")IF(INDEX('MOA role matrix'!$B$2:$D$13,12,MATCH($B494,'MOA role matrix'!$B$1:$D$1,0))="Auto","DLCM (auto), ","")))</f>
        <v/>
      </c>
      <c r="D494" s="5">
        <f>IF($A494="","",IFERROR(INDEX(FILTER('Client contacts'!$B$2:$B$500,('Client contacts'!$A$2:$A$500=$A494)*('Client contacts'!$H$2:$H$500="Y"),""),1),""))</f>
        <v/>
      </c>
      <c r="E494" s="5">
        <f>IF($A494="","",IFERROR(INDEX(FILTER('Client contacts'!$C$2:$C$500,('Client contacts'!$A$2:$A$500=$A494)*('Client contacts'!$H$2:$H$500="Y"),""),1),""))</f>
        <v/>
      </c>
      <c r="F494" s="5">
        <f>IF($A494="","",IFERROR(INDEX(FILTER('Client contacts'!$B$2:$B$500,('Client contacts'!$A$2:$A$500=$A494)*('Client contacts'!$G$2:$G$500="Y"),""),1),""))</f>
        <v/>
      </c>
      <c r="G494" s="5">
        <f>IF($A494="","",IFERROR(INDEX(FILTER('Client contacts'!$C$2:$C$500,('Client contacts'!$A$2:$A$500=$A494)*('Client contacts'!$G$2:$G$500="Y"),""),1),""))</f>
        <v/>
      </c>
      <c r="H494" s="5">
        <f>IF($A494="","",IFERROR(INDEX(FILTER('Client contacts'!$B$2:$B$500,('Client contacts'!$A$2:$A$500=$A494)*('Client contacts'!$G$2:$G$500="Y"),""),2),""))</f>
        <v/>
      </c>
      <c r="I494" s="5">
        <f>IF($A494="","",IFERROR(INDEX(FILTER('Client contacts'!$C$2:$C$500,('Client contacts'!$A$2:$A$500=$A494)*('Client contacts'!$G$2:$G$500="Y"),""),2),""))</f>
        <v/>
      </c>
      <c r="J494" s="8" t="n"/>
      <c r="K494" s="8" t="n"/>
      <c r="L494" s="8" t="n"/>
      <c r="M494" s="8" t="n"/>
      <c r="N494" s="8" t="n"/>
      <c r="O494" s="8" t="n"/>
      <c r="P494" s="8" t="n"/>
      <c r="Q494" s="8" t="n"/>
      <c r="R494" s="5">
        <f>IF($A494="","",IFERROR(INDEX(Companies!$I$2:$I$500,MATCH($A494,Companies!$A$2:$A$500,0)),""))</f>
        <v/>
      </c>
      <c r="S494" s="8" t="n"/>
      <c r="T494" s="8" t="n"/>
      <c r="U494" s="8" t="n"/>
      <c r="V494" s="8" t="n"/>
      <c r="W494" s="8" t="n"/>
    </row>
    <row r="495">
      <c r="C495" s="5">
        <f>IF($B495="","",TRIM(IF(INDEX('MOA role matrix'!$B$2:$D$13,1,MATCH($B495,'MOA role matrix'!$B$1:$D$1,0))="Fill","Project initiator, ","")IF(INDEX('MOA role matrix'!$B$2:$D$13,1,MATCH($B495,'MOA role matrix'!$B$1:$D$1,0))="If finance","Project initiator (if finance), ","")IF(INDEX('MOA role matrix'!$B$2:$D$13,1,MATCH($B495,'MOA role matrix'!$B$1:$D$1,0))="Auto","Project initiator (auto), ","")IF(INDEX('MOA role matrix'!$B$2:$D$13,2,MATCH($B495,'MOA role matrix'!$B$1:$D$1,0))="Fill","MOA signers (client), ","")IF(INDEX('MOA role matrix'!$B$2:$D$13,2,MATCH($B495,'MOA role matrix'!$B$1:$D$1,0))="If finance","MOA signers (client) (if finance), ","")IF(INDEX('MOA role matrix'!$B$2:$D$13,2,MATCH($B495,'MOA role matrix'!$B$1:$D$1,0))="Auto","MOA signers (client) (auto), ","")IF(INDEX('MOA role matrix'!$B$2:$D$13,3,MATCH($B495,'MOA role matrix'!$B$1:$D$1,0))="Fill","CFO / Head of Finance, ","")IF(INDEX('MOA role matrix'!$B$2:$D$13,3,MATCH($B495,'MOA role matrix'!$B$1:$D$1,0))="If finance","CFO / Head of Finance (if finance), ","")IF(INDEX('MOA role matrix'!$B$2:$D$13,3,MATCH($B495,'MOA role matrix'!$B$1:$D$1,0))="Auto","CFO / Head of Finance (auto), ","")IF(INDEX('MOA role matrix'!$B$2:$D$13,4,MATCH($B495,'MOA role matrix'!$B$1:$D$1,0))="Fill","CEO / COO / GM, ","")IF(INDEX('MOA role matrix'!$B$2:$D$13,4,MATCH($B495,'MOA role matrix'!$B$1:$D$1,0))="If finance","CEO / COO / GM (if finance), ","")IF(INDEX('MOA role matrix'!$B$2:$D$13,4,MATCH($B495,'MOA role matrix'!$B$1:$D$1,0))="Auto","CEO / COO / GM (auto), ","")IF(INDEX('MOA role matrix'!$B$2:$D$13,5,MATCH($B495,'MOA role matrix'!$B$1:$D$1,0))="Fill","Board member 1, ","")IF(INDEX('MOA role matrix'!$B$2:$D$13,5,MATCH($B495,'MOA role matrix'!$B$1:$D$1,0))="If finance","Board member 1 (if finance), ","")IF(INDEX('MOA role matrix'!$B$2:$D$13,5,MATCH($B495,'MOA role matrix'!$B$1:$D$1,0))="Auto","Board member 1 (auto), ","")IF(INDEX('MOA role matrix'!$B$2:$D$13,6,MATCH($B495,'MOA role matrix'!$B$1:$D$1,0))="Fill","Board member 2, ","")IF(INDEX('MOA role matrix'!$B$2:$D$13,6,MATCH($B495,'MOA role matrix'!$B$1:$D$1,0))="If finance","Board member 2 (if finance), ","")IF(INDEX('MOA role matrix'!$B$2:$D$13,6,MATCH($B495,'MOA role matrix'!$B$1:$D$1,0))="Auto","Board member 2 (auto), ","")IF(INDEX('MOA role matrix'!$B$2:$D$13,7,MATCH($B495,'MOA role matrix'!$B$1:$D$1,0))="Fill","LOA holder 1, ","")IF(INDEX('MOA role matrix'!$B$2:$D$13,7,MATCH($B495,'MOA role matrix'!$B$1:$D$1,0))="If finance","LOA holder 1 (if finance), ","")IF(INDEX('MOA role matrix'!$B$2:$D$13,7,MATCH($B495,'MOA role matrix'!$B$1:$D$1,0))="Auto","LOA holder 1 (auto), ","")IF(INDEX('MOA role matrix'!$B$2:$D$13,8,MATCH($B495,'MOA role matrix'!$B$1:$D$1,0))="Fill","LOA holder 2, ","")IF(INDEX('MOA role matrix'!$B$2:$D$13,8,MATCH($B495,'MOA role matrix'!$B$1:$D$1,0))="If finance","LOA holder 2 (if finance), ","")IF(INDEX('MOA role matrix'!$B$2:$D$13,8,MATCH($B495,'MOA role matrix'!$B$1:$D$1,0))="Auto","LOA holder 2 (auto), ","")IF(INDEX('MOA role matrix'!$B$2:$D$13,9,MATCH($B495,'MOA role matrix'!$B$1:$D$1,0))="Fill","Senior Manager CoSec, ","")IF(INDEX('MOA role matrix'!$B$2:$D$13,9,MATCH($B495,'MOA role matrix'!$B$1:$D$1,0))="If finance","Senior Manager CoSec (if finance), ","")IF(INDEX('MOA role matrix'!$B$2:$D$13,9,MATCH($B495,'MOA role matrix'!$B$1:$D$1,0))="Auto","Senior Manager CoSec (auto), ","")IF(INDEX('MOA role matrix'!$B$2:$D$13,10,MATCH($B495,'MOA role matrix'!$B$1:$D$1,0))="Fill","Division MOI managers, ","")IF(INDEX('MOA role matrix'!$B$2:$D$13,10,MATCH($B495,'MOA role matrix'!$B$1:$D$1,0))="If finance","Division MOI managers (if finance), ","")IF(INDEX('MOA role matrix'!$B$2:$D$13,10,MATCH($B495,'MOA role matrix'!$B$1:$D$1,0))="Auto","Division MOI managers (auto), ","")IF(INDEX('MOA role matrix'!$B$2:$D$13,11,MATCH($B495,'MOA role matrix'!$B$1:$D$1,0))="Fill","Ms Teh (bank), ","")IF(INDEX('MOA role matrix'!$B$2:$D$13,11,MATCH($B495,'MOA role matrix'!$B$1:$D$1,0))="If finance","Ms Teh (bank) (if finance), ","")IF(INDEX('MOA role matrix'!$B$2:$D$13,11,MATCH($B495,'MOA role matrix'!$B$1:$D$1,0))="Auto","Ms Teh (bank) (auto), ","")IF(INDEX('MOA role matrix'!$B$2:$D$13,12,MATCH($B495,'MOA role matrix'!$B$1:$D$1,0))="Fill","DLCM, ","")IF(INDEX('MOA role matrix'!$B$2:$D$13,12,MATCH($B495,'MOA role matrix'!$B$1:$D$1,0))="If finance","DLCM (if finance), ","")IF(INDEX('MOA role matrix'!$B$2:$D$13,12,MATCH($B495,'MOA role matrix'!$B$1:$D$1,0))="Auto","DLCM (auto), ","")))</f>
        <v/>
      </c>
      <c r="D495" s="5">
        <f>IF($A495="","",IFERROR(INDEX(FILTER('Client contacts'!$B$2:$B$500,('Client contacts'!$A$2:$A$500=$A495)*('Client contacts'!$H$2:$H$500="Y"),""),1),""))</f>
        <v/>
      </c>
      <c r="E495" s="5">
        <f>IF($A495="","",IFERROR(INDEX(FILTER('Client contacts'!$C$2:$C$500,('Client contacts'!$A$2:$A$500=$A495)*('Client contacts'!$H$2:$H$500="Y"),""),1),""))</f>
        <v/>
      </c>
      <c r="F495" s="5">
        <f>IF($A495="","",IFERROR(INDEX(FILTER('Client contacts'!$B$2:$B$500,('Client contacts'!$A$2:$A$500=$A495)*('Client contacts'!$G$2:$G$500="Y"),""),1),""))</f>
        <v/>
      </c>
      <c r="G495" s="5">
        <f>IF($A495="","",IFERROR(INDEX(FILTER('Client contacts'!$C$2:$C$500,('Client contacts'!$A$2:$A$500=$A495)*('Client contacts'!$G$2:$G$500="Y"),""),1),""))</f>
        <v/>
      </c>
      <c r="H495" s="5">
        <f>IF($A495="","",IFERROR(INDEX(FILTER('Client contacts'!$B$2:$B$500,('Client contacts'!$A$2:$A$500=$A495)*('Client contacts'!$G$2:$G$500="Y"),""),2),""))</f>
        <v/>
      </c>
      <c r="I495" s="5">
        <f>IF($A495="","",IFERROR(INDEX(FILTER('Client contacts'!$C$2:$C$500,('Client contacts'!$A$2:$A$500=$A495)*('Client contacts'!$G$2:$G$500="Y"),""),2),""))</f>
        <v/>
      </c>
      <c r="J495" s="8" t="n"/>
      <c r="K495" s="8" t="n"/>
      <c r="L495" s="8" t="n"/>
      <c r="M495" s="8" t="n"/>
      <c r="N495" s="8" t="n"/>
      <c r="O495" s="8" t="n"/>
      <c r="P495" s="8" t="n"/>
      <c r="Q495" s="8" t="n"/>
      <c r="R495" s="5">
        <f>IF($A495="","",IFERROR(INDEX(Companies!$I$2:$I$500,MATCH($A495,Companies!$A$2:$A$500,0)),""))</f>
        <v/>
      </c>
      <c r="S495" s="8" t="n"/>
      <c r="T495" s="8" t="n"/>
      <c r="U495" s="8" t="n"/>
      <c r="V495" s="8" t="n"/>
      <c r="W495" s="8" t="n"/>
    </row>
    <row r="496">
      <c r="C496" s="5">
        <f>IF($B496="","",TRIM(IF(INDEX('MOA role matrix'!$B$2:$D$13,1,MATCH($B496,'MOA role matrix'!$B$1:$D$1,0))="Fill","Project initiator, ","")IF(INDEX('MOA role matrix'!$B$2:$D$13,1,MATCH($B496,'MOA role matrix'!$B$1:$D$1,0))="If finance","Project initiator (if finance), ","")IF(INDEX('MOA role matrix'!$B$2:$D$13,1,MATCH($B496,'MOA role matrix'!$B$1:$D$1,0))="Auto","Project initiator (auto), ","")IF(INDEX('MOA role matrix'!$B$2:$D$13,2,MATCH($B496,'MOA role matrix'!$B$1:$D$1,0))="Fill","MOA signers (client), ","")IF(INDEX('MOA role matrix'!$B$2:$D$13,2,MATCH($B496,'MOA role matrix'!$B$1:$D$1,0))="If finance","MOA signers (client) (if finance), ","")IF(INDEX('MOA role matrix'!$B$2:$D$13,2,MATCH($B496,'MOA role matrix'!$B$1:$D$1,0))="Auto","MOA signers (client) (auto), ","")IF(INDEX('MOA role matrix'!$B$2:$D$13,3,MATCH($B496,'MOA role matrix'!$B$1:$D$1,0))="Fill","CFO / Head of Finance, ","")IF(INDEX('MOA role matrix'!$B$2:$D$13,3,MATCH($B496,'MOA role matrix'!$B$1:$D$1,0))="If finance","CFO / Head of Finance (if finance), ","")IF(INDEX('MOA role matrix'!$B$2:$D$13,3,MATCH($B496,'MOA role matrix'!$B$1:$D$1,0))="Auto","CFO / Head of Finance (auto), ","")IF(INDEX('MOA role matrix'!$B$2:$D$13,4,MATCH($B496,'MOA role matrix'!$B$1:$D$1,0))="Fill","CEO / COO / GM, ","")IF(INDEX('MOA role matrix'!$B$2:$D$13,4,MATCH($B496,'MOA role matrix'!$B$1:$D$1,0))="If finance","CEO / COO / GM (if finance), ","")IF(INDEX('MOA role matrix'!$B$2:$D$13,4,MATCH($B496,'MOA role matrix'!$B$1:$D$1,0))="Auto","CEO / COO / GM (auto), ","")IF(INDEX('MOA role matrix'!$B$2:$D$13,5,MATCH($B496,'MOA role matrix'!$B$1:$D$1,0))="Fill","Board member 1, ","")IF(INDEX('MOA role matrix'!$B$2:$D$13,5,MATCH($B496,'MOA role matrix'!$B$1:$D$1,0))="If finance","Board member 1 (if finance), ","")IF(INDEX('MOA role matrix'!$B$2:$D$13,5,MATCH($B496,'MOA role matrix'!$B$1:$D$1,0))="Auto","Board member 1 (auto), ","")IF(INDEX('MOA role matrix'!$B$2:$D$13,6,MATCH($B496,'MOA role matrix'!$B$1:$D$1,0))="Fill","Board member 2, ","")IF(INDEX('MOA role matrix'!$B$2:$D$13,6,MATCH($B496,'MOA role matrix'!$B$1:$D$1,0))="If finance","Board member 2 (if finance), ","")IF(INDEX('MOA role matrix'!$B$2:$D$13,6,MATCH($B496,'MOA role matrix'!$B$1:$D$1,0))="Auto","Board member 2 (auto), ","")IF(INDEX('MOA role matrix'!$B$2:$D$13,7,MATCH($B496,'MOA role matrix'!$B$1:$D$1,0))="Fill","LOA holder 1, ","")IF(INDEX('MOA role matrix'!$B$2:$D$13,7,MATCH($B496,'MOA role matrix'!$B$1:$D$1,0))="If finance","LOA holder 1 (if finance), ","")IF(INDEX('MOA role matrix'!$B$2:$D$13,7,MATCH($B496,'MOA role matrix'!$B$1:$D$1,0))="Auto","LOA holder 1 (auto), ","")IF(INDEX('MOA role matrix'!$B$2:$D$13,8,MATCH($B496,'MOA role matrix'!$B$1:$D$1,0))="Fill","LOA holder 2, ","")IF(INDEX('MOA role matrix'!$B$2:$D$13,8,MATCH($B496,'MOA role matrix'!$B$1:$D$1,0))="If finance","LOA holder 2 (if finance), ","")IF(INDEX('MOA role matrix'!$B$2:$D$13,8,MATCH($B496,'MOA role matrix'!$B$1:$D$1,0))="Auto","LOA holder 2 (auto), ","")IF(INDEX('MOA role matrix'!$B$2:$D$13,9,MATCH($B496,'MOA role matrix'!$B$1:$D$1,0))="Fill","Senior Manager CoSec, ","")IF(INDEX('MOA role matrix'!$B$2:$D$13,9,MATCH($B496,'MOA role matrix'!$B$1:$D$1,0))="If finance","Senior Manager CoSec (if finance), ","")IF(INDEX('MOA role matrix'!$B$2:$D$13,9,MATCH($B496,'MOA role matrix'!$B$1:$D$1,0))="Auto","Senior Manager CoSec (auto), ","")IF(INDEX('MOA role matrix'!$B$2:$D$13,10,MATCH($B496,'MOA role matrix'!$B$1:$D$1,0))="Fill","Division MOI managers, ","")IF(INDEX('MOA role matrix'!$B$2:$D$13,10,MATCH($B496,'MOA role matrix'!$B$1:$D$1,0))="If finance","Division MOI managers (if finance), ","")IF(INDEX('MOA role matrix'!$B$2:$D$13,10,MATCH($B496,'MOA role matrix'!$B$1:$D$1,0))="Auto","Division MOI managers (auto), ","")IF(INDEX('MOA role matrix'!$B$2:$D$13,11,MATCH($B496,'MOA role matrix'!$B$1:$D$1,0))="Fill","Ms Teh (bank), ","")IF(INDEX('MOA role matrix'!$B$2:$D$13,11,MATCH($B496,'MOA role matrix'!$B$1:$D$1,0))="If finance","Ms Teh (bank) (if finance), ","")IF(INDEX('MOA role matrix'!$B$2:$D$13,11,MATCH($B496,'MOA role matrix'!$B$1:$D$1,0))="Auto","Ms Teh (bank) (auto), ","")IF(INDEX('MOA role matrix'!$B$2:$D$13,12,MATCH($B496,'MOA role matrix'!$B$1:$D$1,0))="Fill","DLCM, ","")IF(INDEX('MOA role matrix'!$B$2:$D$13,12,MATCH($B496,'MOA role matrix'!$B$1:$D$1,0))="If finance","DLCM (if finance), ","")IF(INDEX('MOA role matrix'!$B$2:$D$13,12,MATCH($B496,'MOA role matrix'!$B$1:$D$1,0))="Auto","DLCM (auto), ","")))</f>
        <v/>
      </c>
      <c r="D496" s="5">
        <f>IF($A496="","",IFERROR(INDEX(FILTER('Client contacts'!$B$2:$B$500,('Client contacts'!$A$2:$A$500=$A496)*('Client contacts'!$H$2:$H$500="Y"),""),1),""))</f>
        <v/>
      </c>
      <c r="E496" s="5">
        <f>IF($A496="","",IFERROR(INDEX(FILTER('Client contacts'!$C$2:$C$500,('Client contacts'!$A$2:$A$500=$A496)*('Client contacts'!$H$2:$H$500="Y"),""),1),""))</f>
        <v/>
      </c>
      <c r="F496" s="5">
        <f>IF($A496="","",IFERROR(INDEX(FILTER('Client contacts'!$B$2:$B$500,('Client contacts'!$A$2:$A$500=$A496)*('Client contacts'!$G$2:$G$500="Y"),""),1),""))</f>
        <v/>
      </c>
      <c r="G496" s="5">
        <f>IF($A496="","",IFERROR(INDEX(FILTER('Client contacts'!$C$2:$C$500,('Client contacts'!$A$2:$A$500=$A496)*('Client contacts'!$G$2:$G$500="Y"),""),1),""))</f>
        <v/>
      </c>
      <c r="H496" s="5">
        <f>IF($A496="","",IFERROR(INDEX(FILTER('Client contacts'!$B$2:$B$500,('Client contacts'!$A$2:$A$500=$A496)*('Client contacts'!$G$2:$G$500="Y"),""),2),""))</f>
        <v/>
      </c>
      <c r="I496" s="5">
        <f>IF($A496="","",IFERROR(INDEX(FILTER('Client contacts'!$C$2:$C$500,('Client contacts'!$A$2:$A$500=$A496)*('Client contacts'!$G$2:$G$500="Y"),""),2),""))</f>
        <v/>
      </c>
      <c r="J496" s="8" t="n"/>
      <c r="K496" s="8" t="n"/>
      <c r="L496" s="8" t="n"/>
      <c r="M496" s="8" t="n"/>
      <c r="N496" s="8" t="n"/>
      <c r="O496" s="8" t="n"/>
      <c r="P496" s="8" t="n"/>
      <c r="Q496" s="8" t="n"/>
      <c r="R496" s="5">
        <f>IF($A496="","",IFERROR(INDEX(Companies!$I$2:$I$500,MATCH($A496,Companies!$A$2:$A$500,0)),""))</f>
        <v/>
      </c>
      <c r="S496" s="8" t="n"/>
      <c r="T496" s="8" t="n"/>
      <c r="U496" s="8" t="n"/>
      <c r="V496" s="8" t="n"/>
      <c r="W496" s="8" t="n"/>
    </row>
    <row r="497">
      <c r="C497" s="5">
        <f>IF($B497="","",TRIM(IF(INDEX('MOA role matrix'!$B$2:$D$13,1,MATCH($B497,'MOA role matrix'!$B$1:$D$1,0))="Fill","Project initiator, ","")IF(INDEX('MOA role matrix'!$B$2:$D$13,1,MATCH($B497,'MOA role matrix'!$B$1:$D$1,0))="If finance","Project initiator (if finance), ","")IF(INDEX('MOA role matrix'!$B$2:$D$13,1,MATCH($B497,'MOA role matrix'!$B$1:$D$1,0))="Auto","Project initiator (auto), ","")IF(INDEX('MOA role matrix'!$B$2:$D$13,2,MATCH($B497,'MOA role matrix'!$B$1:$D$1,0))="Fill","MOA signers (client), ","")IF(INDEX('MOA role matrix'!$B$2:$D$13,2,MATCH($B497,'MOA role matrix'!$B$1:$D$1,0))="If finance","MOA signers (client) (if finance), ","")IF(INDEX('MOA role matrix'!$B$2:$D$13,2,MATCH($B497,'MOA role matrix'!$B$1:$D$1,0))="Auto","MOA signers (client) (auto), ","")IF(INDEX('MOA role matrix'!$B$2:$D$13,3,MATCH($B497,'MOA role matrix'!$B$1:$D$1,0))="Fill","CFO / Head of Finance, ","")IF(INDEX('MOA role matrix'!$B$2:$D$13,3,MATCH($B497,'MOA role matrix'!$B$1:$D$1,0))="If finance","CFO / Head of Finance (if finance), ","")IF(INDEX('MOA role matrix'!$B$2:$D$13,3,MATCH($B497,'MOA role matrix'!$B$1:$D$1,0))="Auto","CFO / Head of Finance (auto), ","")IF(INDEX('MOA role matrix'!$B$2:$D$13,4,MATCH($B497,'MOA role matrix'!$B$1:$D$1,0))="Fill","CEO / COO / GM, ","")IF(INDEX('MOA role matrix'!$B$2:$D$13,4,MATCH($B497,'MOA role matrix'!$B$1:$D$1,0))="If finance","CEO / COO / GM (if finance), ","")IF(INDEX('MOA role matrix'!$B$2:$D$13,4,MATCH($B497,'MOA role matrix'!$B$1:$D$1,0))="Auto","CEO / COO / GM (auto), ","")IF(INDEX('MOA role matrix'!$B$2:$D$13,5,MATCH($B497,'MOA role matrix'!$B$1:$D$1,0))="Fill","Board member 1, ","")IF(INDEX('MOA role matrix'!$B$2:$D$13,5,MATCH($B497,'MOA role matrix'!$B$1:$D$1,0))="If finance","Board member 1 (if finance), ","")IF(INDEX('MOA role matrix'!$B$2:$D$13,5,MATCH($B497,'MOA role matrix'!$B$1:$D$1,0))="Auto","Board member 1 (auto), ","")IF(INDEX('MOA role matrix'!$B$2:$D$13,6,MATCH($B497,'MOA role matrix'!$B$1:$D$1,0))="Fill","Board member 2, ","")IF(INDEX('MOA role matrix'!$B$2:$D$13,6,MATCH($B497,'MOA role matrix'!$B$1:$D$1,0))="If finance","Board member 2 (if finance), ","")IF(INDEX('MOA role matrix'!$B$2:$D$13,6,MATCH($B497,'MOA role matrix'!$B$1:$D$1,0))="Auto","Board member 2 (auto), ","")IF(INDEX('MOA role matrix'!$B$2:$D$13,7,MATCH($B497,'MOA role matrix'!$B$1:$D$1,0))="Fill","LOA holder 1, ","")IF(INDEX('MOA role matrix'!$B$2:$D$13,7,MATCH($B497,'MOA role matrix'!$B$1:$D$1,0))="If finance","LOA holder 1 (if finance), ","")IF(INDEX('MOA role matrix'!$B$2:$D$13,7,MATCH($B497,'MOA role matrix'!$B$1:$D$1,0))="Auto","LOA holder 1 (auto), ","")IF(INDEX('MOA role matrix'!$B$2:$D$13,8,MATCH($B497,'MOA role matrix'!$B$1:$D$1,0))="Fill","LOA holder 2, ","")IF(INDEX('MOA role matrix'!$B$2:$D$13,8,MATCH($B497,'MOA role matrix'!$B$1:$D$1,0))="If finance","LOA holder 2 (if finance), ","")IF(INDEX('MOA role matrix'!$B$2:$D$13,8,MATCH($B497,'MOA role matrix'!$B$1:$D$1,0))="Auto","LOA holder 2 (auto), ","")IF(INDEX('MOA role matrix'!$B$2:$D$13,9,MATCH($B497,'MOA role matrix'!$B$1:$D$1,0))="Fill","Senior Manager CoSec, ","")IF(INDEX('MOA role matrix'!$B$2:$D$13,9,MATCH($B497,'MOA role matrix'!$B$1:$D$1,0))="If finance","Senior Manager CoSec (if finance), ","")IF(INDEX('MOA role matrix'!$B$2:$D$13,9,MATCH($B497,'MOA role matrix'!$B$1:$D$1,0))="Auto","Senior Manager CoSec (auto), ","")IF(INDEX('MOA role matrix'!$B$2:$D$13,10,MATCH($B497,'MOA role matrix'!$B$1:$D$1,0))="Fill","Division MOI managers, ","")IF(INDEX('MOA role matrix'!$B$2:$D$13,10,MATCH($B497,'MOA role matrix'!$B$1:$D$1,0))="If finance","Division MOI managers (if finance), ","")IF(INDEX('MOA role matrix'!$B$2:$D$13,10,MATCH($B497,'MOA role matrix'!$B$1:$D$1,0))="Auto","Division MOI managers (auto), ","")IF(INDEX('MOA role matrix'!$B$2:$D$13,11,MATCH($B497,'MOA role matrix'!$B$1:$D$1,0))="Fill","Ms Teh (bank), ","")IF(INDEX('MOA role matrix'!$B$2:$D$13,11,MATCH($B497,'MOA role matrix'!$B$1:$D$1,0))="If finance","Ms Teh (bank) (if finance), ","")IF(INDEX('MOA role matrix'!$B$2:$D$13,11,MATCH($B497,'MOA role matrix'!$B$1:$D$1,0))="Auto","Ms Teh (bank) (auto), ","")IF(INDEX('MOA role matrix'!$B$2:$D$13,12,MATCH($B497,'MOA role matrix'!$B$1:$D$1,0))="Fill","DLCM, ","")IF(INDEX('MOA role matrix'!$B$2:$D$13,12,MATCH($B497,'MOA role matrix'!$B$1:$D$1,0))="If finance","DLCM (if finance), ","")IF(INDEX('MOA role matrix'!$B$2:$D$13,12,MATCH($B497,'MOA role matrix'!$B$1:$D$1,0))="Auto","DLCM (auto), ","")))</f>
        <v/>
      </c>
      <c r="D497" s="5">
        <f>IF($A497="","",IFERROR(INDEX(FILTER('Client contacts'!$B$2:$B$500,('Client contacts'!$A$2:$A$500=$A497)*('Client contacts'!$H$2:$H$500="Y"),""),1),""))</f>
        <v/>
      </c>
      <c r="E497" s="5">
        <f>IF($A497="","",IFERROR(INDEX(FILTER('Client contacts'!$C$2:$C$500,('Client contacts'!$A$2:$A$500=$A497)*('Client contacts'!$H$2:$H$500="Y"),""),1),""))</f>
        <v/>
      </c>
      <c r="F497" s="5">
        <f>IF($A497="","",IFERROR(INDEX(FILTER('Client contacts'!$B$2:$B$500,('Client contacts'!$A$2:$A$500=$A497)*('Client contacts'!$G$2:$G$500="Y"),""),1),""))</f>
        <v/>
      </c>
      <c r="G497" s="5">
        <f>IF($A497="","",IFERROR(INDEX(FILTER('Client contacts'!$C$2:$C$500,('Client contacts'!$A$2:$A$500=$A497)*('Client contacts'!$G$2:$G$500="Y"),""),1),""))</f>
        <v/>
      </c>
      <c r="H497" s="5">
        <f>IF($A497="","",IFERROR(INDEX(FILTER('Client contacts'!$B$2:$B$500,('Client contacts'!$A$2:$A$500=$A497)*('Client contacts'!$G$2:$G$500="Y"),""),2),""))</f>
        <v/>
      </c>
      <c r="I497" s="5">
        <f>IF($A497="","",IFERROR(INDEX(FILTER('Client contacts'!$C$2:$C$500,('Client contacts'!$A$2:$A$500=$A497)*('Client contacts'!$G$2:$G$500="Y"),""),2),""))</f>
        <v/>
      </c>
      <c r="J497" s="8" t="n"/>
      <c r="K497" s="8" t="n"/>
      <c r="L497" s="8" t="n"/>
      <c r="M497" s="8" t="n"/>
      <c r="N497" s="8" t="n"/>
      <c r="O497" s="8" t="n"/>
      <c r="P497" s="8" t="n"/>
      <c r="Q497" s="8" t="n"/>
      <c r="R497" s="5">
        <f>IF($A497="","",IFERROR(INDEX(Companies!$I$2:$I$500,MATCH($A497,Companies!$A$2:$A$500,0)),""))</f>
        <v/>
      </c>
      <c r="S497" s="8" t="n"/>
      <c r="T497" s="8" t="n"/>
      <c r="U497" s="8" t="n"/>
      <c r="V497" s="8" t="n"/>
      <c r="W497" s="8" t="n"/>
    </row>
    <row r="498">
      <c r="C498" s="5">
        <f>IF($B498="","",TRIM(IF(INDEX('MOA role matrix'!$B$2:$D$13,1,MATCH($B498,'MOA role matrix'!$B$1:$D$1,0))="Fill","Project initiator, ","")IF(INDEX('MOA role matrix'!$B$2:$D$13,1,MATCH($B498,'MOA role matrix'!$B$1:$D$1,0))="If finance","Project initiator (if finance), ","")IF(INDEX('MOA role matrix'!$B$2:$D$13,1,MATCH($B498,'MOA role matrix'!$B$1:$D$1,0))="Auto","Project initiator (auto), ","")IF(INDEX('MOA role matrix'!$B$2:$D$13,2,MATCH($B498,'MOA role matrix'!$B$1:$D$1,0))="Fill","MOA signers (client), ","")IF(INDEX('MOA role matrix'!$B$2:$D$13,2,MATCH($B498,'MOA role matrix'!$B$1:$D$1,0))="If finance","MOA signers (client) (if finance), ","")IF(INDEX('MOA role matrix'!$B$2:$D$13,2,MATCH($B498,'MOA role matrix'!$B$1:$D$1,0))="Auto","MOA signers (client) (auto), ","")IF(INDEX('MOA role matrix'!$B$2:$D$13,3,MATCH($B498,'MOA role matrix'!$B$1:$D$1,0))="Fill","CFO / Head of Finance, ","")IF(INDEX('MOA role matrix'!$B$2:$D$13,3,MATCH($B498,'MOA role matrix'!$B$1:$D$1,0))="If finance","CFO / Head of Finance (if finance), ","")IF(INDEX('MOA role matrix'!$B$2:$D$13,3,MATCH($B498,'MOA role matrix'!$B$1:$D$1,0))="Auto","CFO / Head of Finance (auto), ","")IF(INDEX('MOA role matrix'!$B$2:$D$13,4,MATCH($B498,'MOA role matrix'!$B$1:$D$1,0))="Fill","CEO / COO / GM, ","")IF(INDEX('MOA role matrix'!$B$2:$D$13,4,MATCH($B498,'MOA role matrix'!$B$1:$D$1,0))="If finance","CEO / COO / GM (if finance), ","")IF(INDEX('MOA role matrix'!$B$2:$D$13,4,MATCH($B498,'MOA role matrix'!$B$1:$D$1,0))="Auto","CEO / COO / GM (auto), ","")IF(INDEX('MOA role matrix'!$B$2:$D$13,5,MATCH($B498,'MOA role matrix'!$B$1:$D$1,0))="Fill","Board member 1, ","")IF(INDEX('MOA role matrix'!$B$2:$D$13,5,MATCH($B498,'MOA role matrix'!$B$1:$D$1,0))="If finance","Board member 1 (if finance), ","")IF(INDEX('MOA role matrix'!$B$2:$D$13,5,MATCH($B498,'MOA role matrix'!$B$1:$D$1,0))="Auto","Board member 1 (auto), ","")IF(INDEX('MOA role matrix'!$B$2:$D$13,6,MATCH($B498,'MOA role matrix'!$B$1:$D$1,0))="Fill","Board member 2, ","")IF(INDEX('MOA role matrix'!$B$2:$D$13,6,MATCH($B498,'MOA role matrix'!$B$1:$D$1,0))="If finance","Board member 2 (if finance), ","")IF(INDEX('MOA role matrix'!$B$2:$D$13,6,MATCH($B498,'MOA role matrix'!$B$1:$D$1,0))="Auto","Board member 2 (auto), ","")IF(INDEX('MOA role matrix'!$B$2:$D$13,7,MATCH($B498,'MOA role matrix'!$B$1:$D$1,0))="Fill","LOA holder 1, ","")IF(INDEX('MOA role matrix'!$B$2:$D$13,7,MATCH($B498,'MOA role matrix'!$B$1:$D$1,0))="If finance","LOA holder 1 (if finance), ","")IF(INDEX('MOA role matrix'!$B$2:$D$13,7,MATCH($B498,'MOA role matrix'!$B$1:$D$1,0))="Auto","LOA holder 1 (auto), ","")IF(INDEX('MOA role matrix'!$B$2:$D$13,8,MATCH($B498,'MOA role matrix'!$B$1:$D$1,0))="Fill","LOA holder 2, ","")IF(INDEX('MOA role matrix'!$B$2:$D$13,8,MATCH($B498,'MOA role matrix'!$B$1:$D$1,0))="If finance","LOA holder 2 (if finance), ","")IF(INDEX('MOA role matrix'!$B$2:$D$13,8,MATCH($B498,'MOA role matrix'!$B$1:$D$1,0))="Auto","LOA holder 2 (auto), ","")IF(INDEX('MOA role matrix'!$B$2:$D$13,9,MATCH($B498,'MOA role matrix'!$B$1:$D$1,0))="Fill","Senior Manager CoSec, ","")IF(INDEX('MOA role matrix'!$B$2:$D$13,9,MATCH($B498,'MOA role matrix'!$B$1:$D$1,0))="If finance","Senior Manager CoSec (if finance), ","")IF(INDEX('MOA role matrix'!$B$2:$D$13,9,MATCH($B498,'MOA role matrix'!$B$1:$D$1,0))="Auto","Senior Manager CoSec (auto), ","")IF(INDEX('MOA role matrix'!$B$2:$D$13,10,MATCH($B498,'MOA role matrix'!$B$1:$D$1,0))="Fill","Division MOI managers, ","")IF(INDEX('MOA role matrix'!$B$2:$D$13,10,MATCH($B498,'MOA role matrix'!$B$1:$D$1,0))="If finance","Division MOI managers (if finance), ","")IF(INDEX('MOA role matrix'!$B$2:$D$13,10,MATCH($B498,'MOA role matrix'!$B$1:$D$1,0))="Auto","Division MOI managers (auto), ","")IF(INDEX('MOA role matrix'!$B$2:$D$13,11,MATCH($B498,'MOA role matrix'!$B$1:$D$1,0))="Fill","Ms Teh (bank), ","")IF(INDEX('MOA role matrix'!$B$2:$D$13,11,MATCH($B498,'MOA role matrix'!$B$1:$D$1,0))="If finance","Ms Teh (bank) (if finance), ","")IF(INDEX('MOA role matrix'!$B$2:$D$13,11,MATCH($B498,'MOA role matrix'!$B$1:$D$1,0))="Auto","Ms Teh (bank) (auto), ","")IF(INDEX('MOA role matrix'!$B$2:$D$13,12,MATCH($B498,'MOA role matrix'!$B$1:$D$1,0))="Fill","DLCM, ","")IF(INDEX('MOA role matrix'!$B$2:$D$13,12,MATCH($B498,'MOA role matrix'!$B$1:$D$1,0))="If finance","DLCM (if finance), ","")IF(INDEX('MOA role matrix'!$B$2:$D$13,12,MATCH($B498,'MOA role matrix'!$B$1:$D$1,0))="Auto","DLCM (auto), ","")))</f>
        <v/>
      </c>
      <c r="D498" s="5">
        <f>IF($A498="","",IFERROR(INDEX(FILTER('Client contacts'!$B$2:$B$500,('Client contacts'!$A$2:$A$500=$A498)*('Client contacts'!$H$2:$H$500="Y"),""),1),""))</f>
        <v/>
      </c>
      <c r="E498" s="5">
        <f>IF($A498="","",IFERROR(INDEX(FILTER('Client contacts'!$C$2:$C$500,('Client contacts'!$A$2:$A$500=$A498)*('Client contacts'!$H$2:$H$500="Y"),""),1),""))</f>
        <v/>
      </c>
      <c r="F498" s="5">
        <f>IF($A498="","",IFERROR(INDEX(FILTER('Client contacts'!$B$2:$B$500,('Client contacts'!$A$2:$A$500=$A498)*('Client contacts'!$G$2:$G$500="Y"),""),1),""))</f>
        <v/>
      </c>
      <c r="G498" s="5">
        <f>IF($A498="","",IFERROR(INDEX(FILTER('Client contacts'!$C$2:$C$500,('Client contacts'!$A$2:$A$500=$A498)*('Client contacts'!$G$2:$G$500="Y"),""),1),""))</f>
        <v/>
      </c>
      <c r="H498" s="5">
        <f>IF($A498="","",IFERROR(INDEX(FILTER('Client contacts'!$B$2:$B$500,('Client contacts'!$A$2:$A$500=$A498)*('Client contacts'!$G$2:$G$500="Y"),""),2),""))</f>
        <v/>
      </c>
      <c r="I498" s="5">
        <f>IF($A498="","",IFERROR(INDEX(FILTER('Client contacts'!$C$2:$C$500,('Client contacts'!$A$2:$A$500=$A498)*('Client contacts'!$G$2:$G$500="Y"),""),2),""))</f>
        <v/>
      </c>
      <c r="J498" s="8" t="n"/>
      <c r="K498" s="8" t="n"/>
      <c r="L498" s="8" t="n"/>
      <c r="M498" s="8" t="n"/>
      <c r="N498" s="8" t="n"/>
      <c r="O498" s="8" t="n"/>
      <c r="P498" s="8" t="n"/>
      <c r="Q498" s="8" t="n"/>
      <c r="R498" s="5">
        <f>IF($A498="","",IFERROR(INDEX(Companies!$I$2:$I$500,MATCH($A498,Companies!$A$2:$A$500,0)),""))</f>
        <v/>
      </c>
      <c r="S498" s="8" t="n"/>
      <c r="T498" s="8" t="n"/>
      <c r="U498" s="8" t="n"/>
      <c r="V498" s="8" t="n"/>
      <c r="W498" s="8" t="n"/>
    </row>
    <row r="499">
      <c r="C499" s="5">
        <f>IF($B499="","",TRIM(IF(INDEX('MOA role matrix'!$B$2:$D$13,1,MATCH($B499,'MOA role matrix'!$B$1:$D$1,0))="Fill","Project initiator, ","")IF(INDEX('MOA role matrix'!$B$2:$D$13,1,MATCH($B499,'MOA role matrix'!$B$1:$D$1,0))="If finance","Project initiator (if finance), ","")IF(INDEX('MOA role matrix'!$B$2:$D$13,1,MATCH($B499,'MOA role matrix'!$B$1:$D$1,0))="Auto","Project initiator (auto), ","")IF(INDEX('MOA role matrix'!$B$2:$D$13,2,MATCH($B499,'MOA role matrix'!$B$1:$D$1,0))="Fill","MOA signers (client), ","")IF(INDEX('MOA role matrix'!$B$2:$D$13,2,MATCH($B499,'MOA role matrix'!$B$1:$D$1,0))="If finance","MOA signers (client) (if finance), ","")IF(INDEX('MOA role matrix'!$B$2:$D$13,2,MATCH($B499,'MOA role matrix'!$B$1:$D$1,0))="Auto","MOA signers (client) (auto), ","")IF(INDEX('MOA role matrix'!$B$2:$D$13,3,MATCH($B499,'MOA role matrix'!$B$1:$D$1,0))="Fill","CFO / Head of Finance, ","")IF(INDEX('MOA role matrix'!$B$2:$D$13,3,MATCH($B499,'MOA role matrix'!$B$1:$D$1,0))="If finance","CFO / Head of Finance (if finance), ","")IF(INDEX('MOA role matrix'!$B$2:$D$13,3,MATCH($B499,'MOA role matrix'!$B$1:$D$1,0))="Auto","CFO / Head of Finance (auto), ","")IF(INDEX('MOA role matrix'!$B$2:$D$13,4,MATCH($B499,'MOA role matrix'!$B$1:$D$1,0))="Fill","CEO / COO / GM, ","")IF(INDEX('MOA role matrix'!$B$2:$D$13,4,MATCH($B499,'MOA role matrix'!$B$1:$D$1,0))="If finance","CEO / COO / GM (if finance), ","")IF(INDEX('MOA role matrix'!$B$2:$D$13,4,MATCH($B499,'MOA role matrix'!$B$1:$D$1,0))="Auto","CEO / COO / GM (auto), ","")IF(INDEX('MOA role matrix'!$B$2:$D$13,5,MATCH($B499,'MOA role matrix'!$B$1:$D$1,0))="Fill","Board member 1, ","")IF(INDEX('MOA role matrix'!$B$2:$D$13,5,MATCH($B499,'MOA role matrix'!$B$1:$D$1,0))="If finance","Board member 1 (if finance), ","")IF(INDEX('MOA role matrix'!$B$2:$D$13,5,MATCH($B499,'MOA role matrix'!$B$1:$D$1,0))="Auto","Board member 1 (auto), ","")IF(INDEX('MOA role matrix'!$B$2:$D$13,6,MATCH($B499,'MOA role matrix'!$B$1:$D$1,0))="Fill","Board member 2, ","")IF(INDEX('MOA role matrix'!$B$2:$D$13,6,MATCH($B499,'MOA role matrix'!$B$1:$D$1,0))="If finance","Board member 2 (if finance), ","")IF(INDEX('MOA role matrix'!$B$2:$D$13,6,MATCH($B499,'MOA role matrix'!$B$1:$D$1,0))="Auto","Board member 2 (auto), ","")IF(INDEX('MOA role matrix'!$B$2:$D$13,7,MATCH($B499,'MOA role matrix'!$B$1:$D$1,0))="Fill","LOA holder 1, ","")IF(INDEX('MOA role matrix'!$B$2:$D$13,7,MATCH($B499,'MOA role matrix'!$B$1:$D$1,0))="If finance","LOA holder 1 (if finance), ","")IF(INDEX('MOA role matrix'!$B$2:$D$13,7,MATCH($B499,'MOA role matrix'!$B$1:$D$1,0))="Auto","LOA holder 1 (auto), ","")IF(INDEX('MOA role matrix'!$B$2:$D$13,8,MATCH($B499,'MOA role matrix'!$B$1:$D$1,0))="Fill","LOA holder 2, ","")IF(INDEX('MOA role matrix'!$B$2:$D$13,8,MATCH($B499,'MOA role matrix'!$B$1:$D$1,0))="If finance","LOA holder 2 (if finance), ","")IF(INDEX('MOA role matrix'!$B$2:$D$13,8,MATCH($B499,'MOA role matrix'!$B$1:$D$1,0))="Auto","LOA holder 2 (auto), ","")IF(INDEX('MOA role matrix'!$B$2:$D$13,9,MATCH($B499,'MOA role matrix'!$B$1:$D$1,0))="Fill","Senior Manager CoSec, ","")IF(INDEX('MOA role matrix'!$B$2:$D$13,9,MATCH($B499,'MOA role matrix'!$B$1:$D$1,0))="If finance","Senior Manager CoSec (if finance), ","")IF(INDEX('MOA role matrix'!$B$2:$D$13,9,MATCH($B499,'MOA role matrix'!$B$1:$D$1,0))="Auto","Senior Manager CoSec (auto), ","")IF(INDEX('MOA role matrix'!$B$2:$D$13,10,MATCH($B499,'MOA role matrix'!$B$1:$D$1,0))="Fill","Division MOI managers, ","")IF(INDEX('MOA role matrix'!$B$2:$D$13,10,MATCH($B499,'MOA role matrix'!$B$1:$D$1,0))="If finance","Division MOI managers (if finance), ","")IF(INDEX('MOA role matrix'!$B$2:$D$13,10,MATCH($B499,'MOA role matrix'!$B$1:$D$1,0))="Auto","Division MOI managers (auto), ","")IF(INDEX('MOA role matrix'!$B$2:$D$13,11,MATCH($B499,'MOA role matrix'!$B$1:$D$1,0))="Fill","Ms Teh (bank), ","")IF(INDEX('MOA role matrix'!$B$2:$D$13,11,MATCH($B499,'MOA role matrix'!$B$1:$D$1,0))="If finance","Ms Teh (bank) (if finance), ","")IF(INDEX('MOA role matrix'!$B$2:$D$13,11,MATCH($B499,'MOA role matrix'!$B$1:$D$1,0))="Auto","Ms Teh (bank) (auto), ","")IF(INDEX('MOA role matrix'!$B$2:$D$13,12,MATCH($B499,'MOA role matrix'!$B$1:$D$1,0))="Fill","DLCM, ","")IF(INDEX('MOA role matrix'!$B$2:$D$13,12,MATCH($B499,'MOA role matrix'!$B$1:$D$1,0))="If finance","DLCM (if finance), ","")IF(INDEX('MOA role matrix'!$B$2:$D$13,12,MATCH($B499,'MOA role matrix'!$B$1:$D$1,0))="Auto","DLCM (auto), ","")))</f>
        <v/>
      </c>
      <c r="D499" s="5">
        <f>IF($A499="","",IFERROR(INDEX(FILTER('Client contacts'!$B$2:$B$500,('Client contacts'!$A$2:$A$500=$A499)*('Client contacts'!$H$2:$H$500="Y"),""),1),""))</f>
        <v/>
      </c>
      <c r="E499" s="5">
        <f>IF($A499="","",IFERROR(INDEX(FILTER('Client contacts'!$C$2:$C$500,('Client contacts'!$A$2:$A$500=$A499)*('Client contacts'!$H$2:$H$500="Y"),""),1),""))</f>
        <v/>
      </c>
      <c r="F499" s="5">
        <f>IF($A499="","",IFERROR(INDEX(FILTER('Client contacts'!$B$2:$B$500,('Client contacts'!$A$2:$A$500=$A499)*('Client contacts'!$G$2:$G$500="Y"),""),1),""))</f>
        <v/>
      </c>
      <c r="G499" s="5">
        <f>IF($A499="","",IFERROR(INDEX(FILTER('Client contacts'!$C$2:$C$500,('Client contacts'!$A$2:$A$500=$A499)*('Client contacts'!$G$2:$G$500="Y"),""),1),""))</f>
        <v/>
      </c>
      <c r="H499" s="5">
        <f>IF($A499="","",IFERROR(INDEX(FILTER('Client contacts'!$B$2:$B$500,('Client contacts'!$A$2:$A$500=$A499)*('Client contacts'!$G$2:$G$500="Y"),""),2),""))</f>
        <v/>
      </c>
      <c r="I499" s="5">
        <f>IF($A499="","",IFERROR(INDEX(FILTER('Client contacts'!$C$2:$C$500,('Client contacts'!$A$2:$A$500=$A499)*('Client contacts'!$G$2:$G$500="Y"),""),2),""))</f>
        <v/>
      </c>
      <c r="J499" s="8" t="n"/>
      <c r="K499" s="8" t="n"/>
      <c r="L499" s="8" t="n"/>
      <c r="M499" s="8" t="n"/>
      <c r="N499" s="8" t="n"/>
      <c r="O499" s="8" t="n"/>
      <c r="P499" s="8" t="n"/>
      <c r="Q499" s="8" t="n"/>
      <c r="R499" s="5">
        <f>IF($A499="","",IFERROR(INDEX(Companies!$I$2:$I$500,MATCH($A499,Companies!$A$2:$A$500,0)),""))</f>
        <v/>
      </c>
      <c r="S499" s="8" t="n"/>
      <c r="T499" s="8" t="n"/>
      <c r="U499" s="8" t="n"/>
      <c r="V499" s="8" t="n"/>
      <c r="W499" s="8" t="n"/>
    </row>
    <row r="500">
      <c r="C500" s="5">
        <f>IF($B500="","",TRIM(IF(INDEX('MOA role matrix'!$B$2:$D$13,1,MATCH($B500,'MOA role matrix'!$B$1:$D$1,0))="Fill","Project initiator, ","")IF(INDEX('MOA role matrix'!$B$2:$D$13,1,MATCH($B500,'MOA role matrix'!$B$1:$D$1,0))="If finance","Project initiator (if finance), ","")IF(INDEX('MOA role matrix'!$B$2:$D$13,1,MATCH($B500,'MOA role matrix'!$B$1:$D$1,0))="Auto","Project initiator (auto), ","")IF(INDEX('MOA role matrix'!$B$2:$D$13,2,MATCH($B500,'MOA role matrix'!$B$1:$D$1,0))="Fill","MOA signers (client), ","")IF(INDEX('MOA role matrix'!$B$2:$D$13,2,MATCH($B500,'MOA role matrix'!$B$1:$D$1,0))="If finance","MOA signers (client) (if finance), ","")IF(INDEX('MOA role matrix'!$B$2:$D$13,2,MATCH($B500,'MOA role matrix'!$B$1:$D$1,0))="Auto","MOA signers (client) (auto), ","")IF(INDEX('MOA role matrix'!$B$2:$D$13,3,MATCH($B500,'MOA role matrix'!$B$1:$D$1,0))="Fill","CFO / Head of Finance, ","")IF(INDEX('MOA role matrix'!$B$2:$D$13,3,MATCH($B500,'MOA role matrix'!$B$1:$D$1,0))="If finance","CFO / Head of Finance (if finance), ","")IF(INDEX('MOA role matrix'!$B$2:$D$13,3,MATCH($B500,'MOA role matrix'!$B$1:$D$1,0))="Auto","CFO / Head of Finance (auto), ","")IF(INDEX('MOA role matrix'!$B$2:$D$13,4,MATCH($B500,'MOA role matrix'!$B$1:$D$1,0))="Fill","CEO / COO / GM, ","")IF(INDEX('MOA role matrix'!$B$2:$D$13,4,MATCH($B500,'MOA role matrix'!$B$1:$D$1,0))="If finance","CEO / COO / GM (if finance), ","")IF(INDEX('MOA role matrix'!$B$2:$D$13,4,MATCH($B500,'MOA role matrix'!$B$1:$D$1,0))="Auto","CEO / COO / GM (auto), ","")IF(INDEX('MOA role matrix'!$B$2:$D$13,5,MATCH($B500,'MOA role matrix'!$B$1:$D$1,0))="Fill","Board member 1, ","")IF(INDEX('MOA role matrix'!$B$2:$D$13,5,MATCH($B500,'MOA role matrix'!$B$1:$D$1,0))="If finance","Board member 1 (if finance), ","")IF(INDEX('MOA role matrix'!$B$2:$D$13,5,MATCH($B500,'MOA role matrix'!$B$1:$D$1,0))="Auto","Board member 1 (auto), ","")IF(INDEX('MOA role matrix'!$B$2:$D$13,6,MATCH($B500,'MOA role matrix'!$B$1:$D$1,0))="Fill","Board member 2, ","")IF(INDEX('MOA role matrix'!$B$2:$D$13,6,MATCH($B500,'MOA role matrix'!$B$1:$D$1,0))="If finance","Board member 2 (if finance), ","")IF(INDEX('MOA role matrix'!$B$2:$D$13,6,MATCH($B500,'MOA role matrix'!$B$1:$D$1,0))="Auto","Board member 2 (auto), ","")IF(INDEX('MOA role matrix'!$B$2:$D$13,7,MATCH($B500,'MOA role matrix'!$B$1:$D$1,0))="Fill","LOA holder 1, ","")IF(INDEX('MOA role matrix'!$B$2:$D$13,7,MATCH($B500,'MOA role matrix'!$B$1:$D$1,0))="If finance","LOA holder 1 (if finance), ","")IF(INDEX('MOA role matrix'!$B$2:$D$13,7,MATCH($B500,'MOA role matrix'!$B$1:$D$1,0))="Auto","LOA holder 1 (auto), ","")IF(INDEX('MOA role matrix'!$B$2:$D$13,8,MATCH($B500,'MOA role matrix'!$B$1:$D$1,0))="Fill","LOA holder 2, ","")IF(INDEX('MOA role matrix'!$B$2:$D$13,8,MATCH($B500,'MOA role matrix'!$B$1:$D$1,0))="If finance","LOA holder 2 (if finance), ","")IF(INDEX('MOA role matrix'!$B$2:$D$13,8,MATCH($B500,'MOA role matrix'!$B$1:$D$1,0))="Auto","LOA holder 2 (auto), ","")IF(INDEX('MOA role matrix'!$B$2:$D$13,9,MATCH($B500,'MOA role matrix'!$B$1:$D$1,0))="Fill","Senior Manager CoSec, ","")IF(INDEX('MOA role matrix'!$B$2:$D$13,9,MATCH($B500,'MOA role matrix'!$B$1:$D$1,0))="If finance","Senior Manager CoSec (if finance), ","")IF(INDEX('MOA role matrix'!$B$2:$D$13,9,MATCH($B500,'MOA role matrix'!$B$1:$D$1,0))="Auto","Senior Manager CoSec (auto), ","")IF(INDEX('MOA role matrix'!$B$2:$D$13,10,MATCH($B500,'MOA role matrix'!$B$1:$D$1,0))="Fill","Division MOI managers, ","")IF(INDEX('MOA role matrix'!$B$2:$D$13,10,MATCH($B500,'MOA role matrix'!$B$1:$D$1,0))="If finance","Division MOI managers (if finance), ","")IF(INDEX('MOA role matrix'!$B$2:$D$13,10,MATCH($B500,'MOA role matrix'!$B$1:$D$1,0))="Auto","Division MOI managers (auto), ","")IF(INDEX('MOA role matrix'!$B$2:$D$13,11,MATCH($B500,'MOA role matrix'!$B$1:$D$1,0))="Fill","Ms Teh (bank), ","")IF(INDEX('MOA role matrix'!$B$2:$D$13,11,MATCH($B500,'MOA role matrix'!$B$1:$D$1,0))="If finance","Ms Teh (bank) (if finance), ","")IF(INDEX('MOA role matrix'!$B$2:$D$13,11,MATCH($B500,'MOA role matrix'!$B$1:$D$1,0))="Auto","Ms Teh (bank) (auto), ","")IF(INDEX('MOA role matrix'!$B$2:$D$13,12,MATCH($B500,'MOA role matrix'!$B$1:$D$1,0))="Fill","DLCM, ","")IF(INDEX('MOA role matrix'!$B$2:$D$13,12,MATCH($B500,'MOA role matrix'!$B$1:$D$1,0))="If finance","DLCM (if finance), ","")IF(INDEX('MOA role matrix'!$B$2:$D$13,12,MATCH($B500,'MOA role matrix'!$B$1:$D$1,0))="Auto","DLCM (auto), ","")))</f>
        <v/>
      </c>
      <c r="D500" s="5">
        <f>IF($A500="","",IFERROR(INDEX(FILTER('Client contacts'!$B$2:$B$500,('Client contacts'!$A$2:$A$500=$A500)*('Client contacts'!$H$2:$H$500="Y"),""),1),""))</f>
        <v/>
      </c>
      <c r="E500" s="5">
        <f>IF($A500="","",IFERROR(INDEX(FILTER('Client contacts'!$C$2:$C$500,('Client contacts'!$A$2:$A$500=$A500)*('Client contacts'!$H$2:$H$500="Y"),""),1),""))</f>
        <v/>
      </c>
      <c r="F500" s="5">
        <f>IF($A500="","",IFERROR(INDEX(FILTER('Client contacts'!$B$2:$B$500,('Client contacts'!$A$2:$A$500=$A500)*('Client contacts'!$G$2:$G$500="Y"),""),1),""))</f>
        <v/>
      </c>
      <c r="G500" s="5">
        <f>IF($A500="","",IFERROR(INDEX(FILTER('Client contacts'!$C$2:$C$500,('Client contacts'!$A$2:$A$500=$A500)*('Client contacts'!$G$2:$G$500="Y"),""),1),""))</f>
        <v/>
      </c>
      <c r="H500" s="5">
        <f>IF($A500="","",IFERROR(INDEX(FILTER('Client contacts'!$B$2:$B$500,('Client contacts'!$A$2:$A$500=$A500)*('Client contacts'!$G$2:$G$500="Y"),""),2),""))</f>
        <v/>
      </c>
      <c r="I500" s="5">
        <f>IF($A500="","",IFERROR(INDEX(FILTER('Client contacts'!$C$2:$C$500,('Client contacts'!$A$2:$A$500=$A500)*('Client contacts'!$G$2:$G$500="Y"),""),2),""))</f>
        <v/>
      </c>
      <c r="J500" s="8" t="n"/>
      <c r="K500" s="8" t="n"/>
      <c r="L500" s="8" t="n"/>
      <c r="M500" s="8" t="n"/>
      <c r="N500" s="8" t="n"/>
      <c r="O500" s="8" t="n"/>
      <c r="P500" s="8" t="n"/>
      <c r="Q500" s="8" t="n"/>
      <c r="R500" s="5">
        <f>IF($A500="","",IFERROR(INDEX(Companies!$I$2:$I$500,MATCH($A500,Companies!$A$2:$A$500,0)),""))</f>
        <v/>
      </c>
      <c r="S500" s="8" t="n"/>
      <c r="T500" s="8" t="n"/>
      <c r="U500" s="8" t="n"/>
      <c r="V500" s="8" t="n"/>
      <c r="W500" s="8" t="n"/>
    </row>
  </sheetData>
  <mergeCells count="1">
    <mergeCell ref="A2"/>
  </mergeCells>
  <dataValidations count="1">
    <dataValidation sqref="B3:B500" showDropDown="0" showInputMessage="0" showErrorMessage="0" allowBlank="1" errorTitle="Invalid value" error="Please pick from the dropdown." type="list">
      <formula1>"MOA — No LOA","MOA — With LOA","MOA — SWM Group"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2" customWidth="1" min="4" max="4"/>
    <col width="14" customWidth="1" min="5" max="5"/>
    <col width="14" customWidth="1" min="6" max="6"/>
    <col width="28" customWidth="1" min="7" max="7"/>
    <col width="8" customWidth="1" min="8" max="8"/>
    <col width="28" customWidth="1" min="9" max="9"/>
    <col width="8" customWidth="1" min="10" max="10"/>
    <col width="28" customWidth="1" min="11" max="11"/>
    <col width="8" customWidth="1" min="12" max="12"/>
    <col width="34" customWidth="1" min="13" max="13"/>
    <col width="22" customWidth="1" min="14" max="14"/>
  </cols>
  <sheetData>
    <row r="1">
      <c r="A1" s="4" t="inlineStr">
        <is>
          <t>Company name</t>
        </is>
      </c>
      <c r="B1" s="4" t="inlineStr">
        <is>
          <t>Package</t>
        </is>
      </c>
      <c r="C1" s="4" t="inlineStr">
        <is>
          <t>Contract length</t>
        </is>
      </c>
      <c r="D1" s="4" t="inlineStr">
        <is>
          <t>Start date</t>
        </is>
      </c>
      <c r="E1" s="2" t="inlineStr">
        <is>
          <t>End date (optional)</t>
        </is>
      </c>
      <c r="F1" s="4" t="inlineStr">
        <is>
          <t>Total fee (RM)</t>
        </is>
      </c>
      <c r="G1" s="2" t="inlineStr">
        <is>
          <t>Extra service 1</t>
        </is>
      </c>
      <c r="H1" s="2" t="inlineStr">
        <is>
          <t>Qty 1</t>
        </is>
      </c>
      <c r="I1" s="2" t="inlineStr">
        <is>
          <t>Extra service 2</t>
        </is>
      </c>
      <c r="J1" s="2" t="inlineStr">
        <is>
          <t>Qty 2</t>
        </is>
      </c>
      <c r="K1" s="2" t="inlineStr">
        <is>
          <t>Extra service 3</t>
        </is>
      </c>
      <c r="L1" s="2" t="inlineStr">
        <is>
          <t>Qty 3</t>
        </is>
      </c>
      <c r="M1" s="2" t="inlineStr">
        <is>
          <t>Additional LGB staff to tag (emails)</t>
        </is>
      </c>
      <c r="N1" s="2" t="inlineStr">
        <is>
          <t>Notes</t>
        </is>
      </c>
    </row>
    <row r="2" ht="32" customHeight="1">
      <c r="A2" s="9" t="inlineStr">
        <is>
          <t>NOTE: MOA approvers are on Company MOA setup + Client contacts. Here, only tag extra internal staff emails (e.g. nadia@lgb.test).</t>
        </is>
      </c>
    </row>
    <row r="3">
      <c r="A3" t="inlineStr">
        <is>
          <t>Acme Corp</t>
        </is>
      </c>
      <c r="B3" t="inlineStr">
        <is>
          <t>Enterprise Plus</t>
        </is>
      </c>
      <c r="C3" t="inlineStr">
        <is>
          <t>1 Year</t>
        </is>
      </c>
      <c r="D3" t="inlineStr">
        <is>
          <t>2026-01-15</t>
        </is>
      </c>
      <c r="E3" t="inlineStr">
        <is>
          <t>2027-01-14</t>
        </is>
      </c>
      <c r="F3" t="n">
        <v>6980</v>
      </c>
      <c r="G3" t="inlineStr">
        <is>
          <t>Attend Board Meeting</t>
        </is>
      </c>
      <c r="H3" t="n">
        <v>4</v>
      </c>
      <c r="I3" t="inlineStr">
        <is>
          <t>Prepare board meeting Minutes</t>
        </is>
      </c>
      <c r="J3" t="n">
        <v>2</v>
      </c>
      <c r="K3" t="inlineStr"/>
      <c r="L3" t="inlineStr"/>
      <c r="M3" t="inlineStr"/>
      <c r="N3" t="inlineStr">
        <is>
          <t>Example — delete this row</t>
        </is>
      </c>
    </row>
  </sheetData>
  <mergeCells count="1">
    <mergeCell ref="A2:N2"/>
  </mergeCells>
  <dataValidations count="2">
    <dataValidation sqref="B3:B500" showDropDown="0" showInputMessage="0" showErrorMessage="0" allowBlank="1" errorTitle="Invalid value" error="Please pick from the dropdown." type="list">
      <formula1>"Dormant","Basic Package","Professional Package","Enterprise Package","Enterprise Plus","Add-ons only"</formula1>
    </dataValidation>
    <dataValidation sqref="C3:C500" showDropDown="0" showInputMessage="0" showErrorMessage="0" allowBlank="1" errorTitle="Invalid value" error="Please pick from the dropdown." type="list">
      <formula1>"6 Months,1 Year,2 Years,3 Years"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40" customWidth="1" min="3" max="3"/>
  </cols>
  <sheetData>
    <row r="1">
      <c r="A1" s="2" t="inlineStr">
        <is>
          <t>Package name</t>
        </is>
      </c>
      <c r="B1" s="2" t="inlineStr">
        <is>
          <t>Annual fee (RM)</t>
        </is>
      </c>
      <c r="C1" s="2" t="inlineStr">
        <is>
          <t>Notes</t>
        </is>
      </c>
    </row>
    <row r="2">
      <c r="A2" s="3" t="inlineStr">
        <is>
          <t>Dormant</t>
        </is>
      </c>
      <c r="B2" s="3" t="n">
        <v>2360</v>
      </c>
      <c r="C2" s="3" t="inlineStr">
        <is>
          <t>Standard package</t>
        </is>
      </c>
    </row>
    <row r="3">
      <c r="A3" s="3" t="inlineStr">
        <is>
          <t>Basic Package</t>
        </is>
      </c>
      <c r="B3" s="3" t="n">
        <v>3200</v>
      </c>
      <c r="C3" s="3" t="inlineStr">
        <is>
          <t>Standard package</t>
        </is>
      </c>
    </row>
    <row r="4">
      <c r="A4" s="3" t="inlineStr">
        <is>
          <t>Professional Package</t>
        </is>
      </c>
      <c r="B4" s="3" t="n">
        <v>4250</v>
      </c>
      <c r="C4" s="3" t="inlineStr">
        <is>
          <t>Standard package</t>
        </is>
      </c>
    </row>
    <row r="5">
      <c r="A5" s="3" t="inlineStr">
        <is>
          <t>Enterprise Package</t>
        </is>
      </c>
      <c r="B5" s="3" t="n">
        <v>5930</v>
      </c>
      <c r="C5" s="3" t="inlineStr">
        <is>
          <t>Standard package</t>
        </is>
      </c>
    </row>
    <row r="6">
      <c r="A6" s="3" t="inlineStr">
        <is>
          <t>Enterprise Plus</t>
        </is>
      </c>
      <c r="B6" s="3" t="n">
        <v>6980</v>
      </c>
      <c r="C6" s="3" t="inlineStr">
        <is>
          <t>Standard package</t>
        </is>
      </c>
    </row>
    <row r="7">
      <c r="A7" s="3" t="inlineStr">
        <is>
          <t>Add-ons only</t>
        </is>
      </c>
      <c r="B7" s="3" t="n">
        <v>0</v>
      </c>
      <c r="C7" s="3" t="inlineStr">
        <is>
          <t>For non-COSEC clients buying add-ons only</t>
        </is>
      </c>
    </row>
    <row r="8"/>
    <row r="9">
      <c r="A9" s="2" t="inlineStr">
        <is>
          <t>Extra service (add-on)</t>
        </is>
      </c>
      <c r="B9" s="2" t="inlineStr">
        <is>
          <t>Unit</t>
        </is>
      </c>
      <c r="C9" s="2" t="inlineStr"/>
    </row>
    <row r="10">
      <c r="A10" t="inlineStr">
        <is>
          <t>Overseas Support Service</t>
        </is>
      </c>
      <c r="B10" t="inlineStr">
        <is>
          <t>Month</t>
        </is>
      </c>
      <c r="C10" t="inlineStr"/>
    </row>
    <row r="11">
      <c r="A11" t="inlineStr">
        <is>
          <t>Local Support Service</t>
        </is>
      </c>
      <c r="B11" t="inlineStr">
        <is>
          <t>Each</t>
        </is>
      </c>
      <c r="C11" t="inlineStr"/>
    </row>
    <row r="12">
      <c r="A12" t="inlineStr">
        <is>
          <t>Attend Board Meeting</t>
        </is>
      </c>
      <c r="B12" t="inlineStr">
        <is>
          <t>2hrs/Each</t>
        </is>
      </c>
      <c r="C12" t="inlineStr"/>
    </row>
    <row r="13">
      <c r="A13" t="inlineStr">
        <is>
          <t>Prepare board meeting Minutes</t>
        </is>
      </c>
      <c r="B13" t="inlineStr">
        <is>
          <t>Per meeting</t>
        </is>
      </c>
      <c r="C13" t="inlineStr"/>
    </row>
    <row r="14">
      <c r="A14" t="inlineStr">
        <is>
          <t>Lodgement fee to MBSR Audited A/C</t>
        </is>
      </c>
      <c r="B14" t="inlineStr">
        <is>
          <t>Each</t>
        </is>
      </c>
      <c r="C14" t="inlineStr"/>
    </row>
    <row r="15">
      <c r="A15" t="inlineStr">
        <is>
          <t>Lodgement fee for MBRS annual return</t>
        </is>
      </c>
      <c r="B15" t="inlineStr">
        <is>
          <t>Each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2026-06-26T07:06:06Z</dcterms:created>
  <dcterms:modified xsi:type="dcterms:W3CDTF">2026-06-26T07:06:06Z</dcterms:modified>
</cp:coreProperties>
</file>